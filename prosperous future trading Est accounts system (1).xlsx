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nus Umer\Desktop\"/>
    </mc:Choice>
  </mc:AlternateContent>
  <xr:revisionPtr revIDLastSave="0" documentId="13_ncr:1_{548E34F2-DFEB-461F-A48A-6D13C70A0B0D}" xr6:coauthVersionLast="47" xr6:coauthVersionMax="47" xr10:uidLastSave="{00000000-0000-0000-0000-000000000000}"/>
  <bookViews>
    <workbookView xWindow="-120" yWindow="-120" windowWidth="20730" windowHeight="11160" tabRatio="771" xr2:uid="{00000000-000D-0000-FFFF-FFFF00000000}"/>
  </bookViews>
  <sheets>
    <sheet name="Transactions" sheetId="1" r:id="rId1"/>
    <sheet name="Projects" sheetId="3" r:id="rId2"/>
    <sheet name="Accounts_Summary" sheetId="2" r:id="rId3"/>
    <sheet name="Tax Report" sheetId="4" r:id="rId4"/>
    <sheet name="Monthly_Report" sheetId="6" r:id="rId5"/>
    <sheet name="Employees" sheetId="5" r:id="rId6"/>
    <sheet name="Dashboard" sheetId="7" r:id="rId7"/>
    <sheet name="Old Accounts Payable" sheetId="8" r:id="rId8"/>
  </sheets>
  <definedNames>
    <definedName name="_xlnm._FilterDatabase" localSheetId="2" hidden="1">Accounts_Summary!$A$1:$D$1</definedName>
    <definedName name="_xlnm._FilterDatabase" localSheetId="6" hidden="1">Dashboard!$A$1:$B$1</definedName>
    <definedName name="_xlnm._FilterDatabase" localSheetId="5" hidden="1">Employees!$A$1:$M$1</definedName>
    <definedName name="_xlnm._FilterDatabase" localSheetId="4" hidden="1">Monthly_Report!$A$1:$J$1</definedName>
    <definedName name="_xlnm._FilterDatabase" localSheetId="7" hidden="1">'Old Accounts Payable'!$A$1:$G$1</definedName>
    <definedName name="_xlnm._FilterDatabase" localSheetId="1" hidden="1">Projects!$A$1:$J$2000</definedName>
    <definedName name="_xlnm._FilterDatabase" localSheetId="3" hidden="1">'Tax Report'!$A$1:$G$1</definedName>
    <definedName name="_xlnm._FilterDatabase" localSheetId="0" hidden="1">Transactions!$A$1:$R$2025</definedName>
    <definedName name="_xlchart.v1.0" hidden="1">Dashboard!$A$2:$A$10</definedName>
    <definedName name="_xlchart.v1.1" hidden="1">Dashboard!$B$2:$B$10</definedName>
    <definedName name="CategoryList">#REF!</definedName>
  </definedNames>
  <calcPr calcId="181029"/>
</workbook>
</file>

<file path=xl/calcChain.xml><?xml version="1.0" encoding="utf-8"?>
<calcChain xmlns="http://schemas.openxmlformats.org/spreadsheetml/2006/main">
  <c r="O704" i="1" l="1"/>
  <c r="P704" i="1" s="1"/>
  <c r="O705" i="1"/>
  <c r="P705" i="1" s="1"/>
  <c r="O301" i="1"/>
  <c r="P301" i="1" s="1"/>
  <c r="G24" i="3" s="1"/>
  <c r="O677" i="1"/>
  <c r="P677" i="1" s="1"/>
  <c r="O673" i="1"/>
  <c r="P673" i="1" s="1"/>
  <c r="C5" i="6"/>
  <c r="D5" i="6"/>
  <c r="F5" i="6"/>
  <c r="G5" i="6"/>
  <c r="H5" i="6"/>
  <c r="I5" i="6"/>
  <c r="J5" i="6"/>
  <c r="K5" i="6"/>
  <c r="C6" i="6"/>
  <c r="D6" i="6"/>
  <c r="F6" i="6"/>
  <c r="G6" i="6"/>
  <c r="H6" i="6"/>
  <c r="I6" i="6"/>
  <c r="J6" i="6"/>
  <c r="K6" i="6"/>
  <c r="C7" i="6"/>
  <c r="D7" i="6"/>
  <c r="F7" i="6"/>
  <c r="G7" i="6"/>
  <c r="H7" i="6"/>
  <c r="I7" i="6"/>
  <c r="J7" i="6"/>
  <c r="K7" i="6"/>
  <c r="C8" i="6"/>
  <c r="D8" i="6"/>
  <c r="F8" i="6"/>
  <c r="G8" i="6"/>
  <c r="H8" i="6"/>
  <c r="I8" i="6"/>
  <c r="J8" i="6"/>
  <c r="K8" i="6"/>
  <c r="C9" i="6"/>
  <c r="D9" i="6"/>
  <c r="F9" i="6"/>
  <c r="G9" i="6"/>
  <c r="H9" i="6"/>
  <c r="I9" i="6"/>
  <c r="J9" i="6"/>
  <c r="K9" i="6"/>
  <c r="C10" i="6"/>
  <c r="D10" i="6"/>
  <c r="F10" i="6"/>
  <c r="G10" i="6"/>
  <c r="H10" i="6"/>
  <c r="I10" i="6"/>
  <c r="J10" i="6"/>
  <c r="K10" i="6"/>
  <c r="C11" i="6"/>
  <c r="D11" i="6"/>
  <c r="F11" i="6"/>
  <c r="G11" i="6"/>
  <c r="H11" i="6"/>
  <c r="I11" i="6"/>
  <c r="J11" i="6"/>
  <c r="K11" i="6"/>
  <c r="C12" i="6"/>
  <c r="D12" i="6"/>
  <c r="F12" i="6"/>
  <c r="G12" i="6"/>
  <c r="H12" i="6"/>
  <c r="I12" i="6"/>
  <c r="J12" i="6"/>
  <c r="K12" i="6"/>
  <c r="C13" i="6"/>
  <c r="D13" i="6"/>
  <c r="F13" i="6"/>
  <c r="G13" i="6"/>
  <c r="H13" i="6"/>
  <c r="I13" i="6"/>
  <c r="J13" i="6"/>
  <c r="K13" i="6"/>
  <c r="C14" i="6"/>
  <c r="D14" i="6"/>
  <c r="F14" i="6"/>
  <c r="G14" i="6"/>
  <c r="H14" i="6"/>
  <c r="I14" i="6"/>
  <c r="J14" i="6"/>
  <c r="K14" i="6"/>
  <c r="C15" i="6"/>
  <c r="D15" i="6"/>
  <c r="F15" i="6"/>
  <c r="G15" i="6"/>
  <c r="H15" i="6"/>
  <c r="I15" i="6"/>
  <c r="J15" i="6"/>
  <c r="K15" i="6"/>
  <c r="C16" i="6"/>
  <c r="D16" i="6"/>
  <c r="F16" i="6"/>
  <c r="G16" i="6"/>
  <c r="H16" i="6"/>
  <c r="I16" i="6"/>
  <c r="J16" i="6"/>
  <c r="K16" i="6"/>
  <c r="C17" i="6"/>
  <c r="D17" i="6"/>
  <c r="F17" i="6"/>
  <c r="G17" i="6"/>
  <c r="H17" i="6"/>
  <c r="I17" i="6"/>
  <c r="J17" i="6"/>
  <c r="K17" i="6"/>
  <c r="C5" i="4"/>
  <c r="E5" i="4"/>
  <c r="C6" i="4"/>
  <c r="E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O592" i="1"/>
  <c r="P592" i="1" s="1"/>
  <c r="O618" i="1"/>
  <c r="P618" i="1" s="1"/>
  <c r="O573" i="1"/>
  <c r="P573" i="1" s="1"/>
  <c r="O607" i="1"/>
  <c r="P607" i="1" s="1"/>
  <c r="O589" i="1"/>
  <c r="P589" i="1" s="1"/>
  <c r="O590" i="1"/>
  <c r="P590" i="1" s="1"/>
  <c r="O591" i="1"/>
  <c r="P591" i="1" s="1"/>
  <c r="O593" i="1"/>
  <c r="P593" i="1" s="1"/>
  <c r="O594" i="1"/>
  <c r="P594" i="1" s="1"/>
  <c r="O595" i="1"/>
  <c r="P595" i="1" s="1"/>
  <c r="O596" i="1"/>
  <c r="P596" i="1" s="1"/>
  <c r="O597" i="1"/>
  <c r="P597" i="1" s="1"/>
  <c r="O587" i="1"/>
  <c r="P587" i="1" s="1"/>
  <c r="O586" i="1"/>
  <c r="P586" i="1" s="1"/>
  <c r="O581" i="1"/>
  <c r="P581" i="1" s="1"/>
  <c r="O582" i="1"/>
  <c r="P582" i="1" s="1"/>
  <c r="O583" i="1"/>
  <c r="P583" i="1" s="1"/>
  <c r="O584" i="1"/>
  <c r="P584" i="1" s="1"/>
  <c r="O585" i="1"/>
  <c r="P585" i="1" s="1"/>
  <c r="O588" i="1"/>
  <c r="P588" i="1" s="1"/>
  <c r="O469" i="1"/>
  <c r="P469" i="1" s="1"/>
  <c r="O392" i="1"/>
  <c r="P392" i="1" s="1"/>
  <c r="O394" i="1"/>
  <c r="P394" i="1" s="1"/>
  <c r="G26" i="3" s="1"/>
  <c r="O395" i="1"/>
  <c r="P395" i="1" s="1"/>
  <c r="D5" i="8"/>
  <c r="D11" i="8"/>
  <c r="D26" i="8"/>
  <c r="O382" i="1"/>
  <c r="P382" i="1" s="1"/>
  <c r="D24" i="3"/>
  <c r="E24" i="3" s="1"/>
  <c r="F24" i="3" s="1"/>
  <c r="D16" i="8"/>
  <c r="D17" i="8"/>
  <c r="D18" i="8"/>
  <c r="D19" i="8"/>
  <c r="D20" i="8"/>
  <c r="D21" i="8"/>
  <c r="D22" i="8"/>
  <c r="D23" i="8"/>
  <c r="D24" i="8"/>
  <c r="D25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3" i="8"/>
  <c r="D4" i="8"/>
  <c r="D6" i="8"/>
  <c r="D7" i="8"/>
  <c r="D8" i="8"/>
  <c r="D9" i="8"/>
  <c r="D10" i="8"/>
  <c r="D12" i="8"/>
  <c r="D13" i="8"/>
  <c r="D14" i="8"/>
  <c r="D15" i="8"/>
  <c r="D2" i="8"/>
  <c r="O335" i="1"/>
  <c r="P335" i="1" s="1"/>
  <c r="O229" i="1"/>
  <c r="P229" i="1" s="1"/>
  <c r="O200" i="1"/>
  <c r="P200" i="1" s="1"/>
  <c r="K4" i="6"/>
  <c r="J4" i="6"/>
  <c r="I4" i="6"/>
  <c r="H4" i="6"/>
  <c r="G4" i="6"/>
  <c r="F4" i="6"/>
  <c r="D4" i="6"/>
  <c r="C4" i="6"/>
  <c r="E4" i="4"/>
  <c r="C4" i="4"/>
  <c r="O124" i="1"/>
  <c r="P124" i="1" s="1"/>
  <c r="O117" i="1"/>
  <c r="P117" i="1" s="1"/>
  <c r="K3" i="6"/>
  <c r="J3" i="6"/>
  <c r="J2" i="6"/>
  <c r="I3" i="6"/>
  <c r="I2" i="6"/>
  <c r="H3" i="6"/>
  <c r="H2" i="6"/>
  <c r="G3" i="6"/>
  <c r="G2" i="6"/>
  <c r="F3" i="6"/>
  <c r="F2" i="6"/>
  <c r="D3" i="6"/>
  <c r="D2" i="6"/>
  <c r="K2" i="6"/>
  <c r="C3" i="6"/>
  <c r="C2" i="6"/>
  <c r="E3" i="4"/>
  <c r="E2" i="4"/>
  <c r="O102" i="1"/>
  <c r="P102" i="1" s="1"/>
  <c r="O101" i="1"/>
  <c r="P101" i="1" s="1"/>
  <c r="C3" i="4"/>
  <c r="F2" i="5"/>
  <c r="H2" i="5" s="1"/>
  <c r="M2" i="5" s="1"/>
  <c r="O65" i="1"/>
  <c r="P65" i="1" s="1"/>
  <c r="O64" i="1"/>
  <c r="P64" i="1" s="1"/>
  <c r="O71" i="1"/>
  <c r="P71" i="1" s="1"/>
  <c r="O70" i="1"/>
  <c r="P70" i="1" s="1"/>
  <c r="O69" i="1"/>
  <c r="P69" i="1" s="1"/>
  <c r="G7" i="3" s="1"/>
  <c r="O73" i="1"/>
  <c r="P73" i="1" s="1"/>
  <c r="K3" i="5"/>
  <c r="K4" i="5"/>
  <c r="K5" i="5"/>
  <c r="K6" i="5"/>
  <c r="K2" i="5"/>
  <c r="F3" i="5"/>
  <c r="H3" i="5" s="1"/>
  <c r="M3" i="5" s="1"/>
  <c r="F4" i="5"/>
  <c r="H4" i="5" s="1"/>
  <c r="M4" i="5" s="1"/>
  <c r="F5" i="5"/>
  <c r="H5" i="5" s="1"/>
  <c r="M5" i="5" s="1"/>
  <c r="F6" i="5"/>
  <c r="H6" i="5" s="1"/>
  <c r="M6" i="5" s="1"/>
  <c r="O58" i="1"/>
  <c r="P58" i="1" s="1"/>
  <c r="C9" i="2"/>
  <c r="B9" i="2"/>
  <c r="C8" i="2"/>
  <c r="B8" i="2"/>
  <c r="C7" i="2"/>
  <c r="B7" i="2"/>
  <c r="C6" i="2"/>
  <c r="B6" i="2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C5" i="2"/>
  <c r="B5" i="2"/>
  <c r="C2" i="4"/>
  <c r="D5" i="3"/>
  <c r="E5" i="3" s="1"/>
  <c r="F5" i="3" s="1"/>
  <c r="D6" i="3"/>
  <c r="E6" i="3" s="1"/>
  <c r="D7" i="3"/>
  <c r="E7" i="3" s="1"/>
  <c r="D8" i="3"/>
  <c r="E8" i="3" s="1"/>
  <c r="F8" i="3" s="1"/>
  <c r="D9" i="3"/>
  <c r="D10" i="3"/>
  <c r="E10" i="3" s="1"/>
  <c r="D11" i="3"/>
  <c r="E11" i="3" s="1"/>
  <c r="F11" i="3" s="1"/>
  <c r="D12" i="3"/>
  <c r="D13" i="3"/>
  <c r="E13" i="3" s="1"/>
  <c r="F13" i="3" s="1"/>
  <c r="D14" i="3"/>
  <c r="E14" i="3" s="1"/>
  <c r="F14" i="3" s="1"/>
  <c r="D15" i="3"/>
  <c r="E15" i="3" s="1"/>
  <c r="F15" i="3" s="1"/>
  <c r="D16" i="3"/>
  <c r="E16" i="3" s="1"/>
  <c r="F16" i="3" s="1"/>
  <c r="D17" i="3"/>
  <c r="E17" i="3" s="1"/>
  <c r="D18" i="3"/>
  <c r="E18" i="3" s="1"/>
  <c r="F18" i="3" s="1"/>
  <c r="D19" i="3"/>
  <c r="D20" i="3"/>
  <c r="E20" i="3" s="1"/>
  <c r="F20" i="3" s="1"/>
  <c r="D21" i="3"/>
  <c r="E21" i="3" s="1"/>
  <c r="F21" i="3" s="1"/>
  <c r="D22" i="3"/>
  <c r="E22" i="3" s="1"/>
  <c r="D23" i="3"/>
  <c r="E23" i="3" s="1"/>
  <c r="F23" i="3" s="1"/>
  <c r="D25" i="3"/>
  <c r="E25" i="3" s="1"/>
  <c r="D26" i="3"/>
  <c r="E26" i="3" s="1"/>
  <c r="D27" i="3"/>
  <c r="E27" i="3" s="1"/>
  <c r="F27" i="3" s="1"/>
  <c r="D28" i="3"/>
  <c r="E28" i="3" s="1"/>
  <c r="F28" i="3" s="1"/>
  <c r="D29" i="3"/>
  <c r="E29" i="3" s="1"/>
  <c r="D30" i="3"/>
  <c r="E30" i="3" s="1"/>
  <c r="D31" i="3"/>
  <c r="E31" i="3" s="1"/>
  <c r="F31" i="3" s="1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O31" i="1"/>
  <c r="P31" i="1" s="1"/>
  <c r="O28" i="1"/>
  <c r="P28" i="1" s="1"/>
  <c r="E9" i="3"/>
  <c r="F9" i="3" s="1"/>
  <c r="E12" i="3"/>
  <c r="F12" i="3" s="1"/>
  <c r="G14" i="3"/>
  <c r="G15" i="3"/>
  <c r="H16" i="3"/>
  <c r="I16" i="3" s="1"/>
  <c r="E19" i="3"/>
  <c r="F19" i="3" s="1"/>
  <c r="H22" i="3"/>
  <c r="I22" i="3" s="1"/>
  <c r="H23" i="3"/>
  <c r="I23" i="3" s="1"/>
  <c r="G25" i="3"/>
  <c r="E32" i="3"/>
  <c r="F32" i="3" s="1"/>
  <c r="G32" i="3"/>
  <c r="H32" i="3"/>
  <c r="E33" i="3"/>
  <c r="F33" i="3" s="1"/>
  <c r="G33" i="3"/>
  <c r="H33" i="3"/>
  <c r="J33" i="3"/>
  <c r="E34" i="3"/>
  <c r="F34" i="3"/>
  <c r="G34" i="3"/>
  <c r="H34" i="3"/>
  <c r="J34" i="3"/>
  <c r="E35" i="3"/>
  <c r="F35" i="3" s="1"/>
  <c r="G35" i="3"/>
  <c r="H35" i="3"/>
  <c r="E36" i="3"/>
  <c r="F36" i="3" s="1"/>
  <c r="G36" i="3"/>
  <c r="H36" i="3"/>
  <c r="E37" i="3"/>
  <c r="G37" i="3"/>
  <c r="H37" i="3"/>
  <c r="E38" i="3"/>
  <c r="F38" i="3" s="1"/>
  <c r="G38" i="3"/>
  <c r="H38" i="3"/>
  <c r="J38" i="3"/>
  <c r="E39" i="3"/>
  <c r="F39" i="3" s="1"/>
  <c r="G39" i="3"/>
  <c r="H39" i="3"/>
  <c r="E40" i="3"/>
  <c r="G40" i="3"/>
  <c r="H40" i="3"/>
  <c r="E41" i="3"/>
  <c r="F41" i="3" s="1"/>
  <c r="G41" i="3"/>
  <c r="H41" i="3"/>
  <c r="J41" i="3"/>
  <c r="E42" i="3"/>
  <c r="F42" i="3" s="1"/>
  <c r="G42" i="3"/>
  <c r="H42" i="3"/>
  <c r="J42" i="3"/>
  <c r="E43" i="3"/>
  <c r="F43" i="3" s="1"/>
  <c r="G43" i="3"/>
  <c r="H43" i="3"/>
  <c r="E44" i="3"/>
  <c r="F44" i="3" s="1"/>
  <c r="G44" i="3"/>
  <c r="H44" i="3"/>
  <c r="E45" i="3"/>
  <c r="F45" i="3" s="1"/>
  <c r="G45" i="3"/>
  <c r="H45" i="3"/>
  <c r="E46" i="3"/>
  <c r="F46" i="3"/>
  <c r="G46" i="3"/>
  <c r="H46" i="3"/>
  <c r="J46" i="3"/>
  <c r="E47" i="3"/>
  <c r="F47" i="3" s="1"/>
  <c r="G47" i="3"/>
  <c r="H47" i="3"/>
  <c r="E48" i="3"/>
  <c r="F48" i="3" s="1"/>
  <c r="G48" i="3"/>
  <c r="H48" i="3"/>
  <c r="E49" i="3"/>
  <c r="F49" i="3"/>
  <c r="G49" i="3"/>
  <c r="H49" i="3"/>
  <c r="J49" i="3"/>
  <c r="E50" i="3"/>
  <c r="F50" i="3" s="1"/>
  <c r="G50" i="3"/>
  <c r="H50" i="3"/>
  <c r="E51" i="3"/>
  <c r="F51" i="3"/>
  <c r="G51" i="3"/>
  <c r="H51" i="3"/>
  <c r="J51" i="3"/>
  <c r="E52" i="3"/>
  <c r="F52" i="3" s="1"/>
  <c r="G52" i="3"/>
  <c r="H52" i="3"/>
  <c r="E53" i="3"/>
  <c r="F53" i="3"/>
  <c r="G53" i="3"/>
  <c r="H53" i="3"/>
  <c r="J53" i="3"/>
  <c r="E54" i="3"/>
  <c r="F54" i="3"/>
  <c r="G54" i="3"/>
  <c r="H54" i="3"/>
  <c r="J54" i="3"/>
  <c r="E55" i="3"/>
  <c r="F55" i="3" s="1"/>
  <c r="G55" i="3"/>
  <c r="H55" i="3"/>
  <c r="E56" i="3"/>
  <c r="F56" i="3" s="1"/>
  <c r="G56" i="3"/>
  <c r="H56" i="3"/>
  <c r="J56" i="3"/>
  <c r="E57" i="3"/>
  <c r="F57" i="3" s="1"/>
  <c r="G57" i="3"/>
  <c r="H57" i="3"/>
  <c r="J57" i="3"/>
  <c r="E58" i="3"/>
  <c r="F58" i="3" s="1"/>
  <c r="G58" i="3"/>
  <c r="H58" i="3"/>
  <c r="J58" i="3"/>
  <c r="E59" i="3"/>
  <c r="F59" i="3"/>
  <c r="G59" i="3"/>
  <c r="H59" i="3"/>
  <c r="J59" i="3"/>
  <c r="E60" i="3"/>
  <c r="G60" i="3"/>
  <c r="H60" i="3"/>
  <c r="E61" i="3"/>
  <c r="F61" i="3"/>
  <c r="G61" i="3"/>
  <c r="H61" i="3"/>
  <c r="J61" i="3"/>
  <c r="E62" i="3"/>
  <c r="F62" i="3" s="1"/>
  <c r="G62" i="3"/>
  <c r="H62" i="3"/>
  <c r="E63" i="3"/>
  <c r="F63" i="3" s="1"/>
  <c r="G63" i="3"/>
  <c r="H63" i="3"/>
  <c r="J63" i="3"/>
  <c r="E64" i="3"/>
  <c r="F64" i="3" s="1"/>
  <c r="G64" i="3"/>
  <c r="H64" i="3"/>
  <c r="J64" i="3"/>
  <c r="E65" i="3"/>
  <c r="F65" i="3" s="1"/>
  <c r="G65" i="3"/>
  <c r="H65" i="3"/>
  <c r="J65" i="3"/>
  <c r="E66" i="3"/>
  <c r="F66" i="3"/>
  <c r="G66" i="3"/>
  <c r="H66" i="3"/>
  <c r="J66" i="3"/>
  <c r="E67" i="3"/>
  <c r="F67" i="3" s="1"/>
  <c r="G67" i="3"/>
  <c r="H67" i="3"/>
  <c r="J67" i="3"/>
  <c r="E68" i="3"/>
  <c r="F68" i="3" s="1"/>
  <c r="G68" i="3"/>
  <c r="H68" i="3"/>
  <c r="E69" i="3"/>
  <c r="F69" i="3" s="1"/>
  <c r="G69" i="3"/>
  <c r="H69" i="3"/>
  <c r="E70" i="3"/>
  <c r="F70" i="3" s="1"/>
  <c r="G70" i="3"/>
  <c r="H70" i="3"/>
  <c r="J70" i="3"/>
  <c r="E71" i="3"/>
  <c r="F71" i="3" s="1"/>
  <c r="G71" i="3"/>
  <c r="H71" i="3"/>
  <c r="J71" i="3"/>
  <c r="E72" i="3"/>
  <c r="F72" i="3" s="1"/>
  <c r="G72" i="3"/>
  <c r="H72" i="3"/>
  <c r="J72" i="3"/>
  <c r="E73" i="3"/>
  <c r="F73" i="3"/>
  <c r="G73" i="3"/>
  <c r="H73" i="3"/>
  <c r="J73" i="3"/>
  <c r="E74" i="3"/>
  <c r="F74" i="3" s="1"/>
  <c r="G74" i="3"/>
  <c r="H74" i="3"/>
  <c r="J74" i="3"/>
  <c r="E75" i="3"/>
  <c r="F75" i="3" s="1"/>
  <c r="G75" i="3"/>
  <c r="H75" i="3"/>
  <c r="J75" i="3"/>
  <c r="E76" i="3"/>
  <c r="G76" i="3"/>
  <c r="H76" i="3"/>
  <c r="E77" i="3"/>
  <c r="F77" i="3" s="1"/>
  <c r="G77" i="3"/>
  <c r="H77" i="3"/>
  <c r="J77" i="3"/>
  <c r="E78" i="3"/>
  <c r="F78" i="3" s="1"/>
  <c r="G78" i="3"/>
  <c r="H78" i="3"/>
  <c r="J78" i="3"/>
  <c r="E79" i="3"/>
  <c r="F79" i="3"/>
  <c r="G79" i="3"/>
  <c r="H79" i="3"/>
  <c r="J79" i="3"/>
  <c r="E80" i="3"/>
  <c r="G80" i="3"/>
  <c r="H80" i="3"/>
  <c r="E81" i="3"/>
  <c r="F81" i="3" s="1"/>
  <c r="G81" i="3"/>
  <c r="H81" i="3"/>
  <c r="E82" i="3"/>
  <c r="F82" i="3" s="1"/>
  <c r="G82" i="3"/>
  <c r="H82" i="3"/>
  <c r="J82" i="3"/>
  <c r="E83" i="3"/>
  <c r="F83" i="3" s="1"/>
  <c r="G83" i="3"/>
  <c r="H83" i="3"/>
  <c r="J83" i="3"/>
  <c r="E84" i="3"/>
  <c r="F84" i="3" s="1"/>
  <c r="G84" i="3"/>
  <c r="H84" i="3"/>
  <c r="E85" i="3"/>
  <c r="F85" i="3" s="1"/>
  <c r="G85" i="3"/>
  <c r="H85" i="3"/>
  <c r="J85" i="3"/>
  <c r="E86" i="3"/>
  <c r="F86" i="3"/>
  <c r="G86" i="3"/>
  <c r="H86" i="3"/>
  <c r="J86" i="3"/>
  <c r="E87" i="3"/>
  <c r="F87" i="3" s="1"/>
  <c r="G87" i="3"/>
  <c r="H87" i="3"/>
  <c r="E88" i="3"/>
  <c r="F88" i="3" s="1"/>
  <c r="G88" i="3"/>
  <c r="H88" i="3"/>
  <c r="J88" i="3"/>
  <c r="E89" i="3"/>
  <c r="F89" i="3" s="1"/>
  <c r="G89" i="3"/>
  <c r="H89" i="3"/>
  <c r="J89" i="3"/>
  <c r="E90" i="3"/>
  <c r="F90" i="3" s="1"/>
  <c r="G90" i="3"/>
  <c r="H90" i="3"/>
  <c r="J90" i="3"/>
  <c r="E91" i="3"/>
  <c r="F91" i="3"/>
  <c r="G91" i="3"/>
  <c r="H91" i="3"/>
  <c r="J91" i="3"/>
  <c r="E92" i="3"/>
  <c r="G92" i="3"/>
  <c r="H92" i="3"/>
  <c r="E93" i="3"/>
  <c r="F93" i="3"/>
  <c r="G93" i="3"/>
  <c r="H93" i="3"/>
  <c r="J93" i="3"/>
  <c r="E94" i="3"/>
  <c r="F94" i="3" s="1"/>
  <c r="G94" i="3"/>
  <c r="H94" i="3"/>
  <c r="J94" i="3"/>
  <c r="E95" i="3"/>
  <c r="F95" i="3" s="1"/>
  <c r="G95" i="3"/>
  <c r="H95" i="3"/>
  <c r="J95" i="3"/>
  <c r="E96" i="3"/>
  <c r="F96" i="3" s="1"/>
  <c r="G96" i="3"/>
  <c r="H96" i="3"/>
  <c r="J96" i="3"/>
  <c r="E97" i="3"/>
  <c r="F97" i="3" s="1"/>
  <c r="G97" i="3"/>
  <c r="H97" i="3"/>
  <c r="J97" i="3"/>
  <c r="E98" i="3"/>
  <c r="F98" i="3"/>
  <c r="G98" i="3"/>
  <c r="H98" i="3"/>
  <c r="J98" i="3"/>
  <c r="E99" i="3"/>
  <c r="F99" i="3" s="1"/>
  <c r="G99" i="3"/>
  <c r="H99" i="3"/>
  <c r="J99" i="3"/>
  <c r="E100" i="3"/>
  <c r="F100" i="3" s="1"/>
  <c r="G100" i="3"/>
  <c r="H100" i="3"/>
  <c r="E101" i="3"/>
  <c r="F101" i="3" s="1"/>
  <c r="G101" i="3"/>
  <c r="H101" i="3"/>
  <c r="J101" i="3"/>
  <c r="E102" i="3"/>
  <c r="F102" i="3" s="1"/>
  <c r="G102" i="3"/>
  <c r="H102" i="3"/>
  <c r="J102" i="3"/>
  <c r="E103" i="3"/>
  <c r="F103" i="3" s="1"/>
  <c r="G103" i="3"/>
  <c r="H103" i="3"/>
  <c r="J103" i="3"/>
  <c r="E104" i="3"/>
  <c r="F104" i="3" s="1"/>
  <c r="G104" i="3"/>
  <c r="H104" i="3"/>
  <c r="J104" i="3"/>
  <c r="E105" i="3"/>
  <c r="F105" i="3"/>
  <c r="G105" i="3"/>
  <c r="H105" i="3"/>
  <c r="J105" i="3"/>
  <c r="E106" i="3"/>
  <c r="F106" i="3" s="1"/>
  <c r="G106" i="3"/>
  <c r="H106" i="3"/>
  <c r="E107" i="3"/>
  <c r="F107" i="3" s="1"/>
  <c r="G107" i="3"/>
  <c r="H107" i="3"/>
  <c r="J107" i="3"/>
  <c r="E108" i="3"/>
  <c r="G108" i="3"/>
  <c r="H108" i="3"/>
  <c r="E109" i="3"/>
  <c r="F109" i="3" s="1"/>
  <c r="G109" i="3"/>
  <c r="H109" i="3"/>
  <c r="J109" i="3"/>
  <c r="E110" i="3"/>
  <c r="F110" i="3" s="1"/>
  <c r="G110" i="3"/>
  <c r="H110" i="3"/>
  <c r="J110" i="3"/>
  <c r="E111" i="3"/>
  <c r="F111" i="3" s="1"/>
  <c r="G111" i="3"/>
  <c r="H111" i="3"/>
  <c r="E112" i="3"/>
  <c r="F112" i="3" s="1"/>
  <c r="G112" i="3"/>
  <c r="H112" i="3"/>
  <c r="J112" i="3"/>
  <c r="E113" i="3"/>
  <c r="G113" i="3"/>
  <c r="H113" i="3"/>
  <c r="E114" i="3"/>
  <c r="F114" i="3" s="1"/>
  <c r="G114" i="3"/>
  <c r="H114" i="3"/>
  <c r="J114" i="3"/>
  <c r="E115" i="3"/>
  <c r="F115" i="3"/>
  <c r="G115" i="3"/>
  <c r="H115" i="3"/>
  <c r="J115" i="3"/>
  <c r="E116" i="3"/>
  <c r="G116" i="3"/>
  <c r="H116" i="3"/>
  <c r="E117" i="3"/>
  <c r="F117" i="3" s="1"/>
  <c r="G117" i="3"/>
  <c r="H117" i="3"/>
  <c r="J117" i="3"/>
  <c r="E118" i="3"/>
  <c r="F118" i="3" s="1"/>
  <c r="G118" i="3"/>
  <c r="H118" i="3"/>
  <c r="J118" i="3"/>
  <c r="E119" i="3"/>
  <c r="F119" i="3" s="1"/>
  <c r="G119" i="3"/>
  <c r="H119" i="3"/>
  <c r="E120" i="3"/>
  <c r="F120" i="3" s="1"/>
  <c r="G120" i="3"/>
  <c r="H120" i="3"/>
  <c r="J120" i="3"/>
  <c r="E121" i="3"/>
  <c r="G121" i="3"/>
  <c r="H121" i="3"/>
  <c r="E122" i="3"/>
  <c r="F122" i="3" s="1"/>
  <c r="G122" i="3"/>
  <c r="H122" i="3"/>
  <c r="J122" i="3"/>
  <c r="E123" i="3"/>
  <c r="F123" i="3" s="1"/>
  <c r="G123" i="3"/>
  <c r="H123" i="3"/>
  <c r="J123" i="3"/>
  <c r="E124" i="3"/>
  <c r="F124" i="3" s="1"/>
  <c r="G124" i="3"/>
  <c r="H124" i="3"/>
  <c r="E125" i="3"/>
  <c r="F125" i="3" s="1"/>
  <c r="G125" i="3"/>
  <c r="H125" i="3"/>
  <c r="J125" i="3"/>
  <c r="E126" i="3"/>
  <c r="F126" i="3"/>
  <c r="G126" i="3"/>
  <c r="H126" i="3"/>
  <c r="J126" i="3"/>
  <c r="E127" i="3"/>
  <c r="F127" i="3" s="1"/>
  <c r="G127" i="3"/>
  <c r="H127" i="3"/>
  <c r="E128" i="3"/>
  <c r="F128" i="3"/>
  <c r="G128" i="3"/>
  <c r="H128" i="3"/>
  <c r="J128" i="3"/>
  <c r="E129" i="3"/>
  <c r="G129" i="3"/>
  <c r="H129" i="3"/>
  <c r="E130" i="3"/>
  <c r="F130" i="3"/>
  <c r="G130" i="3"/>
  <c r="H130" i="3"/>
  <c r="J130" i="3"/>
  <c r="E131" i="3"/>
  <c r="F131" i="3" s="1"/>
  <c r="G131" i="3"/>
  <c r="H131" i="3"/>
  <c r="J131" i="3"/>
  <c r="E132" i="3"/>
  <c r="F132" i="3" s="1"/>
  <c r="G132" i="3"/>
  <c r="H132" i="3"/>
  <c r="J132" i="3"/>
  <c r="E133" i="3"/>
  <c r="F133" i="3" s="1"/>
  <c r="G133" i="3"/>
  <c r="H133" i="3"/>
  <c r="J133" i="3"/>
  <c r="E134" i="3"/>
  <c r="F134" i="3" s="1"/>
  <c r="G134" i="3"/>
  <c r="H134" i="3"/>
  <c r="J134" i="3"/>
  <c r="E135" i="3"/>
  <c r="F135" i="3" s="1"/>
  <c r="G135" i="3"/>
  <c r="H135" i="3"/>
  <c r="E136" i="3"/>
  <c r="F136" i="3" s="1"/>
  <c r="G136" i="3"/>
  <c r="H136" i="3"/>
  <c r="J136" i="3"/>
  <c r="E137" i="3"/>
  <c r="G137" i="3"/>
  <c r="H137" i="3"/>
  <c r="E138" i="3"/>
  <c r="F138" i="3" s="1"/>
  <c r="G138" i="3"/>
  <c r="H138" i="3"/>
  <c r="J138" i="3"/>
  <c r="E139" i="3"/>
  <c r="F139" i="3"/>
  <c r="G139" i="3"/>
  <c r="H139" i="3"/>
  <c r="J139" i="3"/>
  <c r="E140" i="3"/>
  <c r="G140" i="3"/>
  <c r="H140" i="3"/>
  <c r="E141" i="3"/>
  <c r="F141" i="3"/>
  <c r="G141" i="3"/>
  <c r="H141" i="3"/>
  <c r="J141" i="3"/>
  <c r="E142" i="3"/>
  <c r="F142" i="3" s="1"/>
  <c r="G142" i="3"/>
  <c r="H142" i="3"/>
  <c r="E143" i="3"/>
  <c r="F143" i="3" s="1"/>
  <c r="G143" i="3"/>
  <c r="H143" i="3"/>
  <c r="E144" i="3"/>
  <c r="F144" i="3" s="1"/>
  <c r="G144" i="3"/>
  <c r="H144" i="3"/>
  <c r="J144" i="3"/>
  <c r="E145" i="3"/>
  <c r="G145" i="3"/>
  <c r="H145" i="3"/>
  <c r="E146" i="3"/>
  <c r="F146" i="3" s="1"/>
  <c r="G146" i="3"/>
  <c r="H146" i="3"/>
  <c r="E147" i="3"/>
  <c r="F147" i="3" s="1"/>
  <c r="G147" i="3"/>
  <c r="H147" i="3"/>
  <c r="J147" i="3"/>
  <c r="E148" i="3"/>
  <c r="F148" i="3" s="1"/>
  <c r="G148" i="3"/>
  <c r="H148" i="3"/>
  <c r="J148" i="3"/>
  <c r="E149" i="3"/>
  <c r="F149" i="3" s="1"/>
  <c r="G149" i="3"/>
  <c r="H149" i="3"/>
  <c r="J149" i="3"/>
  <c r="E150" i="3"/>
  <c r="F150" i="3" s="1"/>
  <c r="G150" i="3"/>
  <c r="H150" i="3"/>
  <c r="J150" i="3"/>
  <c r="E151" i="3"/>
  <c r="F151" i="3" s="1"/>
  <c r="G151" i="3"/>
  <c r="H151" i="3"/>
  <c r="E152" i="3"/>
  <c r="F152" i="3" s="1"/>
  <c r="G152" i="3"/>
  <c r="H152" i="3"/>
  <c r="J152" i="3"/>
  <c r="E153" i="3"/>
  <c r="G153" i="3"/>
  <c r="H153" i="3"/>
  <c r="E154" i="3"/>
  <c r="F154" i="3"/>
  <c r="G154" i="3"/>
  <c r="H154" i="3"/>
  <c r="J154" i="3"/>
  <c r="E155" i="3"/>
  <c r="F155" i="3"/>
  <c r="G155" i="3"/>
  <c r="H155" i="3"/>
  <c r="J155" i="3"/>
  <c r="E156" i="3"/>
  <c r="F156" i="3" s="1"/>
  <c r="G156" i="3"/>
  <c r="H156" i="3"/>
  <c r="E157" i="3"/>
  <c r="F157" i="3"/>
  <c r="G157" i="3"/>
  <c r="H157" i="3"/>
  <c r="J157" i="3"/>
  <c r="E158" i="3"/>
  <c r="F158" i="3" s="1"/>
  <c r="G158" i="3"/>
  <c r="H158" i="3"/>
  <c r="E159" i="3"/>
  <c r="F159" i="3" s="1"/>
  <c r="G159" i="3"/>
  <c r="H159" i="3"/>
  <c r="E160" i="3"/>
  <c r="F160" i="3" s="1"/>
  <c r="G160" i="3"/>
  <c r="H160" i="3"/>
  <c r="J160" i="3"/>
  <c r="E161" i="3"/>
  <c r="G161" i="3"/>
  <c r="H161" i="3"/>
  <c r="E162" i="3"/>
  <c r="F162" i="3" s="1"/>
  <c r="G162" i="3"/>
  <c r="H162" i="3"/>
  <c r="E163" i="3"/>
  <c r="F163" i="3" s="1"/>
  <c r="G163" i="3"/>
  <c r="H163" i="3"/>
  <c r="E164" i="3"/>
  <c r="G164" i="3"/>
  <c r="H164" i="3"/>
  <c r="E165" i="3"/>
  <c r="F165" i="3" s="1"/>
  <c r="G165" i="3"/>
  <c r="H165" i="3"/>
  <c r="E166" i="3"/>
  <c r="F166" i="3" s="1"/>
  <c r="G166" i="3"/>
  <c r="H166" i="3"/>
  <c r="J166" i="3"/>
  <c r="E167" i="3"/>
  <c r="F167" i="3" s="1"/>
  <c r="G167" i="3"/>
  <c r="H167" i="3"/>
  <c r="E168" i="3"/>
  <c r="G168" i="3"/>
  <c r="H168" i="3"/>
  <c r="E169" i="3"/>
  <c r="G169" i="3"/>
  <c r="H169" i="3"/>
  <c r="E170" i="3"/>
  <c r="F170" i="3" s="1"/>
  <c r="G170" i="3"/>
  <c r="H170" i="3"/>
  <c r="E171" i="3"/>
  <c r="F171" i="3"/>
  <c r="G171" i="3"/>
  <c r="H171" i="3"/>
  <c r="J171" i="3"/>
  <c r="E172" i="3"/>
  <c r="G172" i="3"/>
  <c r="H172" i="3"/>
  <c r="E173" i="3"/>
  <c r="F173" i="3"/>
  <c r="G173" i="3"/>
  <c r="H173" i="3"/>
  <c r="J173" i="3"/>
  <c r="E174" i="3"/>
  <c r="G174" i="3"/>
  <c r="H174" i="3"/>
  <c r="E175" i="3"/>
  <c r="F175" i="3"/>
  <c r="G175" i="3"/>
  <c r="H175" i="3"/>
  <c r="J175" i="3"/>
  <c r="E176" i="3"/>
  <c r="G176" i="3"/>
  <c r="H176" i="3"/>
  <c r="E177" i="3"/>
  <c r="F177" i="3"/>
  <c r="G177" i="3"/>
  <c r="H177" i="3"/>
  <c r="J177" i="3"/>
  <c r="E178" i="3"/>
  <c r="G178" i="3"/>
  <c r="H178" i="3"/>
  <c r="E179" i="3"/>
  <c r="F179" i="3"/>
  <c r="G179" i="3"/>
  <c r="H179" i="3"/>
  <c r="J179" i="3"/>
  <c r="E180" i="3"/>
  <c r="G180" i="3"/>
  <c r="H180" i="3"/>
  <c r="E181" i="3"/>
  <c r="F181" i="3"/>
  <c r="G181" i="3"/>
  <c r="H181" i="3"/>
  <c r="J181" i="3"/>
  <c r="E182" i="3"/>
  <c r="F182" i="3" s="1"/>
  <c r="G182" i="3"/>
  <c r="H182" i="3"/>
  <c r="E183" i="3"/>
  <c r="F183" i="3" s="1"/>
  <c r="G183" i="3"/>
  <c r="H183" i="3"/>
  <c r="J183" i="3"/>
  <c r="E184" i="3"/>
  <c r="F184" i="3" s="1"/>
  <c r="G184" i="3"/>
  <c r="H184" i="3"/>
  <c r="E185" i="3"/>
  <c r="G185" i="3"/>
  <c r="H185" i="3"/>
  <c r="E186" i="3"/>
  <c r="G186" i="3"/>
  <c r="H186" i="3"/>
  <c r="E187" i="3"/>
  <c r="F187" i="3" s="1"/>
  <c r="G187" i="3"/>
  <c r="H187" i="3"/>
  <c r="E188" i="3"/>
  <c r="G188" i="3"/>
  <c r="H188" i="3"/>
  <c r="E189" i="3"/>
  <c r="F189" i="3" s="1"/>
  <c r="G189" i="3"/>
  <c r="H189" i="3"/>
  <c r="E190" i="3"/>
  <c r="F190" i="3" s="1"/>
  <c r="G190" i="3"/>
  <c r="H190" i="3"/>
  <c r="E191" i="3"/>
  <c r="F191" i="3" s="1"/>
  <c r="G191" i="3"/>
  <c r="H191" i="3"/>
  <c r="E192" i="3"/>
  <c r="F192" i="3" s="1"/>
  <c r="G192" i="3"/>
  <c r="H192" i="3"/>
  <c r="E193" i="3"/>
  <c r="F193" i="3" s="1"/>
  <c r="G193" i="3"/>
  <c r="H193" i="3"/>
  <c r="J193" i="3"/>
  <c r="E194" i="3"/>
  <c r="F194" i="3" s="1"/>
  <c r="G194" i="3"/>
  <c r="H194" i="3"/>
  <c r="E195" i="3"/>
  <c r="F195" i="3" s="1"/>
  <c r="G195" i="3"/>
  <c r="H195" i="3"/>
  <c r="E196" i="3"/>
  <c r="G196" i="3"/>
  <c r="H196" i="3"/>
  <c r="E197" i="3"/>
  <c r="F197" i="3" s="1"/>
  <c r="G197" i="3"/>
  <c r="H197" i="3"/>
  <c r="E198" i="3"/>
  <c r="F198" i="3" s="1"/>
  <c r="G198" i="3"/>
  <c r="H198" i="3"/>
  <c r="J198" i="3"/>
  <c r="E199" i="3"/>
  <c r="F199" i="3" s="1"/>
  <c r="G199" i="3"/>
  <c r="H199" i="3"/>
  <c r="E200" i="3"/>
  <c r="F200" i="3" s="1"/>
  <c r="G200" i="3"/>
  <c r="H200" i="3"/>
  <c r="E201" i="3"/>
  <c r="G201" i="3"/>
  <c r="H201" i="3"/>
  <c r="E202" i="3"/>
  <c r="G202" i="3"/>
  <c r="H202" i="3"/>
  <c r="E203" i="3"/>
  <c r="F203" i="3" s="1"/>
  <c r="G203" i="3"/>
  <c r="H203" i="3"/>
  <c r="E204" i="3"/>
  <c r="G204" i="3"/>
  <c r="H204" i="3"/>
  <c r="E205" i="3"/>
  <c r="F205" i="3" s="1"/>
  <c r="G205" i="3"/>
  <c r="H205" i="3"/>
  <c r="E206" i="3"/>
  <c r="F206" i="3" s="1"/>
  <c r="G206" i="3"/>
  <c r="H206" i="3"/>
  <c r="J206" i="3"/>
  <c r="E207" i="3"/>
  <c r="F207" i="3" s="1"/>
  <c r="G207" i="3"/>
  <c r="H207" i="3"/>
  <c r="J207" i="3"/>
  <c r="E208" i="3"/>
  <c r="F208" i="3" s="1"/>
  <c r="G208" i="3"/>
  <c r="H208" i="3"/>
  <c r="E209" i="3"/>
  <c r="F209" i="3" s="1"/>
  <c r="G209" i="3"/>
  <c r="H209" i="3"/>
  <c r="J209" i="3"/>
  <c r="E210" i="3"/>
  <c r="G210" i="3"/>
  <c r="H210" i="3"/>
  <c r="E211" i="3"/>
  <c r="F211" i="3" s="1"/>
  <c r="G211" i="3"/>
  <c r="H211" i="3"/>
  <c r="J211" i="3"/>
  <c r="E212" i="3"/>
  <c r="G212" i="3"/>
  <c r="H212" i="3"/>
  <c r="E213" i="3"/>
  <c r="F213" i="3" s="1"/>
  <c r="G213" i="3"/>
  <c r="H213" i="3"/>
  <c r="J213" i="3"/>
  <c r="E214" i="3"/>
  <c r="F214" i="3"/>
  <c r="G214" i="3"/>
  <c r="H214" i="3"/>
  <c r="J214" i="3"/>
  <c r="E215" i="3"/>
  <c r="F215" i="3" s="1"/>
  <c r="G215" i="3"/>
  <c r="H215" i="3"/>
  <c r="E216" i="3"/>
  <c r="F216" i="3" s="1"/>
  <c r="G216" i="3"/>
  <c r="H216" i="3"/>
  <c r="E217" i="3"/>
  <c r="F217" i="3" s="1"/>
  <c r="G217" i="3"/>
  <c r="H217" i="3"/>
  <c r="J217" i="3"/>
  <c r="E218" i="3"/>
  <c r="F218" i="3" s="1"/>
  <c r="G218" i="3"/>
  <c r="H218" i="3"/>
  <c r="J218" i="3"/>
  <c r="E219" i="3"/>
  <c r="F219" i="3"/>
  <c r="G219" i="3"/>
  <c r="H219" i="3"/>
  <c r="J219" i="3"/>
  <c r="E220" i="3"/>
  <c r="G220" i="3"/>
  <c r="H220" i="3"/>
  <c r="E221" i="3"/>
  <c r="F221" i="3"/>
  <c r="G221" i="3"/>
  <c r="H221" i="3"/>
  <c r="J221" i="3"/>
  <c r="E222" i="3"/>
  <c r="F222" i="3" s="1"/>
  <c r="G222" i="3"/>
  <c r="H222" i="3"/>
  <c r="E223" i="3"/>
  <c r="F223" i="3"/>
  <c r="G223" i="3"/>
  <c r="H223" i="3"/>
  <c r="J223" i="3"/>
  <c r="E224" i="3"/>
  <c r="F224" i="3" s="1"/>
  <c r="G224" i="3"/>
  <c r="H224" i="3"/>
  <c r="E225" i="3"/>
  <c r="F225" i="3"/>
  <c r="G225" i="3"/>
  <c r="H225" i="3"/>
  <c r="J225" i="3"/>
  <c r="E226" i="3"/>
  <c r="F226" i="3" s="1"/>
  <c r="G226" i="3"/>
  <c r="H226" i="3"/>
  <c r="E227" i="3"/>
  <c r="F227" i="3"/>
  <c r="G227" i="3"/>
  <c r="H227" i="3"/>
  <c r="J227" i="3"/>
  <c r="E228" i="3"/>
  <c r="G228" i="3"/>
  <c r="H228" i="3"/>
  <c r="E229" i="3"/>
  <c r="F229" i="3"/>
  <c r="G229" i="3"/>
  <c r="H229" i="3"/>
  <c r="J229" i="3"/>
  <c r="E230" i="3"/>
  <c r="F230" i="3"/>
  <c r="G230" i="3"/>
  <c r="H230" i="3"/>
  <c r="J230" i="3"/>
  <c r="E231" i="3"/>
  <c r="F231" i="3" s="1"/>
  <c r="G231" i="3"/>
  <c r="H231" i="3"/>
  <c r="E232" i="3"/>
  <c r="F232" i="3" s="1"/>
  <c r="G232" i="3"/>
  <c r="H232" i="3"/>
  <c r="E233" i="3"/>
  <c r="F233" i="3" s="1"/>
  <c r="G233" i="3"/>
  <c r="H233" i="3"/>
  <c r="J233" i="3"/>
  <c r="E234" i="3"/>
  <c r="F234" i="3" s="1"/>
  <c r="G234" i="3"/>
  <c r="H234" i="3"/>
  <c r="J234" i="3"/>
  <c r="E235" i="3"/>
  <c r="F235" i="3"/>
  <c r="G235" i="3"/>
  <c r="H235" i="3"/>
  <c r="J235" i="3"/>
  <c r="E236" i="3"/>
  <c r="G236" i="3"/>
  <c r="H236" i="3"/>
  <c r="E237" i="3"/>
  <c r="F237" i="3"/>
  <c r="G237" i="3"/>
  <c r="H237" i="3"/>
  <c r="J237" i="3"/>
  <c r="E238" i="3"/>
  <c r="F238" i="3" s="1"/>
  <c r="G238" i="3"/>
  <c r="H238" i="3"/>
  <c r="E239" i="3"/>
  <c r="F239" i="3"/>
  <c r="G239" i="3"/>
  <c r="H239" i="3"/>
  <c r="J239" i="3"/>
  <c r="E240" i="3"/>
  <c r="F240" i="3" s="1"/>
  <c r="G240" i="3"/>
  <c r="H240" i="3"/>
  <c r="E241" i="3"/>
  <c r="F241" i="3"/>
  <c r="G241" i="3"/>
  <c r="H241" i="3"/>
  <c r="J241" i="3"/>
  <c r="E242" i="3"/>
  <c r="G242" i="3"/>
  <c r="H242" i="3"/>
  <c r="E243" i="3"/>
  <c r="F243" i="3"/>
  <c r="G243" i="3"/>
  <c r="H243" i="3"/>
  <c r="J243" i="3"/>
  <c r="E244" i="3"/>
  <c r="G244" i="3"/>
  <c r="H244" i="3"/>
  <c r="E245" i="3"/>
  <c r="F245" i="3"/>
  <c r="G245" i="3"/>
  <c r="H245" i="3"/>
  <c r="J245" i="3"/>
  <c r="E246" i="3"/>
  <c r="F246" i="3" s="1"/>
  <c r="G246" i="3"/>
  <c r="H246" i="3"/>
  <c r="E247" i="3"/>
  <c r="F247" i="3" s="1"/>
  <c r="G247" i="3"/>
  <c r="H247" i="3"/>
  <c r="J247" i="3"/>
  <c r="E248" i="3"/>
  <c r="F248" i="3" s="1"/>
  <c r="G248" i="3"/>
  <c r="H248" i="3"/>
  <c r="E249" i="3"/>
  <c r="G249" i="3"/>
  <c r="H249" i="3"/>
  <c r="E250" i="3"/>
  <c r="G250" i="3"/>
  <c r="H250" i="3"/>
  <c r="E251" i="3"/>
  <c r="F251" i="3" s="1"/>
  <c r="G251" i="3"/>
  <c r="H251" i="3"/>
  <c r="E252" i="3"/>
  <c r="G252" i="3"/>
  <c r="H252" i="3"/>
  <c r="E253" i="3"/>
  <c r="F253" i="3" s="1"/>
  <c r="G253" i="3"/>
  <c r="H253" i="3"/>
  <c r="E254" i="3"/>
  <c r="F254" i="3" s="1"/>
  <c r="G254" i="3"/>
  <c r="H254" i="3"/>
  <c r="E255" i="3"/>
  <c r="F255" i="3" s="1"/>
  <c r="G255" i="3"/>
  <c r="H255" i="3"/>
  <c r="E256" i="3"/>
  <c r="F256" i="3" s="1"/>
  <c r="G256" i="3"/>
  <c r="H256" i="3"/>
  <c r="E257" i="3"/>
  <c r="F257" i="3" s="1"/>
  <c r="G257" i="3"/>
  <c r="H257" i="3"/>
  <c r="J257" i="3"/>
  <c r="E258" i="3"/>
  <c r="F258" i="3" s="1"/>
  <c r="G258" i="3"/>
  <c r="H258" i="3"/>
  <c r="E259" i="3"/>
  <c r="F259" i="3" s="1"/>
  <c r="G259" i="3"/>
  <c r="H259" i="3"/>
  <c r="E260" i="3"/>
  <c r="G260" i="3"/>
  <c r="H260" i="3"/>
  <c r="E261" i="3"/>
  <c r="F261" i="3" s="1"/>
  <c r="G261" i="3"/>
  <c r="H261" i="3"/>
  <c r="E262" i="3"/>
  <c r="F262" i="3" s="1"/>
  <c r="G262" i="3"/>
  <c r="H262" i="3"/>
  <c r="J262" i="3"/>
  <c r="E263" i="3"/>
  <c r="F263" i="3" s="1"/>
  <c r="G263" i="3"/>
  <c r="H263" i="3"/>
  <c r="E264" i="3"/>
  <c r="F264" i="3" s="1"/>
  <c r="G264" i="3"/>
  <c r="H264" i="3"/>
  <c r="E265" i="3"/>
  <c r="G265" i="3"/>
  <c r="H265" i="3"/>
  <c r="E266" i="3"/>
  <c r="G266" i="3"/>
  <c r="H266" i="3"/>
  <c r="E267" i="3"/>
  <c r="F267" i="3" s="1"/>
  <c r="G267" i="3"/>
  <c r="H267" i="3"/>
  <c r="E268" i="3"/>
  <c r="G268" i="3"/>
  <c r="H268" i="3"/>
  <c r="E269" i="3"/>
  <c r="F269" i="3" s="1"/>
  <c r="G269" i="3"/>
  <c r="H269" i="3"/>
  <c r="E270" i="3"/>
  <c r="F270" i="3" s="1"/>
  <c r="G270" i="3"/>
  <c r="H270" i="3"/>
  <c r="J270" i="3"/>
  <c r="E271" i="3"/>
  <c r="F271" i="3" s="1"/>
  <c r="G271" i="3"/>
  <c r="H271" i="3"/>
  <c r="J271" i="3"/>
  <c r="E272" i="3"/>
  <c r="F272" i="3" s="1"/>
  <c r="G272" i="3"/>
  <c r="H272" i="3"/>
  <c r="E273" i="3"/>
  <c r="F273" i="3" s="1"/>
  <c r="G273" i="3"/>
  <c r="H273" i="3"/>
  <c r="J273" i="3"/>
  <c r="E274" i="3"/>
  <c r="G274" i="3"/>
  <c r="H274" i="3"/>
  <c r="E275" i="3"/>
  <c r="F275" i="3" s="1"/>
  <c r="G275" i="3"/>
  <c r="H275" i="3"/>
  <c r="J275" i="3"/>
  <c r="E276" i="3"/>
  <c r="G276" i="3"/>
  <c r="H276" i="3"/>
  <c r="E277" i="3"/>
  <c r="F277" i="3" s="1"/>
  <c r="G277" i="3"/>
  <c r="H277" i="3"/>
  <c r="J277" i="3"/>
  <c r="E278" i="3"/>
  <c r="F278" i="3"/>
  <c r="G278" i="3"/>
  <c r="H278" i="3"/>
  <c r="J278" i="3"/>
  <c r="E279" i="3"/>
  <c r="F279" i="3" s="1"/>
  <c r="G279" i="3"/>
  <c r="H279" i="3"/>
  <c r="E280" i="3"/>
  <c r="F280" i="3" s="1"/>
  <c r="G280" i="3"/>
  <c r="H280" i="3"/>
  <c r="E281" i="3"/>
  <c r="F281" i="3"/>
  <c r="G281" i="3"/>
  <c r="H281" i="3"/>
  <c r="J281" i="3"/>
  <c r="E282" i="3"/>
  <c r="G282" i="3"/>
  <c r="H282" i="3"/>
  <c r="E283" i="3"/>
  <c r="F283" i="3" s="1"/>
  <c r="G283" i="3"/>
  <c r="H283" i="3"/>
  <c r="E284" i="3"/>
  <c r="F284" i="3" s="1"/>
  <c r="G284" i="3"/>
  <c r="H284" i="3"/>
  <c r="E285" i="3"/>
  <c r="F285" i="3" s="1"/>
  <c r="G285" i="3"/>
  <c r="H285" i="3"/>
  <c r="J285" i="3"/>
  <c r="E286" i="3"/>
  <c r="F286" i="3" s="1"/>
  <c r="G286" i="3"/>
  <c r="H286" i="3"/>
  <c r="J286" i="3"/>
  <c r="E287" i="3"/>
  <c r="F287" i="3" s="1"/>
  <c r="G287" i="3"/>
  <c r="H287" i="3"/>
  <c r="E288" i="3"/>
  <c r="F288" i="3" s="1"/>
  <c r="G288" i="3"/>
  <c r="H288" i="3"/>
  <c r="J288" i="3"/>
  <c r="E289" i="3"/>
  <c r="F289" i="3" s="1"/>
  <c r="G289" i="3"/>
  <c r="H289" i="3"/>
  <c r="J289" i="3"/>
  <c r="E290" i="3"/>
  <c r="F290" i="3" s="1"/>
  <c r="G290" i="3"/>
  <c r="H290" i="3"/>
  <c r="J290" i="3"/>
  <c r="E291" i="3"/>
  <c r="F291" i="3"/>
  <c r="G291" i="3"/>
  <c r="H291" i="3"/>
  <c r="J291" i="3"/>
  <c r="E292" i="3"/>
  <c r="G292" i="3"/>
  <c r="H292" i="3"/>
  <c r="E293" i="3"/>
  <c r="F293" i="3"/>
  <c r="G293" i="3"/>
  <c r="H293" i="3"/>
  <c r="J293" i="3"/>
  <c r="E294" i="3"/>
  <c r="F294" i="3"/>
  <c r="G294" i="3"/>
  <c r="H294" i="3"/>
  <c r="J294" i="3"/>
  <c r="E295" i="3"/>
  <c r="G295" i="3"/>
  <c r="H295" i="3"/>
  <c r="E296" i="3"/>
  <c r="G296" i="3"/>
  <c r="H296" i="3"/>
  <c r="E297" i="3"/>
  <c r="F297" i="3" s="1"/>
  <c r="G297" i="3"/>
  <c r="H297" i="3"/>
  <c r="E298" i="3"/>
  <c r="F298" i="3" s="1"/>
  <c r="G298" i="3"/>
  <c r="H298" i="3"/>
  <c r="E299" i="3"/>
  <c r="F299" i="3" s="1"/>
  <c r="G299" i="3"/>
  <c r="H299" i="3"/>
  <c r="E300" i="3"/>
  <c r="F300" i="3" s="1"/>
  <c r="G300" i="3"/>
  <c r="H300" i="3"/>
  <c r="E301" i="3"/>
  <c r="F301" i="3" s="1"/>
  <c r="G301" i="3"/>
  <c r="H301" i="3"/>
  <c r="E302" i="3"/>
  <c r="F302" i="3"/>
  <c r="G302" i="3"/>
  <c r="H302" i="3"/>
  <c r="J302" i="3"/>
  <c r="E303" i="3"/>
  <c r="F303" i="3" s="1"/>
  <c r="G303" i="3"/>
  <c r="H303" i="3"/>
  <c r="E304" i="3"/>
  <c r="F304" i="3" s="1"/>
  <c r="G304" i="3"/>
  <c r="H304" i="3"/>
  <c r="E305" i="3"/>
  <c r="F305" i="3"/>
  <c r="G305" i="3"/>
  <c r="H305" i="3"/>
  <c r="J305" i="3"/>
  <c r="E306" i="3"/>
  <c r="F306" i="3" s="1"/>
  <c r="G306" i="3"/>
  <c r="H306" i="3"/>
  <c r="E307" i="3"/>
  <c r="F307" i="3"/>
  <c r="G307" i="3"/>
  <c r="H307" i="3"/>
  <c r="J307" i="3"/>
  <c r="E308" i="3"/>
  <c r="G308" i="3"/>
  <c r="H308" i="3"/>
  <c r="E309" i="3"/>
  <c r="F309" i="3"/>
  <c r="G309" i="3"/>
  <c r="H309" i="3"/>
  <c r="J309" i="3"/>
  <c r="E310" i="3"/>
  <c r="F310" i="3" s="1"/>
  <c r="G310" i="3"/>
  <c r="H310" i="3"/>
  <c r="E311" i="3"/>
  <c r="F311" i="3" s="1"/>
  <c r="G311" i="3"/>
  <c r="H311" i="3"/>
  <c r="J311" i="3"/>
  <c r="E312" i="3"/>
  <c r="F312" i="3" s="1"/>
  <c r="G312" i="3"/>
  <c r="H312" i="3"/>
  <c r="J312" i="3"/>
  <c r="E313" i="3"/>
  <c r="F313" i="3"/>
  <c r="G313" i="3"/>
  <c r="H313" i="3"/>
  <c r="J313" i="3"/>
  <c r="E314" i="3"/>
  <c r="F314" i="3" s="1"/>
  <c r="G314" i="3"/>
  <c r="H314" i="3"/>
  <c r="E315" i="3"/>
  <c r="F315" i="3"/>
  <c r="G315" i="3"/>
  <c r="H315" i="3"/>
  <c r="J315" i="3"/>
  <c r="E316" i="3"/>
  <c r="F316" i="3" s="1"/>
  <c r="G316" i="3"/>
  <c r="H316" i="3"/>
  <c r="E317" i="3"/>
  <c r="F317" i="3"/>
  <c r="G317" i="3"/>
  <c r="H317" i="3"/>
  <c r="J317" i="3"/>
  <c r="E318" i="3"/>
  <c r="F318" i="3"/>
  <c r="G318" i="3"/>
  <c r="H318" i="3"/>
  <c r="J318" i="3"/>
  <c r="E319" i="3"/>
  <c r="F319" i="3" s="1"/>
  <c r="G319" i="3"/>
  <c r="H319" i="3"/>
  <c r="E320" i="3"/>
  <c r="F320" i="3" s="1"/>
  <c r="G320" i="3"/>
  <c r="H320" i="3"/>
  <c r="E321" i="3"/>
  <c r="F321" i="3"/>
  <c r="G321" i="3"/>
  <c r="H321" i="3"/>
  <c r="J321" i="3"/>
  <c r="E322" i="3"/>
  <c r="G322" i="3"/>
  <c r="H322" i="3"/>
  <c r="E323" i="3"/>
  <c r="F323" i="3" s="1"/>
  <c r="G323" i="3"/>
  <c r="H323" i="3"/>
  <c r="E324" i="3"/>
  <c r="G324" i="3"/>
  <c r="H324" i="3"/>
  <c r="E325" i="3"/>
  <c r="F325" i="3" s="1"/>
  <c r="G325" i="3"/>
  <c r="H325" i="3"/>
  <c r="J325" i="3"/>
  <c r="E326" i="3"/>
  <c r="F326" i="3"/>
  <c r="G326" i="3"/>
  <c r="H326" i="3"/>
  <c r="J326" i="3"/>
  <c r="E327" i="3"/>
  <c r="F327" i="3" s="1"/>
  <c r="G327" i="3"/>
  <c r="H327" i="3"/>
  <c r="E328" i="3"/>
  <c r="F328" i="3" s="1"/>
  <c r="G328" i="3"/>
  <c r="H328" i="3"/>
  <c r="E329" i="3"/>
  <c r="F329" i="3"/>
  <c r="G329" i="3"/>
  <c r="H329" i="3"/>
  <c r="J329" i="3"/>
  <c r="E330" i="3"/>
  <c r="F330" i="3" s="1"/>
  <c r="G330" i="3"/>
  <c r="H330" i="3"/>
  <c r="E331" i="3"/>
  <c r="F331" i="3"/>
  <c r="G331" i="3"/>
  <c r="H331" i="3"/>
  <c r="J331" i="3"/>
  <c r="E332" i="3"/>
  <c r="F332" i="3" s="1"/>
  <c r="G332" i="3"/>
  <c r="H332" i="3"/>
  <c r="E333" i="3"/>
  <c r="F333" i="3"/>
  <c r="G333" i="3"/>
  <c r="H333" i="3"/>
  <c r="J333" i="3"/>
  <c r="E334" i="3"/>
  <c r="F334" i="3"/>
  <c r="G334" i="3"/>
  <c r="H334" i="3"/>
  <c r="J334" i="3"/>
  <c r="E335" i="3"/>
  <c r="G335" i="3"/>
  <c r="H335" i="3"/>
  <c r="E336" i="3"/>
  <c r="G336" i="3"/>
  <c r="H336" i="3"/>
  <c r="E337" i="3"/>
  <c r="F337" i="3" s="1"/>
  <c r="G337" i="3"/>
  <c r="H337" i="3"/>
  <c r="E338" i="3"/>
  <c r="G338" i="3"/>
  <c r="H338" i="3"/>
  <c r="E339" i="3"/>
  <c r="G339" i="3"/>
  <c r="H339" i="3"/>
  <c r="E340" i="3"/>
  <c r="F340" i="3" s="1"/>
  <c r="G340" i="3"/>
  <c r="H340" i="3"/>
  <c r="J340" i="3"/>
  <c r="E341" i="3"/>
  <c r="F341" i="3"/>
  <c r="G341" i="3"/>
  <c r="H341" i="3"/>
  <c r="J341" i="3"/>
  <c r="E342" i="3"/>
  <c r="F342" i="3" s="1"/>
  <c r="G342" i="3"/>
  <c r="H342" i="3"/>
  <c r="E343" i="3"/>
  <c r="F343" i="3"/>
  <c r="G343" i="3"/>
  <c r="H343" i="3"/>
  <c r="J343" i="3"/>
  <c r="E344" i="3"/>
  <c r="F344" i="3" s="1"/>
  <c r="G344" i="3"/>
  <c r="H344" i="3"/>
  <c r="E345" i="3"/>
  <c r="F345" i="3" s="1"/>
  <c r="G345" i="3"/>
  <c r="H345" i="3"/>
  <c r="E346" i="3"/>
  <c r="G346" i="3"/>
  <c r="H346" i="3"/>
  <c r="E347" i="3"/>
  <c r="G347" i="3"/>
  <c r="H347" i="3"/>
  <c r="E348" i="3"/>
  <c r="G348" i="3"/>
  <c r="H348" i="3"/>
  <c r="E349" i="3"/>
  <c r="F349" i="3"/>
  <c r="G349" i="3"/>
  <c r="H349" i="3"/>
  <c r="J349" i="3"/>
  <c r="E350" i="3"/>
  <c r="F350" i="3"/>
  <c r="G350" i="3"/>
  <c r="H350" i="3"/>
  <c r="J350" i="3"/>
  <c r="E351" i="3"/>
  <c r="G351" i="3"/>
  <c r="H351" i="3"/>
  <c r="E352" i="3"/>
  <c r="G352" i="3"/>
  <c r="H352" i="3"/>
  <c r="E353" i="3"/>
  <c r="F353" i="3" s="1"/>
  <c r="G353" i="3"/>
  <c r="H353" i="3"/>
  <c r="E354" i="3"/>
  <c r="F354" i="3" s="1"/>
  <c r="G354" i="3"/>
  <c r="H354" i="3"/>
  <c r="E355" i="3"/>
  <c r="F355" i="3" s="1"/>
  <c r="G355" i="3"/>
  <c r="H355" i="3"/>
  <c r="E356" i="3"/>
  <c r="F356" i="3" s="1"/>
  <c r="G356" i="3"/>
  <c r="H356" i="3"/>
  <c r="J356" i="3"/>
  <c r="E357" i="3"/>
  <c r="F357" i="3" s="1"/>
  <c r="G357" i="3"/>
  <c r="H357" i="3"/>
  <c r="E358" i="3"/>
  <c r="G358" i="3"/>
  <c r="H358" i="3"/>
  <c r="E359" i="3"/>
  <c r="F359" i="3" s="1"/>
  <c r="G359" i="3"/>
  <c r="H359" i="3"/>
  <c r="E360" i="3"/>
  <c r="F360" i="3" s="1"/>
  <c r="G360" i="3"/>
  <c r="H360" i="3"/>
  <c r="E361" i="3"/>
  <c r="F361" i="3" s="1"/>
  <c r="G361" i="3"/>
  <c r="H361" i="3"/>
  <c r="E362" i="3"/>
  <c r="F362" i="3" s="1"/>
  <c r="G362" i="3"/>
  <c r="H362" i="3"/>
  <c r="E363" i="3"/>
  <c r="F363" i="3" s="1"/>
  <c r="G363" i="3"/>
  <c r="H363" i="3"/>
  <c r="E364" i="3"/>
  <c r="F364" i="3" s="1"/>
  <c r="G364" i="3"/>
  <c r="H364" i="3"/>
  <c r="E365" i="3"/>
  <c r="F365" i="3" s="1"/>
  <c r="G365" i="3"/>
  <c r="H365" i="3"/>
  <c r="E366" i="3"/>
  <c r="G366" i="3"/>
  <c r="H366" i="3"/>
  <c r="E367" i="3"/>
  <c r="F367" i="3" s="1"/>
  <c r="G367" i="3"/>
  <c r="H367" i="3"/>
  <c r="E368" i="3"/>
  <c r="G368" i="3"/>
  <c r="H368" i="3"/>
  <c r="E369" i="3"/>
  <c r="F369" i="3" s="1"/>
  <c r="G369" i="3"/>
  <c r="H369" i="3"/>
  <c r="E370" i="3"/>
  <c r="F370" i="3" s="1"/>
  <c r="G370" i="3"/>
  <c r="H370" i="3"/>
  <c r="E371" i="3"/>
  <c r="F371" i="3" s="1"/>
  <c r="G371" i="3"/>
  <c r="H371" i="3"/>
  <c r="E372" i="3"/>
  <c r="F372" i="3" s="1"/>
  <c r="G372" i="3"/>
  <c r="H372" i="3"/>
  <c r="J372" i="3"/>
  <c r="E373" i="3"/>
  <c r="F373" i="3" s="1"/>
  <c r="G373" i="3"/>
  <c r="H373" i="3"/>
  <c r="E374" i="3"/>
  <c r="G374" i="3"/>
  <c r="H374" i="3"/>
  <c r="E375" i="3"/>
  <c r="F375" i="3" s="1"/>
  <c r="G375" i="3"/>
  <c r="H375" i="3"/>
  <c r="E376" i="3"/>
  <c r="F376" i="3" s="1"/>
  <c r="G376" i="3"/>
  <c r="H376" i="3"/>
  <c r="E377" i="3"/>
  <c r="F377" i="3" s="1"/>
  <c r="G377" i="3"/>
  <c r="H377" i="3"/>
  <c r="E378" i="3"/>
  <c r="F378" i="3" s="1"/>
  <c r="G378" i="3"/>
  <c r="H378" i="3"/>
  <c r="E379" i="3"/>
  <c r="F379" i="3" s="1"/>
  <c r="G379" i="3"/>
  <c r="H379" i="3"/>
  <c r="E380" i="3"/>
  <c r="F380" i="3" s="1"/>
  <c r="G380" i="3"/>
  <c r="H380" i="3"/>
  <c r="E381" i="3"/>
  <c r="F381" i="3" s="1"/>
  <c r="G381" i="3"/>
  <c r="H381" i="3"/>
  <c r="E382" i="3"/>
  <c r="G382" i="3"/>
  <c r="H382" i="3"/>
  <c r="E383" i="3"/>
  <c r="F383" i="3" s="1"/>
  <c r="G383" i="3"/>
  <c r="H383" i="3"/>
  <c r="E384" i="3"/>
  <c r="G384" i="3"/>
  <c r="H384" i="3"/>
  <c r="E385" i="3"/>
  <c r="F385" i="3" s="1"/>
  <c r="G385" i="3"/>
  <c r="H385" i="3"/>
  <c r="E386" i="3"/>
  <c r="F386" i="3" s="1"/>
  <c r="G386" i="3"/>
  <c r="H386" i="3"/>
  <c r="E387" i="3"/>
  <c r="F387" i="3" s="1"/>
  <c r="G387" i="3"/>
  <c r="H387" i="3"/>
  <c r="E388" i="3"/>
  <c r="F388" i="3" s="1"/>
  <c r="G388" i="3"/>
  <c r="H388" i="3"/>
  <c r="J388" i="3"/>
  <c r="E389" i="3"/>
  <c r="F389" i="3" s="1"/>
  <c r="G389" i="3"/>
  <c r="H389" i="3"/>
  <c r="E390" i="3"/>
  <c r="G390" i="3"/>
  <c r="H390" i="3"/>
  <c r="E391" i="3"/>
  <c r="F391" i="3" s="1"/>
  <c r="G391" i="3"/>
  <c r="H391" i="3"/>
  <c r="E392" i="3"/>
  <c r="F392" i="3" s="1"/>
  <c r="G392" i="3"/>
  <c r="H392" i="3"/>
  <c r="E393" i="3"/>
  <c r="F393" i="3" s="1"/>
  <c r="G393" i="3"/>
  <c r="H393" i="3"/>
  <c r="E394" i="3"/>
  <c r="F394" i="3" s="1"/>
  <c r="G394" i="3"/>
  <c r="H394" i="3"/>
  <c r="E395" i="3"/>
  <c r="F395" i="3" s="1"/>
  <c r="G395" i="3"/>
  <c r="H395" i="3"/>
  <c r="E396" i="3"/>
  <c r="F396" i="3" s="1"/>
  <c r="G396" i="3"/>
  <c r="H396" i="3"/>
  <c r="E397" i="3"/>
  <c r="F397" i="3" s="1"/>
  <c r="G397" i="3"/>
  <c r="H397" i="3"/>
  <c r="E398" i="3"/>
  <c r="G398" i="3"/>
  <c r="H398" i="3"/>
  <c r="E399" i="3"/>
  <c r="F399" i="3" s="1"/>
  <c r="G399" i="3"/>
  <c r="H399" i="3"/>
  <c r="E400" i="3"/>
  <c r="G400" i="3"/>
  <c r="H400" i="3"/>
  <c r="E401" i="3"/>
  <c r="F401" i="3" s="1"/>
  <c r="G401" i="3"/>
  <c r="H401" i="3"/>
  <c r="E402" i="3"/>
  <c r="F402" i="3" s="1"/>
  <c r="G402" i="3"/>
  <c r="H402" i="3"/>
  <c r="E403" i="3"/>
  <c r="F403" i="3" s="1"/>
  <c r="G403" i="3"/>
  <c r="H403" i="3"/>
  <c r="E404" i="3"/>
  <c r="F404" i="3" s="1"/>
  <c r="G404" i="3"/>
  <c r="H404" i="3"/>
  <c r="J404" i="3"/>
  <c r="E405" i="3"/>
  <c r="F405" i="3" s="1"/>
  <c r="G405" i="3"/>
  <c r="H405" i="3"/>
  <c r="E406" i="3"/>
  <c r="G406" i="3"/>
  <c r="H406" i="3"/>
  <c r="E407" i="3"/>
  <c r="F407" i="3" s="1"/>
  <c r="G407" i="3"/>
  <c r="H407" i="3"/>
  <c r="E408" i="3"/>
  <c r="F408" i="3"/>
  <c r="G408" i="3"/>
  <c r="H408" i="3"/>
  <c r="J408" i="3"/>
  <c r="E409" i="3"/>
  <c r="F409" i="3" s="1"/>
  <c r="G409" i="3"/>
  <c r="H409" i="3"/>
  <c r="E410" i="3"/>
  <c r="F410" i="3"/>
  <c r="G410" i="3"/>
  <c r="H410" i="3"/>
  <c r="J410" i="3"/>
  <c r="E411" i="3"/>
  <c r="F411" i="3" s="1"/>
  <c r="G411" i="3"/>
  <c r="H411" i="3"/>
  <c r="E412" i="3"/>
  <c r="F412" i="3"/>
  <c r="G412" i="3"/>
  <c r="H412" i="3"/>
  <c r="J412" i="3"/>
  <c r="E413" i="3"/>
  <c r="F413" i="3" s="1"/>
  <c r="G413" i="3"/>
  <c r="H413" i="3"/>
  <c r="E414" i="3"/>
  <c r="F414" i="3"/>
  <c r="G414" i="3"/>
  <c r="H414" i="3"/>
  <c r="J414" i="3"/>
  <c r="E415" i="3"/>
  <c r="F415" i="3" s="1"/>
  <c r="G415" i="3"/>
  <c r="H415" i="3"/>
  <c r="E416" i="3"/>
  <c r="F416" i="3"/>
  <c r="G416" i="3"/>
  <c r="H416" i="3"/>
  <c r="J416" i="3"/>
  <c r="E417" i="3"/>
  <c r="F417" i="3" s="1"/>
  <c r="G417" i="3"/>
  <c r="H417" i="3"/>
  <c r="E418" i="3"/>
  <c r="F418" i="3"/>
  <c r="G418" i="3"/>
  <c r="H418" i="3"/>
  <c r="J418" i="3"/>
  <c r="E419" i="3"/>
  <c r="F419" i="3" s="1"/>
  <c r="G419" i="3"/>
  <c r="H419" i="3"/>
  <c r="E420" i="3"/>
  <c r="F420" i="3"/>
  <c r="G420" i="3"/>
  <c r="H420" i="3"/>
  <c r="J420" i="3"/>
  <c r="E421" i="3"/>
  <c r="F421" i="3" s="1"/>
  <c r="G421" i="3"/>
  <c r="H421" i="3"/>
  <c r="E422" i="3"/>
  <c r="F422" i="3"/>
  <c r="G422" i="3"/>
  <c r="H422" i="3"/>
  <c r="J422" i="3"/>
  <c r="E423" i="3"/>
  <c r="F423" i="3" s="1"/>
  <c r="G423" i="3"/>
  <c r="H423" i="3"/>
  <c r="E424" i="3"/>
  <c r="F424" i="3"/>
  <c r="G424" i="3"/>
  <c r="H424" i="3"/>
  <c r="J424" i="3"/>
  <c r="E425" i="3"/>
  <c r="F425" i="3" s="1"/>
  <c r="G425" i="3"/>
  <c r="H425" i="3"/>
  <c r="E426" i="3"/>
  <c r="F426" i="3"/>
  <c r="G426" i="3"/>
  <c r="H426" i="3"/>
  <c r="J426" i="3"/>
  <c r="E427" i="3"/>
  <c r="F427" i="3" s="1"/>
  <c r="G427" i="3"/>
  <c r="H427" i="3"/>
  <c r="E428" i="3"/>
  <c r="F428" i="3"/>
  <c r="G428" i="3"/>
  <c r="H428" i="3"/>
  <c r="J428" i="3"/>
  <c r="E429" i="3"/>
  <c r="F429" i="3" s="1"/>
  <c r="G429" i="3"/>
  <c r="H429" i="3"/>
  <c r="E430" i="3"/>
  <c r="F430" i="3"/>
  <c r="G430" i="3"/>
  <c r="H430" i="3"/>
  <c r="J430" i="3"/>
  <c r="E431" i="3"/>
  <c r="G431" i="3"/>
  <c r="H431" i="3"/>
  <c r="E432" i="3"/>
  <c r="F432" i="3"/>
  <c r="G432" i="3"/>
  <c r="H432" i="3"/>
  <c r="J432" i="3"/>
  <c r="E433" i="3"/>
  <c r="G433" i="3"/>
  <c r="H433" i="3"/>
  <c r="E434" i="3"/>
  <c r="F434" i="3"/>
  <c r="G434" i="3"/>
  <c r="H434" i="3"/>
  <c r="J434" i="3"/>
  <c r="E435" i="3"/>
  <c r="G435" i="3"/>
  <c r="H435" i="3"/>
  <c r="E436" i="3"/>
  <c r="F436" i="3"/>
  <c r="G436" i="3"/>
  <c r="H436" i="3"/>
  <c r="J436" i="3"/>
  <c r="E437" i="3"/>
  <c r="G437" i="3"/>
  <c r="H437" i="3"/>
  <c r="E438" i="3"/>
  <c r="F438" i="3"/>
  <c r="G438" i="3"/>
  <c r="H438" i="3"/>
  <c r="J438" i="3"/>
  <c r="E439" i="3"/>
  <c r="G439" i="3"/>
  <c r="H439" i="3"/>
  <c r="E440" i="3"/>
  <c r="F440" i="3"/>
  <c r="G440" i="3"/>
  <c r="H440" i="3"/>
  <c r="J440" i="3"/>
  <c r="E441" i="3"/>
  <c r="G441" i="3"/>
  <c r="H441" i="3"/>
  <c r="E442" i="3"/>
  <c r="F442" i="3"/>
  <c r="G442" i="3"/>
  <c r="H442" i="3"/>
  <c r="J442" i="3"/>
  <c r="E443" i="3"/>
  <c r="G443" i="3"/>
  <c r="H443" i="3"/>
  <c r="E444" i="3"/>
  <c r="F444" i="3"/>
  <c r="G444" i="3"/>
  <c r="H444" i="3"/>
  <c r="J444" i="3"/>
  <c r="E445" i="3"/>
  <c r="G445" i="3"/>
  <c r="H445" i="3"/>
  <c r="E446" i="3"/>
  <c r="F446" i="3"/>
  <c r="G446" i="3"/>
  <c r="H446" i="3"/>
  <c r="J446" i="3"/>
  <c r="E447" i="3"/>
  <c r="G447" i="3"/>
  <c r="H447" i="3"/>
  <c r="E448" i="3"/>
  <c r="F448" i="3"/>
  <c r="G448" i="3"/>
  <c r="H448" i="3"/>
  <c r="J448" i="3"/>
  <c r="E449" i="3"/>
  <c r="G449" i="3"/>
  <c r="H449" i="3"/>
  <c r="E450" i="3"/>
  <c r="F450" i="3"/>
  <c r="G450" i="3"/>
  <c r="H450" i="3"/>
  <c r="J450" i="3"/>
  <c r="E451" i="3"/>
  <c r="G451" i="3"/>
  <c r="H451" i="3"/>
  <c r="E452" i="3"/>
  <c r="F452" i="3"/>
  <c r="G452" i="3"/>
  <c r="H452" i="3"/>
  <c r="J452" i="3"/>
  <c r="E453" i="3"/>
  <c r="G453" i="3"/>
  <c r="H453" i="3"/>
  <c r="E454" i="3"/>
  <c r="F454" i="3"/>
  <c r="G454" i="3"/>
  <c r="H454" i="3"/>
  <c r="J454" i="3"/>
  <c r="E455" i="3"/>
  <c r="G455" i="3"/>
  <c r="H455" i="3"/>
  <c r="E456" i="3"/>
  <c r="F456" i="3"/>
  <c r="G456" i="3"/>
  <c r="H456" i="3"/>
  <c r="J456" i="3"/>
  <c r="E457" i="3"/>
  <c r="G457" i="3"/>
  <c r="H457" i="3"/>
  <c r="E458" i="3"/>
  <c r="F458" i="3"/>
  <c r="G458" i="3"/>
  <c r="H458" i="3"/>
  <c r="J458" i="3"/>
  <c r="E459" i="3"/>
  <c r="G459" i="3"/>
  <c r="H459" i="3"/>
  <c r="E460" i="3"/>
  <c r="F460" i="3"/>
  <c r="G460" i="3"/>
  <c r="H460" i="3"/>
  <c r="J460" i="3"/>
  <c r="E461" i="3"/>
  <c r="G461" i="3"/>
  <c r="H461" i="3"/>
  <c r="E462" i="3"/>
  <c r="F462" i="3"/>
  <c r="G462" i="3"/>
  <c r="H462" i="3"/>
  <c r="J462" i="3"/>
  <c r="E463" i="3"/>
  <c r="G463" i="3"/>
  <c r="H463" i="3"/>
  <c r="E464" i="3"/>
  <c r="F464" i="3"/>
  <c r="G464" i="3"/>
  <c r="H464" i="3"/>
  <c r="J464" i="3"/>
  <c r="E465" i="3"/>
  <c r="G465" i="3"/>
  <c r="H465" i="3"/>
  <c r="E466" i="3"/>
  <c r="F466" i="3"/>
  <c r="G466" i="3"/>
  <c r="H466" i="3"/>
  <c r="J466" i="3"/>
  <c r="E467" i="3"/>
  <c r="G467" i="3"/>
  <c r="H467" i="3"/>
  <c r="E468" i="3"/>
  <c r="F468" i="3"/>
  <c r="G468" i="3"/>
  <c r="H468" i="3"/>
  <c r="J468" i="3"/>
  <c r="E469" i="3"/>
  <c r="G469" i="3"/>
  <c r="H469" i="3"/>
  <c r="E470" i="3"/>
  <c r="F470" i="3"/>
  <c r="G470" i="3"/>
  <c r="H470" i="3"/>
  <c r="J470" i="3"/>
  <c r="E471" i="3"/>
  <c r="G471" i="3"/>
  <c r="H471" i="3"/>
  <c r="E472" i="3"/>
  <c r="F472" i="3"/>
  <c r="G472" i="3"/>
  <c r="H472" i="3"/>
  <c r="J472" i="3"/>
  <c r="E473" i="3"/>
  <c r="G473" i="3"/>
  <c r="H473" i="3"/>
  <c r="E474" i="3"/>
  <c r="F474" i="3"/>
  <c r="G474" i="3"/>
  <c r="H474" i="3"/>
  <c r="J474" i="3"/>
  <c r="E475" i="3"/>
  <c r="G475" i="3"/>
  <c r="H475" i="3"/>
  <c r="E476" i="3"/>
  <c r="F476" i="3"/>
  <c r="G476" i="3"/>
  <c r="H476" i="3"/>
  <c r="J476" i="3"/>
  <c r="E477" i="3"/>
  <c r="G477" i="3"/>
  <c r="H477" i="3"/>
  <c r="E478" i="3"/>
  <c r="F478" i="3"/>
  <c r="G478" i="3"/>
  <c r="H478" i="3"/>
  <c r="J478" i="3"/>
  <c r="E479" i="3"/>
  <c r="G479" i="3"/>
  <c r="H479" i="3"/>
  <c r="E480" i="3"/>
  <c r="F480" i="3"/>
  <c r="G480" i="3"/>
  <c r="H480" i="3"/>
  <c r="J480" i="3"/>
  <c r="E481" i="3"/>
  <c r="G481" i="3"/>
  <c r="H481" i="3"/>
  <c r="E482" i="3"/>
  <c r="F482" i="3"/>
  <c r="G482" i="3"/>
  <c r="H482" i="3"/>
  <c r="J482" i="3"/>
  <c r="E483" i="3"/>
  <c r="G483" i="3"/>
  <c r="H483" i="3"/>
  <c r="E484" i="3"/>
  <c r="F484" i="3"/>
  <c r="G484" i="3"/>
  <c r="H484" i="3"/>
  <c r="J484" i="3"/>
  <c r="E485" i="3"/>
  <c r="G485" i="3"/>
  <c r="H485" i="3"/>
  <c r="E486" i="3"/>
  <c r="F486" i="3"/>
  <c r="G486" i="3"/>
  <c r="H486" i="3"/>
  <c r="J486" i="3"/>
  <c r="E487" i="3"/>
  <c r="G487" i="3"/>
  <c r="H487" i="3"/>
  <c r="E488" i="3"/>
  <c r="F488" i="3"/>
  <c r="G488" i="3"/>
  <c r="H488" i="3"/>
  <c r="J488" i="3"/>
  <c r="E489" i="3"/>
  <c r="G489" i="3"/>
  <c r="H489" i="3"/>
  <c r="E490" i="3"/>
  <c r="F490" i="3"/>
  <c r="G490" i="3"/>
  <c r="H490" i="3"/>
  <c r="J490" i="3"/>
  <c r="E491" i="3"/>
  <c r="G491" i="3"/>
  <c r="H491" i="3"/>
  <c r="E492" i="3"/>
  <c r="F492" i="3"/>
  <c r="G492" i="3"/>
  <c r="H492" i="3"/>
  <c r="J492" i="3"/>
  <c r="E493" i="3"/>
  <c r="G493" i="3"/>
  <c r="H493" i="3"/>
  <c r="E494" i="3"/>
  <c r="F494" i="3"/>
  <c r="G494" i="3"/>
  <c r="H494" i="3"/>
  <c r="J494" i="3"/>
  <c r="E495" i="3"/>
  <c r="G495" i="3"/>
  <c r="H495" i="3"/>
  <c r="E496" i="3"/>
  <c r="F496" i="3"/>
  <c r="G496" i="3"/>
  <c r="H496" i="3"/>
  <c r="J496" i="3"/>
  <c r="E497" i="3"/>
  <c r="G497" i="3"/>
  <c r="H497" i="3"/>
  <c r="E498" i="3"/>
  <c r="F498" i="3"/>
  <c r="G498" i="3"/>
  <c r="H498" i="3"/>
  <c r="J498" i="3"/>
  <c r="E499" i="3"/>
  <c r="G499" i="3"/>
  <c r="H499" i="3"/>
  <c r="E500" i="3"/>
  <c r="F500" i="3"/>
  <c r="G500" i="3"/>
  <c r="H500" i="3"/>
  <c r="J500" i="3"/>
  <c r="E501" i="3"/>
  <c r="G501" i="3"/>
  <c r="H501" i="3"/>
  <c r="E502" i="3"/>
  <c r="F502" i="3" s="1"/>
  <c r="G502" i="3"/>
  <c r="H502" i="3"/>
  <c r="E503" i="3"/>
  <c r="G503" i="3"/>
  <c r="H503" i="3"/>
  <c r="E504" i="3"/>
  <c r="F504" i="3" s="1"/>
  <c r="G504" i="3"/>
  <c r="H504" i="3"/>
  <c r="E505" i="3"/>
  <c r="G505" i="3"/>
  <c r="H505" i="3"/>
  <c r="E506" i="3"/>
  <c r="F506" i="3" s="1"/>
  <c r="G506" i="3"/>
  <c r="H506" i="3"/>
  <c r="E507" i="3"/>
  <c r="G507" i="3"/>
  <c r="H507" i="3"/>
  <c r="E508" i="3"/>
  <c r="F508" i="3"/>
  <c r="G508" i="3"/>
  <c r="H508" i="3"/>
  <c r="J508" i="3"/>
  <c r="E509" i="3"/>
  <c r="G509" i="3"/>
  <c r="H509" i="3"/>
  <c r="E510" i="3"/>
  <c r="F510" i="3" s="1"/>
  <c r="G510" i="3"/>
  <c r="H510" i="3"/>
  <c r="E511" i="3"/>
  <c r="F511" i="3" s="1"/>
  <c r="G511" i="3"/>
  <c r="H511" i="3"/>
  <c r="E512" i="3"/>
  <c r="F512" i="3" s="1"/>
  <c r="G512" i="3"/>
  <c r="H512" i="3"/>
  <c r="E513" i="3"/>
  <c r="G513" i="3"/>
  <c r="H513" i="3"/>
  <c r="E514" i="3"/>
  <c r="F514" i="3" s="1"/>
  <c r="G514" i="3"/>
  <c r="H514" i="3"/>
  <c r="E515" i="3"/>
  <c r="F515" i="3" s="1"/>
  <c r="G515" i="3"/>
  <c r="H515" i="3"/>
  <c r="E516" i="3"/>
  <c r="F516" i="3" s="1"/>
  <c r="G516" i="3"/>
  <c r="H516" i="3"/>
  <c r="E517" i="3"/>
  <c r="F517" i="3" s="1"/>
  <c r="G517" i="3"/>
  <c r="H517" i="3"/>
  <c r="J517" i="3"/>
  <c r="E518" i="3"/>
  <c r="F518" i="3" s="1"/>
  <c r="G518" i="3"/>
  <c r="H518" i="3"/>
  <c r="E519" i="3"/>
  <c r="F519" i="3" s="1"/>
  <c r="G519" i="3"/>
  <c r="H519" i="3"/>
  <c r="E520" i="3"/>
  <c r="F520" i="3" s="1"/>
  <c r="G520" i="3"/>
  <c r="H520" i="3"/>
  <c r="E521" i="3"/>
  <c r="F521" i="3" s="1"/>
  <c r="G521" i="3"/>
  <c r="H521" i="3"/>
  <c r="E522" i="3"/>
  <c r="F522" i="3" s="1"/>
  <c r="G522" i="3"/>
  <c r="H522" i="3"/>
  <c r="E523" i="3"/>
  <c r="F523" i="3" s="1"/>
  <c r="G523" i="3"/>
  <c r="H523" i="3"/>
  <c r="J523" i="3"/>
  <c r="E524" i="3"/>
  <c r="F524" i="3" s="1"/>
  <c r="G524" i="3"/>
  <c r="H524" i="3"/>
  <c r="E525" i="3"/>
  <c r="F525" i="3" s="1"/>
  <c r="G525" i="3"/>
  <c r="H525" i="3"/>
  <c r="E526" i="3"/>
  <c r="F526" i="3" s="1"/>
  <c r="G526" i="3"/>
  <c r="H526" i="3"/>
  <c r="E527" i="3"/>
  <c r="F527" i="3" s="1"/>
  <c r="G527" i="3"/>
  <c r="H527" i="3"/>
  <c r="E528" i="3"/>
  <c r="F528" i="3" s="1"/>
  <c r="G528" i="3"/>
  <c r="H528" i="3"/>
  <c r="E529" i="3"/>
  <c r="F529" i="3" s="1"/>
  <c r="G529" i="3"/>
  <c r="H529" i="3"/>
  <c r="J529" i="3"/>
  <c r="E530" i="3"/>
  <c r="F530" i="3" s="1"/>
  <c r="G530" i="3"/>
  <c r="H530" i="3"/>
  <c r="E531" i="3"/>
  <c r="F531" i="3" s="1"/>
  <c r="G531" i="3"/>
  <c r="H531" i="3"/>
  <c r="E532" i="3"/>
  <c r="F532" i="3" s="1"/>
  <c r="G532" i="3"/>
  <c r="H532" i="3"/>
  <c r="E533" i="3"/>
  <c r="G533" i="3"/>
  <c r="H533" i="3"/>
  <c r="E534" i="3"/>
  <c r="F534" i="3" s="1"/>
  <c r="G534" i="3"/>
  <c r="H534" i="3"/>
  <c r="E535" i="3"/>
  <c r="F535" i="3" s="1"/>
  <c r="G535" i="3"/>
  <c r="H535" i="3"/>
  <c r="E536" i="3"/>
  <c r="F536" i="3" s="1"/>
  <c r="G536" i="3"/>
  <c r="H536" i="3"/>
  <c r="E537" i="3"/>
  <c r="F537" i="3" s="1"/>
  <c r="G537" i="3"/>
  <c r="H537" i="3"/>
  <c r="E538" i="3"/>
  <c r="F538" i="3" s="1"/>
  <c r="G538" i="3"/>
  <c r="H538" i="3"/>
  <c r="E539" i="3"/>
  <c r="G539" i="3"/>
  <c r="H539" i="3"/>
  <c r="E540" i="3"/>
  <c r="F540" i="3" s="1"/>
  <c r="G540" i="3"/>
  <c r="H540" i="3"/>
  <c r="E541" i="3"/>
  <c r="F541" i="3" s="1"/>
  <c r="G541" i="3"/>
  <c r="H541" i="3"/>
  <c r="E542" i="3"/>
  <c r="F542" i="3" s="1"/>
  <c r="G542" i="3"/>
  <c r="H542" i="3"/>
  <c r="E543" i="3"/>
  <c r="F543" i="3" s="1"/>
  <c r="G543" i="3"/>
  <c r="H543" i="3"/>
  <c r="E544" i="3"/>
  <c r="F544" i="3" s="1"/>
  <c r="G544" i="3"/>
  <c r="H544" i="3"/>
  <c r="E545" i="3"/>
  <c r="F545" i="3" s="1"/>
  <c r="G545" i="3"/>
  <c r="H545" i="3"/>
  <c r="E546" i="3"/>
  <c r="F546" i="3" s="1"/>
  <c r="G546" i="3"/>
  <c r="H546" i="3"/>
  <c r="E547" i="3"/>
  <c r="G547" i="3"/>
  <c r="H547" i="3"/>
  <c r="E548" i="3"/>
  <c r="F548" i="3" s="1"/>
  <c r="G548" i="3"/>
  <c r="H548" i="3"/>
  <c r="E549" i="3"/>
  <c r="F549" i="3" s="1"/>
  <c r="G549" i="3"/>
  <c r="H549" i="3"/>
  <c r="J549" i="3"/>
  <c r="E550" i="3"/>
  <c r="F550" i="3" s="1"/>
  <c r="G550" i="3"/>
  <c r="H550" i="3"/>
  <c r="E551" i="3"/>
  <c r="F551" i="3" s="1"/>
  <c r="G551" i="3"/>
  <c r="H551" i="3"/>
  <c r="E552" i="3"/>
  <c r="F552" i="3" s="1"/>
  <c r="G552" i="3"/>
  <c r="H552" i="3"/>
  <c r="E553" i="3"/>
  <c r="G553" i="3"/>
  <c r="H553" i="3"/>
  <c r="E554" i="3"/>
  <c r="F554" i="3" s="1"/>
  <c r="G554" i="3"/>
  <c r="H554" i="3"/>
  <c r="E555" i="3"/>
  <c r="F555" i="3" s="1"/>
  <c r="G555" i="3"/>
  <c r="H555" i="3"/>
  <c r="J555" i="3"/>
  <c r="E556" i="3"/>
  <c r="F556" i="3" s="1"/>
  <c r="G556" i="3"/>
  <c r="H556" i="3"/>
  <c r="E557" i="3"/>
  <c r="F557" i="3" s="1"/>
  <c r="G557" i="3"/>
  <c r="H557" i="3"/>
  <c r="E558" i="3"/>
  <c r="F558" i="3" s="1"/>
  <c r="G558" i="3"/>
  <c r="H558" i="3"/>
  <c r="E559" i="3"/>
  <c r="F559" i="3" s="1"/>
  <c r="G559" i="3"/>
  <c r="H559" i="3"/>
  <c r="E560" i="3"/>
  <c r="F560" i="3" s="1"/>
  <c r="G560" i="3"/>
  <c r="H560" i="3"/>
  <c r="E561" i="3"/>
  <c r="F561" i="3" s="1"/>
  <c r="G561" i="3"/>
  <c r="H561" i="3"/>
  <c r="J561" i="3"/>
  <c r="E562" i="3"/>
  <c r="F562" i="3" s="1"/>
  <c r="G562" i="3"/>
  <c r="H562" i="3"/>
  <c r="E563" i="3"/>
  <c r="F563" i="3" s="1"/>
  <c r="G563" i="3"/>
  <c r="H563" i="3"/>
  <c r="E564" i="3"/>
  <c r="F564" i="3" s="1"/>
  <c r="G564" i="3"/>
  <c r="H564" i="3"/>
  <c r="E565" i="3"/>
  <c r="F565" i="3" s="1"/>
  <c r="G565" i="3"/>
  <c r="H565" i="3"/>
  <c r="E566" i="3"/>
  <c r="F566" i="3" s="1"/>
  <c r="G566" i="3"/>
  <c r="H566" i="3"/>
  <c r="E567" i="3"/>
  <c r="F567" i="3" s="1"/>
  <c r="G567" i="3"/>
  <c r="H567" i="3"/>
  <c r="E568" i="3"/>
  <c r="F568" i="3" s="1"/>
  <c r="G568" i="3"/>
  <c r="H568" i="3"/>
  <c r="E569" i="3"/>
  <c r="F569" i="3" s="1"/>
  <c r="G569" i="3"/>
  <c r="H569" i="3"/>
  <c r="E570" i="3"/>
  <c r="F570" i="3" s="1"/>
  <c r="G570" i="3"/>
  <c r="H570" i="3"/>
  <c r="E571" i="3"/>
  <c r="F571" i="3" s="1"/>
  <c r="G571" i="3"/>
  <c r="H571" i="3"/>
  <c r="E572" i="3"/>
  <c r="F572" i="3" s="1"/>
  <c r="G572" i="3"/>
  <c r="H572" i="3"/>
  <c r="E573" i="3"/>
  <c r="G573" i="3"/>
  <c r="H573" i="3"/>
  <c r="E574" i="3"/>
  <c r="F574" i="3" s="1"/>
  <c r="G574" i="3"/>
  <c r="H574" i="3"/>
  <c r="E575" i="3"/>
  <c r="F575" i="3" s="1"/>
  <c r="G575" i="3"/>
  <c r="H575" i="3"/>
  <c r="E576" i="3"/>
  <c r="F576" i="3" s="1"/>
  <c r="G576" i="3"/>
  <c r="H576" i="3"/>
  <c r="E577" i="3"/>
  <c r="F577" i="3" s="1"/>
  <c r="G577" i="3"/>
  <c r="H577" i="3"/>
  <c r="J577" i="3"/>
  <c r="E578" i="3"/>
  <c r="F578" i="3" s="1"/>
  <c r="G578" i="3"/>
  <c r="H578" i="3"/>
  <c r="E579" i="3"/>
  <c r="G579" i="3"/>
  <c r="H579" i="3"/>
  <c r="E580" i="3"/>
  <c r="F580" i="3" s="1"/>
  <c r="G580" i="3"/>
  <c r="H580" i="3"/>
  <c r="E581" i="3"/>
  <c r="F581" i="3" s="1"/>
  <c r="G581" i="3"/>
  <c r="H581" i="3"/>
  <c r="J581" i="3"/>
  <c r="E582" i="3"/>
  <c r="F582" i="3" s="1"/>
  <c r="G582" i="3"/>
  <c r="H582" i="3"/>
  <c r="E583" i="3"/>
  <c r="F583" i="3" s="1"/>
  <c r="G583" i="3"/>
  <c r="H583" i="3"/>
  <c r="E584" i="3"/>
  <c r="F584" i="3" s="1"/>
  <c r="G584" i="3"/>
  <c r="H584" i="3"/>
  <c r="E585" i="3"/>
  <c r="G585" i="3"/>
  <c r="H585" i="3"/>
  <c r="E586" i="3"/>
  <c r="F586" i="3" s="1"/>
  <c r="G586" i="3"/>
  <c r="H586" i="3"/>
  <c r="E587" i="3"/>
  <c r="F587" i="3" s="1"/>
  <c r="G587" i="3"/>
  <c r="H587" i="3"/>
  <c r="J587" i="3"/>
  <c r="E588" i="3"/>
  <c r="F588" i="3" s="1"/>
  <c r="G588" i="3"/>
  <c r="H588" i="3"/>
  <c r="E589" i="3"/>
  <c r="F589" i="3" s="1"/>
  <c r="G589" i="3"/>
  <c r="H589" i="3"/>
  <c r="E590" i="3"/>
  <c r="F590" i="3" s="1"/>
  <c r="G590" i="3"/>
  <c r="H590" i="3"/>
  <c r="E591" i="3"/>
  <c r="F591" i="3" s="1"/>
  <c r="G591" i="3"/>
  <c r="H591" i="3"/>
  <c r="E592" i="3"/>
  <c r="F592" i="3" s="1"/>
  <c r="G592" i="3"/>
  <c r="H592" i="3"/>
  <c r="E593" i="3"/>
  <c r="F593" i="3" s="1"/>
  <c r="G593" i="3"/>
  <c r="H593" i="3"/>
  <c r="J593" i="3"/>
  <c r="E594" i="3"/>
  <c r="F594" i="3" s="1"/>
  <c r="G594" i="3"/>
  <c r="H594" i="3"/>
  <c r="E595" i="3"/>
  <c r="F595" i="3" s="1"/>
  <c r="G595" i="3"/>
  <c r="H595" i="3"/>
  <c r="E596" i="3"/>
  <c r="F596" i="3" s="1"/>
  <c r="G596" i="3"/>
  <c r="H596" i="3"/>
  <c r="E597" i="3"/>
  <c r="F597" i="3" s="1"/>
  <c r="G597" i="3"/>
  <c r="H597" i="3"/>
  <c r="E598" i="3"/>
  <c r="F598" i="3" s="1"/>
  <c r="G598" i="3"/>
  <c r="H598" i="3"/>
  <c r="E599" i="3"/>
  <c r="G599" i="3"/>
  <c r="H599" i="3"/>
  <c r="E600" i="3"/>
  <c r="F600" i="3" s="1"/>
  <c r="G600" i="3"/>
  <c r="H600" i="3"/>
  <c r="E601" i="3"/>
  <c r="F601" i="3" s="1"/>
  <c r="G601" i="3"/>
  <c r="H601" i="3"/>
  <c r="J601" i="3"/>
  <c r="E602" i="3"/>
  <c r="F602" i="3" s="1"/>
  <c r="G602" i="3"/>
  <c r="H602" i="3"/>
  <c r="E603" i="3"/>
  <c r="F603" i="3" s="1"/>
  <c r="G603" i="3"/>
  <c r="H603" i="3"/>
  <c r="E604" i="3"/>
  <c r="F604" i="3" s="1"/>
  <c r="G604" i="3"/>
  <c r="H604" i="3"/>
  <c r="E605" i="3"/>
  <c r="F605" i="3" s="1"/>
  <c r="G605" i="3"/>
  <c r="H605" i="3"/>
  <c r="E606" i="3"/>
  <c r="F606" i="3" s="1"/>
  <c r="G606" i="3"/>
  <c r="H606" i="3"/>
  <c r="E607" i="3"/>
  <c r="G607" i="3"/>
  <c r="H607" i="3"/>
  <c r="E608" i="3"/>
  <c r="F608" i="3" s="1"/>
  <c r="G608" i="3"/>
  <c r="H608" i="3"/>
  <c r="E609" i="3"/>
  <c r="F609" i="3" s="1"/>
  <c r="G609" i="3"/>
  <c r="H609" i="3"/>
  <c r="J609" i="3"/>
  <c r="E610" i="3"/>
  <c r="F610" i="3" s="1"/>
  <c r="G610" i="3"/>
  <c r="H610" i="3"/>
  <c r="E611" i="3"/>
  <c r="F611" i="3" s="1"/>
  <c r="G611" i="3"/>
  <c r="H611" i="3"/>
  <c r="E612" i="3"/>
  <c r="F612" i="3" s="1"/>
  <c r="G612" i="3"/>
  <c r="H612" i="3"/>
  <c r="E613" i="3"/>
  <c r="F613" i="3" s="1"/>
  <c r="G613" i="3"/>
  <c r="H613" i="3"/>
  <c r="J613" i="3"/>
  <c r="E614" i="3"/>
  <c r="F614" i="3" s="1"/>
  <c r="G614" i="3"/>
  <c r="H614" i="3"/>
  <c r="E615" i="3"/>
  <c r="G615" i="3"/>
  <c r="H615" i="3"/>
  <c r="E616" i="3"/>
  <c r="F616" i="3" s="1"/>
  <c r="G616" i="3"/>
  <c r="H616" i="3"/>
  <c r="E617" i="3"/>
  <c r="F617" i="3" s="1"/>
  <c r="G617" i="3"/>
  <c r="H617" i="3"/>
  <c r="J617" i="3"/>
  <c r="E618" i="3"/>
  <c r="F618" i="3" s="1"/>
  <c r="G618" i="3"/>
  <c r="H618" i="3"/>
  <c r="E619" i="3"/>
  <c r="F619" i="3" s="1"/>
  <c r="G619" i="3"/>
  <c r="H619" i="3"/>
  <c r="J619" i="3"/>
  <c r="E620" i="3"/>
  <c r="F620" i="3" s="1"/>
  <c r="G620" i="3"/>
  <c r="H620" i="3"/>
  <c r="E621" i="3"/>
  <c r="F621" i="3" s="1"/>
  <c r="G621" i="3"/>
  <c r="H621" i="3"/>
  <c r="E622" i="3"/>
  <c r="F622" i="3" s="1"/>
  <c r="G622" i="3"/>
  <c r="H622" i="3"/>
  <c r="E623" i="3"/>
  <c r="G623" i="3"/>
  <c r="H623" i="3"/>
  <c r="E624" i="3"/>
  <c r="F624" i="3" s="1"/>
  <c r="G624" i="3"/>
  <c r="H624" i="3"/>
  <c r="E625" i="3"/>
  <c r="F625" i="3" s="1"/>
  <c r="G625" i="3"/>
  <c r="H625" i="3"/>
  <c r="J625" i="3"/>
  <c r="E626" i="3"/>
  <c r="F626" i="3" s="1"/>
  <c r="G626" i="3"/>
  <c r="H626" i="3"/>
  <c r="E627" i="3"/>
  <c r="F627" i="3" s="1"/>
  <c r="G627" i="3"/>
  <c r="H627" i="3"/>
  <c r="E628" i="3"/>
  <c r="F628" i="3" s="1"/>
  <c r="G628" i="3"/>
  <c r="H628" i="3"/>
  <c r="E629" i="3"/>
  <c r="F629" i="3" s="1"/>
  <c r="G629" i="3"/>
  <c r="H629" i="3"/>
  <c r="E630" i="3"/>
  <c r="F630" i="3" s="1"/>
  <c r="G630" i="3"/>
  <c r="H630" i="3"/>
  <c r="E631" i="3"/>
  <c r="G631" i="3"/>
  <c r="H631" i="3"/>
  <c r="E632" i="3"/>
  <c r="F632" i="3" s="1"/>
  <c r="G632" i="3"/>
  <c r="H632" i="3"/>
  <c r="E633" i="3"/>
  <c r="F633" i="3" s="1"/>
  <c r="G633" i="3"/>
  <c r="H633" i="3"/>
  <c r="J633" i="3"/>
  <c r="E634" i="3"/>
  <c r="F634" i="3" s="1"/>
  <c r="G634" i="3"/>
  <c r="H634" i="3"/>
  <c r="E635" i="3"/>
  <c r="F635" i="3" s="1"/>
  <c r="G635" i="3"/>
  <c r="H635" i="3"/>
  <c r="E636" i="3"/>
  <c r="F636" i="3" s="1"/>
  <c r="G636" i="3"/>
  <c r="H636" i="3"/>
  <c r="E637" i="3"/>
  <c r="F637" i="3" s="1"/>
  <c r="G637" i="3"/>
  <c r="H637" i="3"/>
  <c r="E638" i="3"/>
  <c r="F638" i="3" s="1"/>
  <c r="G638" i="3"/>
  <c r="H638" i="3"/>
  <c r="E639" i="3"/>
  <c r="G639" i="3"/>
  <c r="H639" i="3"/>
  <c r="E640" i="3"/>
  <c r="F640" i="3" s="1"/>
  <c r="G640" i="3"/>
  <c r="H640" i="3"/>
  <c r="E641" i="3"/>
  <c r="F641" i="3" s="1"/>
  <c r="G641" i="3"/>
  <c r="H641" i="3"/>
  <c r="J641" i="3"/>
  <c r="E642" i="3"/>
  <c r="F642" i="3" s="1"/>
  <c r="G642" i="3"/>
  <c r="H642" i="3"/>
  <c r="E643" i="3"/>
  <c r="F643" i="3" s="1"/>
  <c r="G643" i="3"/>
  <c r="H643" i="3"/>
  <c r="E644" i="3"/>
  <c r="F644" i="3" s="1"/>
  <c r="G644" i="3"/>
  <c r="H644" i="3"/>
  <c r="E645" i="3"/>
  <c r="F645" i="3" s="1"/>
  <c r="G645" i="3"/>
  <c r="H645" i="3"/>
  <c r="J645" i="3"/>
  <c r="E646" i="3"/>
  <c r="F646" i="3" s="1"/>
  <c r="G646" i="3"/>
  <c r="H646" i="3"/>
  <c r="E647" i="3"/>
  <c r="G647" i="3"/>
  <c r="H647" i="3"/>
  <c r="E648" i="3"/>
  <c r="F648" i="3" s="1"/>
  <c r="G648" i="3"/>
  <c r="H648" i="3"/>
  <c r="E649" i="3"/>
  <c r="F649" i="3" s="1"/>
  <c r="G649" i="3"/>
  <c r="H649" i="3"/>
  <c r="J649" i="3"/>
  <c r="E650" i="3"/>
  <c r="F650" i="3" s="1"/>
  <c r="G650" i="3"/>
  <c r="H650" i="3"/>
  <c r="E651" i="3"/>
  <c r="F651" i="3" s="1"/>
  <c r="G651" i="3"/>
  <c r="H651" i="3"/>
  <c r="J651" i="3"/>
  <c r="E652" i="3"/>
  <c r="F652" i="3" s="1"/>
  <c r="G652" i="3"/>
  <c r="H652" i="3"/>
  <c r="E653" i="3"/>
  <c r="F653" i="3" s="1"/>
  <c r="G653" i="3"/>
  <c r="H653" i="3"/>
  <c r="E654" i="3"/>
  <c r="F654" i="3" s="1"/>
  <c r="G654" i="3"/>
  <c r="H654" i="3"/>
  <c r="E655" i="3"/>
  <c r="G655" i="3"/>
  <c r="H655" i="3"/>
  <c r="E656" i="3"/>
  <c r="F656" i="3" s="1"/>
  <c r="G656" i="3"/>
  <c r="H656" i="3"/>
  <c r="E657" i="3"/>
  <c r="F657" i="3" s="1"/>
  <c r="G657" i="3"/>
  <c r="H657" i="3"/>
  <c r="J657" i="3"/>
  <c r="E658" i="3"/>
  <c r="F658" i="3" s="1"/>
  <c r="G658" i="3"/>
  <c r="H658" i="3"/>
  <c r="E659" i="3"/>
  <c r="F659" i="3" s="1"/>
  <c r="G659" i="3"/>
  <c r="H659" i="3"/>
  <c r="E660" i="3"/>
  <c r="F660" i="3" s="1"/>
  <c r="G660" i="3"/>
  <c r="H660" i="3"/>
  <c r="E661" i="3"/>
  <c r="F661" i="3" s="1"/>
  <c r="G661" i="3"/>
  <c r="H661" i="3"/>
  <c r="E662" i="3"/>
  <c r="F662" i="3" s="1"/>
  <c r="G662" i="3"/>
  <c r="H662" i="3"/>
  <c r="E663" i="3"/>
  <c r="G663" i="3"/>
  <c r="H663" i="3"/>
  <c r="E664" i="3"/>
  <c r="F664" i="3" s="1"/>
  <c r="G664" i="3"/>
  <c r="H664" i="3"/>
  <c r="E665" i="3"/>
  <c r="F665" i="3" s="1"/>
  <c r="G665" i="3"/>
  <c r="H665" i="3"/>
  <c r="J665" i="3"/>
  <c r="E666" i="3"/>
  <c r="F666" i="3" s="1"/>
  <c r="G666" i="3"/>
  <c r="H666" i="3"/>
  <c r="E667" i="3"/>
  <c r="F667" i="3" s="1"/>
  <c r="G667" i="3"/>
  <c r="H667" i="3"/>
  <c r="E668" i="3"/>
  <c r="F668" i="3" s="1"/>
  <c r="G668" i="3"/>
  <c r="H668" i="3"/>
  <c r="E669" i="3"/>
  <c r="F669" i="3" s="1"/>
  <c r="G669" i="3"/>
  <c r="H669" i="3"/>
  <c r="E670" i="3"/>
  <c r="F670" i="3" s="1"/>
  <c r="G670" i="3"/>
  <c r="H670" i="3"/>
  <c r="E671" i="3"/>
  <c r="G671" i="3"/>
  <c r="H671" i="3"/>
  <c r="E672" i="3"/>
  <c r="F672" i="3" s="1"/>
  <c r="G672" i="3"/>
  <c r="H672" i="3"/>
  <c r="E673" i="3"/>
  <c r="F673" i="3" s="1"/>
  <c r="G673" i="3"/>
  <c r="H673" i="3"/>
  <c r="J673" i="3"/>
  <c r="E674" i="3"/>
  <c r="F674" i="3" s="1"/>
  <c r="G674" i="3"/>
  <c r="H674" i="3"/>
  <c r="E675" i="3"/>
  <c r="F675" i="3" s="1"/>
  <c r="G675" i="3"/>
  <c r="H675" i="3"/>
  <c r="E676" i="3"/>
  <c r="F676" i="3" s="1"/>
  <c r="G676" i="3"/>
  <c r="H676" i="3"/>
  <c r="E677" i="3"/>
  <c r="F677" i="3" s="1"/>
  <c r="G677" i="3"/>
  <c r="H677" i="3"/>
  <c r="J677" i="3"/>
  <c r="E678" i="3"/>
  <c r="F678" i="3" s="1"/>
  <c r="G678" i="3"/>
  <c r="H678" i="3"/>
  <c r="E679" i="3"/>
  <c r="G679" i="3"/>
  <c r="H679" i="3"/>
  <c r="E680" i="3"/>
  <c r="F680" i="3" s="1"/>
  <c r="G680" i="3"/>
  <c r="H680" i="3"/>
  <c r="E681" i="3"/>
  <c r="F681" i="3" s="1"/>
  <c r="G681" i="3"/>
  <c r="H681" i="3"/>
  <c r="J681" i="3"/>
  <c r="E682" i="3"/>
  <c r="F682" i="3" s="1"/>
  <c r="G682" i="3"/>
  <c r="H682" i="3"/>
  <c r="E683" i="3"/>
  <c r="F683" i="3" s="1"/>
  <c r="G683" i="3"/>
  <c r="H683" i="3"/>
  <c r="J683" i="3"/>
  <c r="E684" i="3"/>
  <c r="F684" i="3" s="1"/>
  <c r="G684" i="3"/>
  <c r="H684" i="3"/>
  <c r="E685" i="3"/>
  <c r="F685" i="3" s="1"/>
  <c r="G685" i="3"/>
  <c r="H685" i="3"/>
  <c r="E686" i="3"/>
  <c r="F686" i="3" s="1"/>
  <c r="G686" i="3"/>
  <c r="H686" i="3"/>
  <c r="E687" i="3"/>
  <c r="G687" i="3"/>
  <c r="H687" i="3"/>
  <c r="E688" i="3"/>
  <c r="F688" i="3" s="1"/>
  <c r="G688" i="3"/>
  <c r="H688" i="3"/>
  <c r="E689" i="3"/>
  <c r="F689" i="3" s="1"/>
  <c r="G689" i="3"/>
  <c r="H689" i="3"/>
  <c r="J689" i="3"/>
  <c r="E690" i="3"/>
  <c r="F690" i="3" s="1"/>
  <c r="G690" i="3"/>
  <c r="H690" i="3"/>
  <c r="E691" i="3"/>
  <c r="F691" i="3" s="1"/>
  <c r="G691" i="3"/>
  <c r="H691" i="3"/>
  <c r="E692" i="3"/>
  <c r="F692" i="3" s="1"/>
  <c r="G692" i="3"/>
  <c r="H692" i="3"/>
  <c r="E693" i="3"/>
  <c r="F693" i="3" s="1"/>
  <c r="G693" i="3"/>
  <c r="H693" i="3"/>
  <c r="E694" i="3"/>
  <c r="F694" i="3" s="1"/>
  <c r="G694" i="3"/>
  <c r="H694" i="3"/>
  <c r="E695" i="3"/>
  <c r="G695" i="3"/>
  <c r="H695" i="3"/>
  <c r="E696" i="3"/>
  <c r="F696" i="3" s="1"/>
  <c r="G696" i="3"/>
  <c r="H696" i="3"/>
  <c r="E697" i="3"/>
  <c r="F697" i="3" s="1"/>
  <c r="G697" i="3"/>
  <c r="H697" i="3"/>
  <c r="J697" i="3"/>
  <c r="E698" i="3"/>
  <c r="F698" i="3" s="1"/>
  <c r="G698" i="3"/>
  <c r="H698" i="3"/>
  <c r="E699" i="3"/>
  <c r="F699" i="3" s="1"/>
  <c r="G699" i="3"/>
  <c r="H699" i="3"/>
  <c r="E700" i="3"/>
  <c r="F700" i="3" s="1"/>
  <c r="G700" i="3"/>
  <c r="H700" i="3"/>
  <c r="E701" i="3"/>
  <c r="F701" i="3" s="1"/>
  <c r="G701" i="3"/>
  <c r="H701" i="3"/>
  <c r="E702" i="3"/>
  <c r="F702" i="3" s="1"/>
  <c r="G702" i="3"/>
  <c r="H702" i="3"/>
  <c r="E703" i="3"/>
  <c r="G703" i="3"/>
  <c r="H703" i="3"/>
  <c r="E704" i="3"/>
  <c r="F704" i="3" s="1"/>
  <c r="G704" i="3"/>
  <c r="H704" i="3"/>
  <c r="E705" i="3"/>
  <c r="F705" i="3" s="1"/>
  <c r="G705" i="3"/>
  <c r="H705" i="3"/>
  <c r="J705" i="3"/>
  <c r="E706" i="3"/>
  <c r="F706" i="3" s="1"/>
  <c r="G706" i="3"/>
  <c r="H706" i="3"/>
  <c r="E707" i="3"/>
  <c r="F707" i="3" s="1"/>
  <c r="G707" i="3"/>
  <c r="H707" i="3"/>
  <c r="E708" i="3"/>
  <c r="F708" i="3" s="1"/>
  <c r="G708" i="3"/>
  <c r="H708" i="3"/>
  <c r="E709" i="3"/>
  <c r="F709" i="3" s="1"/>
  <c r="G709" i="3"/>
  <c r="H709" i="3"/>
  <c r="J709" i="3"/>
  <c r="E710" i="3"/>
  <c r="F710" i="3" s="1"/>
  <c r="G710" i="3"/>
  <c r="H710" i="3"/>
  <c r="E711" i="3"/>
  <c r="G711" i="3"/>
  <c r="H711" i="3"/>
  <c r="E712" i="3"/>
  <c r="F712" i="3" s="1"/>
  <c r="G712" i="3"/>
  <c r="H712" i="3"/>
  <c r="E713" i="3"/>
  <c r="F713" i="3" s="1"/>
  <c r="G713" i="3"/>
  <c r="H713" i="3"/>
  <c r="J713" i="3"/>
  <c r="E714" i="3"/>
  <c r="G714" i="3"/>
  <c r="H714" i="3"/>
  <c r="E715" i="3"/>
  <c r="F715" i="3" s="1"/>
  <c r="G715" i="3"/>
  <c r="H715" i="3"/>
  <c r="J715" i="3"/>
  <c r="E716" i="3"/>
  <c r="G716" i="3"/>
  <c r="H716" i="3"/>
  <c r="E717" i="3"/>
  <c r="F717" i="3" s="1"/>
  <c r="G717" i="3"/>
  <c r="H717" i="3"/>
  <c r="E718" i="3"/>
  <c r="G718" i="3"/>
  <c r="H718" i="3"/>
  <c r="E719" i="3"/>
  <c r="G719" i="3"/>
  <c r="H719" i="3"/>
  <c r="E720" i="3"/>
  <c r="G720" i="3"/>
  <c r="H720" i="3"/>
  <c r="E721" i="3"/>
  <c r="F721" i="3" s="1"/>
  <c r="G721" i="3"/>
  <c r="H721" i="3"/>
  <c r="J721" i="3"/>
  <c r="E722" i="3"/>
  <c r="G722" i="3"/>
  <c r="H722" i="3"/>
  <c r="E723" i="3"/>
  <c r="F723" i="3" s="1"/>
  <c r="G723" i="3"/>
  <c r="H723" i="3"/>
  <c r="E724" i="3"/>
  <c r="G724" i="3"/>
  <c r="H724" i="3"/>
  <c r="E725" i="3"/>
  <c r="F725" i="3" s="1"/>
  <c r="G725" i="3"/>
  <c r="H725" i="3"/>
  <c r="E726" i="3"/>
  <c r="G726" i="3"/>
  <c r="H726" i="3"/>
  <c r="E727" i="3"/>
  <c r="G727" i="3"/>
  <c r="H727" i="3"/>
  <c r="E728" i="3"/>
  <c r="G728" i="3"/>
  <c r="H728" i="3"/>
  <c r="E729" i="3"/>
  <c r="F729" i="3" s="1"/>
  <c r="G729" i="3"/>
  <c r="H729" i="3"/>
  <c r="J729" i="3"/>
  <c r="E730" i="3"/>
  <c r="G730" i="3"/>
  <c r="H730" i="3"/>
  <c r="E731" i="3"/>
  <c r="F731" i="3" s="1"/>
  <c r="G731" i="3"/>
  <c r="H731" i="3"/>
  <c r="E732" i="3"/>
  <c r="G732" i="3"/>
  <c r="H732" i="3"/>
  <c r="E733" i="3"/>
  <c r="F733" i="3" s="1"/>
  <c r="G733" i="3"/>
  <c r="H733" i="3"/>
  <c r="E734" i="3"/>
  <c r="G734" i="3"/>
  <c r="H734" i="3"/>
  <c r="E735" i="3"/>
  <c r="G735" i="3"/>
  <c r="H735" i="3"/>
  <c r="E736" i="3"/>
  <c r="G736" i="3"/>
  <c r="H736" i="3"/>
  <c r="E737" i="3"/>
  <c r="F737" i="3" s="1"/>
  <c r="G737" i="3"/>
  <c r="H737" i="3"/>
  <c r="J737" i="3"/>
  <c r="E738" i="3"/>
  <c r="G738" i="3"/>
  <c r="H738" i="3"/>
  <c r="E739" i="3"/>
  <c r="F739" i="3" s="1"/>
  <c r="G739" i="3"/>
  <c r="H739" i="3"/>
  <c r="E740" i="3"/>
  <c r="G740" i="3"/>
  <c r="H740" i="3"/>
  <c r="E741" i="3"/>
  <c r="F741" i="3" s="1"/>
  <c r="G741" i="3"/>
  <c r="H741" i="3"/>
  <c r="J741" i="3"/>
  <c r="E742" i="3"/>
  <c r="G742" i="3"/>
  <c r="H742" i="3"/>
  <c r="E743" i="3"/>
  <c r="G743" i="3"/>
  <c r="H743" i="3"/>
  <c r="E744" i="3"/>
  <c r="G744" i="3"/>
  <c r="H744" i="3"/>
  <c r="E745" i="3"/>
  <c r="F745" i="3" s="1"/>
  <c r="G745" i="3"/>
  <c r="H745" i="3"/>
  <c r="J745" i="3"/>
  <c r="E746" i="3"/>
  <c r="G746" i="3"/>
  <c r="H746" i="3"/>
  <c r="E747" i="3"/>
  <c r="F747" i="3" s="1"/>
  <c r="G747" i="3"/>
  <c r="H747" i="3"/>
  <c r="J747" i="3"/>
  <c r="E748" i="3"/>
  <c r="G748" i="3"/>
  <c r="H748" i="3"/>
  <c r="E749" i="3"/>
  <c r="F749" i="3" s="1"/>
  <c r="G749" i="3"/>
  <c r="H749" i="3"/>
  <c r="E750" i="3"/>
  <c r="G750" i="3"/>
  <c r="H750" i="3"/>
  <c r="E751" i="3"/>
  <c r="G751" i="3"/>
  <c r="H751" i="3"/>
  <c r="E752" i="3"/>
  <c r="G752" i="3"/>
  <c r="H752" i="3"/>
  <c r="E753" i="3"/>
  <c r="F753" i="3" s="1"/>
  <c r="G753" i="3"/>
  <c r="H753" i="3"/>
  <c r="J753" i="3"/>
  <c r="E754" i="3"/>
  <c r="G754" i="3"/>
  <c r="H754" i="3"/>
  <c r="E755" i="3"/>
  <c r="F755" i="3" s="1"/>
  <c r="G755" i="3"/>
  <c r="H755" i="3"/>
  <c r="E756" i="3"/>
  <c r="G756" i="3"/>
  <c r="H756" i="3"/>
  <c r="E757" i="3"/>
  <c r="F757" i="3" s="1"/>
  <c r="G757" i="3"/>
  <c r="H757" i="3"/>
  <c r="E758" i="3"/>
  <c r="G758" i="3"/>
  <c r="H758" i="3"/>
  <c r="E759" i="3"/>
  <c r="G759" i="3"/>
  <c r="H759" i="3"/>
  <c r="E760" i="3"/>
  <c r="G760" i="3"/>
  <c r="H760" i="3"/>
  <c r="E761" i="3"/>
  <c r="F761" i="3" s="1"/>
  <c r="G761" i="3"/>
  <c r="H761" i="3"/>
  <c r="J761" i="3"/>
  <c r="E762" i="3"/>
  <c r="G762" i="3"/>
  <c r="H762" i="3"/>
  <c r="E763" i="3"/>
  <c r="F763" i="3" s="1"/>
  <c r="G763" i="3"/>
  <c r="H763" i="3"/>
  <c r="E764" i="3"/>
  <c r="G764" i="3"/>
  <c r="H764" i="3"/>
  <c r="E765" i="3"/>
  <c r="F765" i="3" s="1"/>
  <c r="G765" i="3"/>
  <c r="H765" i="3"/>
  <c r="E766" i="3"/>
  <c r="G766" i="3"/>
  <c r="H766" i="3"/>
  <c r="E767" i="3"/>
  <c r="G767" i="3"/>
  <c r="H767" i="3"/>
  <c r="E768" i="3"/>
  <c r="G768" i="3"/>
  <c r="H768" i="3"/>
  <c r="E769" i="3"/>
  <c r="F769" i="3" s="1"/>
  <c r="G769" i="3"/>
  <c r="H769" i="3"/>
  <c r="E770" i="3"/>
  <c r="G770" i="3"/>
  <c r="H770" i="3"/>
  <c r="E771" i="3"/>
  <c r="F771" i="3" s="1"/>
  <c r="G771" i="3"/>
  <c r="H771" i="3"/>
  <c r="E772" i="3"/>
  <c r="G772" i="3"/>
  <c r="H772" i="3"/>
  <c r="E773" i="3"/>
  <c r="F773" i="3" s="1"/>
  <c r="G773" i="3"/>
  <c r="H773" i="3"/>
  <c r="J773" i="3"/>
  <c r="E774" i="3"/>
  <c r="G774" i="3"/>
  <c r="H774" i="3"/>
  <c r="E775" i="3"/>
  <c r="F775" i="3" s="1"/>
  <c r="G775" i="3"/>
  <c r="H775" i="3"/>
  <c r="E776" i="3"/>
  <c r="G776" i="3"/>
  <c r="H776" i="3"/>
  <c r="E777" i="3"/>
  <c r="F777" i="3" s="1"/>
  <c r="G777" i="3"/>
  <c r="H777" i="3"/>
  <c r="E778" i="3"/>
  <c r="G778" i="3"/>
  <c r="H778" i="3"/>
  <c r="E779" i="3"/>
  <c r="F779" i="3" s="1"/>
  <c r="G779" i="3"/>
  <c r="H779" i="3"/>
  <c r="E780" i="3"/>
  <c r="G780" i="3"/>
  <c r="H780" i="3"/>
  <c r="E781" i="3"/>
  <c r="F781" i="3" s="1"/>
  <c r="G781" i="3"/>
  <c r="H781" i="3"/>
  <c r="J781" i="3"/>
  <c r="E782" i="3"/>
  <c r="G782" i="3"/>
  <c r="H782" i="3"/>
  <c r="E783" i="3"/>
  <c r="F783" i="3" s="1"/>
  <c r="G783" i="3"/>
  <c r="H783" i="3"/>
  <c r="E784" i="3"/>
  <c r="G784" i="3"/>
  <c r="H784" i="3"/>
  <c r="E785" i="3"/>
  <c r="F785" i="3" s="1"/>
  <c r="G785" i="3"/>
  <c r="H785" i="3"/>
  <c r="E786" i="3"/>
  <c r="G786" i="3"/>
  <c r="H786" i="3"/>
  <c r="E787" i="3"/>
  <c r="F787" i="3" s="1"/>
  <c r="G787" i="3"/>
  <c r="H787" i="3"/>
  <c r="E788" i="3"/>
  <c r="G788" i="3"/>
  <c r="H788" i="3"/>
  <c r="E789" i="3"/>
  <c r="F789" i="3" s="1"/>
  <c r="G789" i="3"/>
  <c r="H789" i="3"/>
  <c r="J789" i="3"/>
  <c r="E790" i="3"/>
  <c r="G790" i="3"/>
  <c r="H790" i="3"/>
  <c r="E791" i="3"/>
  <c r="F791" i="3" s="1"/>
  <c r="G791" i="3"/>
  <c r="H791" i="3"/>
  <c r="E792" i="3"/>
  <c r="G792" i="3"/>
  <c r="H792" i="3"/>
  <c r="E793" i="3"/>
  <c r="F793" i="3" s="1"/>
  <c r="G793" i="3"/>
  <c r="H793" i="3"/>
  <c r="E794" i="3"/>
  <c r="G794" i="3"/>
  <c r="H794" i="3"/>
  <c r="E795" i="3"/>
  <c r="F795" i="3" s="1"/>
  <c r="G795" i="3"/>
  <c r="H795" i="3"/>
  <c r="E796" i="3"/>
  <c r="G796" i="3"/>
  <c r="H796" i="3"/>
  <c r="E797" i="3"/>
  <c r="F797" i="3" s="1"/>
  <c r="G797" i="3"/>
  <c r="H797" i="3"/>
  <c r="J797" i="3"/>
  <c r="E798" i="3"/>
  <c r="G798" i="3"/>
  <c r="H798" i="3"/>
  <c r="E799" i="3"/>
  <c r="F799" i="3" s="1"/>
  <c r="G799" i="3"/>
  <c r="H799" i="3"/>
  <c r="E800" i="3"/>
  <c r="G800" i="3"/>
  <c r="H800" i="3"/>
  <c r="E801" i="3"/>
  <c r="F801" i="3" s="1"/>
  <c r="G801" i="3"/>
  <c r="H801" i="3"/>
  <c r="E802" i="3"/>
  <c r="G802" i="3"/>
  <c r="H802" i="3"/>
  <c r="E803" i="3"/>
  <c r="F803" i="3" s="1"/>
  <c r="G803" i="3"/>
  <c r="H803" i="3"/>
  <c r="E804" i="3"/>
  <c r="G804" i="3"/>
  <c r="H804" i="3"/>
  <c r="E805" i="3"/>
  <c r="F805" i="3" s="1"/>
  <c r="G805" i="3"/>
  <c r="H805" i="3"/>
  <c r="J805" i="3"/>
  <c r="E806" i="3"/>
  <c r="G806" i="3"/>
  <c r="H806" i="3"/>
  <c r="E807" i="3"/>
  <c r="F807" i="3" s="1"/>
  <c r="G807" i="3"/>
  <c r="H807" i="3"/>
  <c r="E808" i="3"/>
  <c r="G808" i="3"/>
  <c r="H808" i="3"/>
  <c r="E809" i="3"/>
  <c r="F809" i="3" s="1"/>
  <c r="G809" i="3"/>
  <c r="H809" i="3"/>
  <c r="E810" i="3"/>
  <c r="G810" i="3"/>
  <c r="H810" i="3"/>
  <c r="E811" i="3"/>
  <c r="F811" i="3" s="1"/>
  <c r="G811" i="3"/>
  <c r="H811" i="3"/>
  <c r="E812" i="3"/>
  <c r="G812" i="3"/>
  <c r="H812" i="3"/>
  <c r="E813" i="3"/>
  <c r="F813" i="3" s="1"/>
  <c r="G813" i="3"/>
  <c r="H813" i="3"/>
  <c r="J813" i="3"/>
  <c r="E814" i="3"/>
  <c r="G814" i="3"/>
  <c r="H814" i="3"/>
  <c r="E815" i="3"/>
  <c r="F815" i="3" s="1"/>
  <c r="G815" i="3"/>
  <c r="H815" i="3"/>
  <c r="E816" i="3"/>
  <c r="G816" i="3"/>
  <c r="H816" i="3"/>
  <c r="E817" i="3"/>
  <c r="F817" i="3" s="1"/>
  <c r="G817" i="3"/>
  <c r="H817" i="3"/>
  <c r="E818" i="3"/>
  <c r="G818" i="3"/>
  <c r="H818" i="3"/>
  <c r="E819" i="3"/>
  <c r="F819" i="3" s="1"/>
  <c r="G819" i="3"/>
  <c r="H819" i="3"/>
  <c r="E820" i="3"/>
  <c r="G820" i="3"/>
  <c r="H820" i="3"/>
  <c r="E821" i="3"/>
  <c r="F821" i="3" s="1"/>
  <c r="G821" i="3"/>
  <c r="H821" i="3"/>
  <c r="J821" i="3"/>
  <c r="E822" i="3"/>
  <c r="G822" i="3"/>
  <c r="H822" i="3"/>
  <c r="E823" i="3"/>
  <c r="F823" i="3" s="1"/>
  <c r="G823" i="3"/>
  <c r="H823" i="3"/>
  <c r="E824" i="3"/>
  <c r="G824" i="3"/>
  <c r="H824" i="3"/>
  <c r="E825" i="3"/>
  <c r="F825" i="3" s="1"/>
  <c r="G825" i="3"/>
  <c r="H825" i="3"/>
  <c r="E826" i="3"/>
  <c r="F826" i="3" s="1"/>
  <c r="G826" i="3"/>
  <c r="H826" i="3"/>
  <c r="E827" i="3"/>
  <c r="F827" i="3" s="1"/>
  <c r="G827" i="3"/>
  <c r="H827" i="3"/>
  <c r="E828" i="3"/>
  <c r="G828" i="3"/>
  <c r="H828" i="3"/>
  <c r="E829" i="3"/>
  <c r="F829" i="3" s="1"/>
  <c r="G829" i="3"/>
  <c r="H829" i="3"/>
  <c r="E830" i="3"/>
  <c r="G830" i="3"/>
  <c r="H830" i="3"/>
  <c r="E831" i="3"/>
  <c r="F831" i="3" s="1"/>
  <c r="G831" i="3"/>
  <c r="H831" i="3"/>
  <c r="J831" i="3"/>
  <c r="E832" i="3"/>
  <c r="G832" i="3"/>
  <c r="H832" i="3"/>
  <c r="E833" i="3"/>
  <c r="F833" i="3" s="1"/>
  <c r="G833" i="3"/>
  <c r="H833" i="3"/>
  <c r="E834" i="3"/>
  <c r="G834" i="3"/>
  <c r="H834" i="3"/>
  <c r="E835" i="3"/>
  <c r="F835" i="3" s="1"/>
  <c r="G835" i="3"/>
  <c r="H835" i="3"/>
  <c r="E836" i="3"/>
  <c r="G836" i="3"/>
  <c r="H836" i="3"/>
  <c r="E837" i="3"/>
  <c r="F837" i="3" s="1"/>
  <c r="G837" i="3"/>
  <c r="H837" i="3"/>
  <c r="E838" i="3"/>
  <c r="G838" i="3"/>
  <c r="H838" i="3"/>
  <c r="E839" i="3"/>
  <c r="F839" i="3" s="1"/>
  <c r="G839" i="3"/>
  <c r="H839" i="3"/>
  <c r="J839" i="3"/>
  <c r="E840" i="3"/>
  <c r="G840" i="3"/>
  <c r="H840" i="3"/>
  <c r="E841" i="3"/>
  <c r="F841" i="3" s="1"/>
  <c r="G841" i="3"/>
  <c r="H841" i="3"/>
  <c r="E842" i="3"/>
  <c r="G842" i="3"/>
  <c r="H842" i="3"/>
  <c r="E843" i="3"/>
  <c r="F843" i="3" s="1"/>
  <c r="G843" i="3"/>
  <c r="H843" i="3"/>
  <c r="E844" i="3"/>
  <c r="G844" i="3"/>
  <c r="H844" i="3"/>
  <c r="E845" i="3"/>
  <c r="F845" i="3" s="1"/>
  <c r="G845" i="3"/>
  <c r="H845" i="3"/>
  <c r="E846" i="3"/>
  <c r="G846" i="3"/>
  <c r="H846" i="3"/>
  <c r="E847" i="3"/>
  <c r="F847" i="3" s="1"/>
  <c r="G847" i="3"/>
  <c r="H847" i="3"/>
  <c r="J847" i="3"/>
  <c r="E848" i="3"/>
  <c r="G848" i="3"/>
  <c r="H848" i="3"/>
  <c r="E849" i="3"/>
  <c r="F849" i="3" s="1"/>
  <c r="G849" i="3"/>
  <c r="H849" i="3"/>
  <c r="E850" i="3"/>
  <c r="G850" i="3"/>
  <c r="H850" i="3"/>
  <c r="E851" i="3"/>
  <c r="F851" i="3" s="1"/>
  <c r="G851" i="3"/>
  <c r="H851" i="3"/>
  <c r="E852" i="3"/>
  <c r="G852" i="3"/>
  <c r="H852" i="3"/>
  <c r="E853" i="3"/>
  <c r="F853" i="3" s="1"/>
  <c r="G853" i="3"/>
  <c r="H853" i="3"/>
  <c r="E854" i="3"/>
  <c r="G854" i="3"/>
  <c r="H854" i="3"/>
  <c r="E855" i="3"/>
  <c r="F855" i="3" s="1"/>
  <c r="G855" i="3"/>
  <c r="H855" i="3"/>
  <c r="J855" i="3"/>
  <c r="E856" i="3"/>
  <c r="G856" i="3"/>
  <c r="H856" i="3"/>
  <c r="E857" i="3"/>
  <c r="F857" i="3" s="1"/>
  <c r="G857" i="3"/>
  <c r="H857" i="3"/>
  <c r="E858" i="3"/>
  <c r="G858" i="3"/>
  <c r="H858" i="3"/>
  <c r="E859" i="3"/>
  <c r="F859" i="3" s="1"/>
  <c r="G859" i="3"/>
  <c r="H859" i="3"/>
  <c r="E860" i="3"/>
  <c r="G860" i="3"/>
  <c r="H860" i="3"/>
  <c r="E861" i="3"/>
  <c r="F861" i="3" s="1"/>
  <c r="G861" i="3"/>
  <c r="H861" i="3"/>
  <c r="E862" i="3"/>
  <c r="G862" i="3"/>
  <c r="H862" i="3"/>
  <c r="E863" i="3"/>
  <c r="F863" i="3" s="1"/>
  <c r="G863" i="3"/>
  <c r="H863" i="3"/>
  <c r="J863" i="3"/>
  <c r="E864" i="3"/>
  <c r="G864" i="3"/>
  <c r="H864" i="3"/>
  <c r="E865" i="3"/>
  <c r="F865" i="3" s="1"/>
  <c r="G865" i="3"/>
  <c r="H865" i="3"/>
  <c r="E866" i="3"/>
  <c r="G866" i="3"/>
  <c r="H866" i="3"/>
  <c r="E867" i="3"/>
  <c r="F867" i="3" s="1"/>
  <c r="G867" i="3"/>
  <c r="H867" i="3"/>
  <c r="E868" i="3"/>
  <c r="G868" i="3"/>
  <c r="H868" i="3"/>
  <c r="E869" i="3"/>
  <c r="F869" i="3" s="1"/>
  <c r="G869" i="3"/>
  <c r="H869" i="3"/>
  <c r="E870" i="3"/>
  <c r="G870" i="3"/>
  <c r="H870" i="3"/>
  <c r="E871" i="3"/>
  <c r="F871" i="3" s="1"/>
  <c r="G871" i="3"/>
  <c r="H871" i="3"/>
  <c r="J871" i="3"/>
  <c r="E872" i="3"/>
  <c r="G872" i="3"/>
  <c r="H872" i="3"/>
  <c r="E873" i="3"/>
  <c r="F873" i="3" s="1"/>
  <c r="G873" i="3"/>
  <c r="H873" i="3"/>
  <c r="E874" i="3"/>
  <c r="G874" i="3"/>
  <c r="H874" i="3"/>
  <c r="E875" i="3"/>
  <c r="F875" i="3" s="1"/>
  <c r="G875" i="3"/>
  <c r="H875" i="3"/>
  <c r="E876" i="3"/>
  <c r="G876" i="3"/>
  <c r="H876" i="3"/>
  <c r="E877" i="3"/>
  <c r="F877" i="3" s="1"/>
  <c r="G877" i="3"/>
  <c r="H877" i="3"/>
  <c r="E878" i="3"/>
  <c r="G878" i="3"/>
  <c r="H878" i="3"/>
  <c r="E879" i="3"/>
  <c r="F879" i="3" s="1"/>
  <c r="G879" i="3"/>
  <c r="H879" i="3"/>
  <c r="J879" i="3"/>
  <c r="E880" i="3"/>
  <c r="G880" i="3"/>
  <c r="H880" i="3"/>
  <c r="E881" i="3"/>
  <c r="F881" i="3" s="1"/>
  <c r="G881" i="3"/>
  <c r="H881" i="3"/>
  <c r="E882" i="3"/>
  <c r="G882" i="3"/>
  <c r="H882" i="3"/>
  <c r="E883" i="3"/>
  <c r="F883" i="3" s="1"/>
  <c r="G883" i="3"/>
  <c r="H883" i="3"/>
  <c r="E884" i="3"/>
  <c r="G884" i="3"/>
  <c r="H884" i="3"/>
  <c r="E885" i="3"/>
  <c r="F885" i="3" s="1"/>
  <c r="G885" i="3"/>
  <c r="H885" i="3"/>
  <c r="E886" i="3"/>
  <c r="G886" i="3"/>
  <c r="H886" i="3"/>
  <c r="E887" i="3"/>
  <c r="F887" i="3" s="1"/>
  <c r="G887" i="3"/>
  <c r="H887" i="3"/>
  <c r="J887" i="3"/>
  <c r="E888" i="3"/>
  <c r="G888" i="3"/>
  <c r="H888" i="3"/>
  <c r="E889" i="3"/>
  <c r="F889" i="3" s="1"/>
  <c r="G889" i="3"/>
  <c r="H889" i="3"/>
  <c r="E890" i="3"/>
  <c r="G890" i="3"/>
  <c r="H890" i="3"/>
  <c r="E891" i="3"/>
  <c r="F891" i="3" s="1"/>
  <c r="G891" i="3"/>
  <c r="H891" i="3"/>
  <c r="E892" i="3"/>
  <c r="G892" i="3"/>
  <c r="H892" i="3"/>
  <c r="E893" i="3"/>
  <c r="F893" i="3" s="1"/>
  <c r="G893" i="3"/>
  <c r="H893" i="3"/>
  <c r="E894" i="3"/>
  <c r="G894" i="3"/>
  <c r="H894" i="3"/>
  <c r="E895" i="3"/>
  <c r="F895" i="3" s="1"/>
  <c r="G895" i="3"/>
  <c r="H895" i="3"/>
  <c r="J895" i="3"/>
  <c r="E896" i="3"/>
  <c r="G896" i="3"/>
  <c r="H896" i="3"/>
  <c r="E897" i="3"/>
  <c r="F897" i="3" s="1"/>
  <c r="G897" i="3"/>
  <c r="H897" i="3"/>
  <c r="E898" i="3"/>
  <c r="G898" i="3"/>
  <c r="H898" i="3"/>
  <c r="E899" i="3"/>
  <c r="F899" i="3" s="1"/>
  <c r="G899" i="3"/>
  <c r="H899" i="3"/>
  <c r="E900" i="3"/>
  <c r="G900" i="3"/>
  <c r="H900" i="3"/>
  <c r="E901" i="3"/>
  <c r="F901" i="3" s="1"/>
  <c r="G901" i="3"/>
  <c r="H901" i="3"/>
  <c r="E902" i="3"/>
  <c r="G902" i="3"/>
  <c r="H902" i="3"/>
  <c r="E903" i="3"/>
  <c r="F903" i="3" s="1"/>
  <c r="G903" i="3"/>
  <c r="H903" i="3"/>
  <c r="J903" i="3"/>
  <c r="E904" i="3"/>
  <c r="G904" i="3"/>
  <c r="H904" i="3"/>
  <c r="E905" i="3"/>
  <c r="F905" i="3" s="1"/>
  <c r="G905" i="3"/>
  <c r="H905" i="3"/>
  <c r="E906" i="3"/>
  <c r="G906" i="3"/>
  <c r="H906" i="3"/>
  <c r="E907" i="3"/>
  <c r="F907" i="3" s="1"/>
  <c r="G907" i="3"/>
  <c r="H907" i="3"/>
  <c r="E908" i="3"/>
  <c r="G908" i="3"/>
  <c r="H908" i="3"/>
  <c r="E909" i="3"/>
  <c r="F909" i="3" s="1"/>
  <c r="G909" i="3"/>
  <c r="H909" i="3"/>
  <c r="E910" i="3"/>
  <c r="G910" i="3"/>
  <c r="H910" i="3"/>
  <c r="E911" i="3"/>
  <c r="F911" i="3" s="1"/>
  <c r="G911" i="3"/>
  <c r="H911" i="3"/>
  <c r="J911" i="3"/>
  <c r="E912" i="3"/>
  <c r="G912" i="3"/>
  <c r="H912" i="3"/>
  <c r="E913" i="3"/>
  <c r="F913" i="3" s="1"/>
  <c r="G913" i="3"/>
  <c r="H913" i="3"/>
  <c r="E914" i="3"/>
  <c r="G914" i="3"/>
  <c r="H914" i="3"/>
  <c r="E915" i="3"/>
  <c r="F915" i="3" s="1"/>
  <c r="G915" i="3"/>
  <c r="H915" i="3"/>
  <c r="E916" i="3"/>
  <c r="G916" i="3"/>
  <c r="H916" i="3"/>
  <c r="E917" i="3"/>
  <c r="F917" i="3" s="1"/>
  <c r="G917" i="3"/>
  <c r="H917" i="3"/>
  <c r="E918" i="3"/>
  <c r="G918" i="3"/>
  <c r="H918" i="3"/>
  <c r="E919" i="3"/>
  <c r="F919" i="3" s="1"/>
  <c r="G919" i="3"/>
  <c r="H919" i="3"/>
  <c r="J919" i="3"/>
  <c r="E920" i="3"/>
  <c r="G920" i="3"/>
  <c r="H920" i="3"/>
  <c r="E921" i="3"/>
  <c r="F921" i="3" s="1"/>
  <c r="G921" i="3"/>
  <c r="H921" i="3"/>
  <c r="E922" i="3"/>
  <c r="G922" i="3"/>
  <c r="H922" i="3"/>
  <c r="E923" i="3"/>
  <c r="F923" i="3" s="1"/>
  <c r="G923" i="3"/>
  <c r="H923" i="3"/>
  <c r="E924" i="3"/>
  <c r="G924" i="3"/>
  <c r="H924" i="3"/>
  <c r="E925" i="3"/>
  <c r="G925" i="3"/>
  <c r="H925" i="3"/>
  <c r="E926" i="3"/>
  <c r="G926" i="3"/>
  <c r="H926" i="3"/>
  <c r="E927" i="3"/>
  <c r="F927" i="3" s="1"/>
  <c r="G927" i="3"/>
  <c r="H927" i="3"/>
  <c r="E928" i="3"/>
  <c r="G928" i="3"/>
  <c r="H928" i="3"/>
  <c r="E929" i="3"/>
  <c r="G929" i="3"/>
  <c r="H929" i="3"/>
  <c r="E930" i="3"/>
  <c r="G930" i="3"/>
  <c r="H930" i="3"/>
  <c r="E931" i="3"/>
  <c r="F931" i="3" s="1"/>
  <c r="G931" i="3"/>
  <c r="H931" i="3"/>
  <c r="E932" i="3"/>
  <c r="G932" i="3"/>
  <c r="H932" i="3"/>
  <c r="E933" i="3"/>
  <c r="G933" i="3"/>
  <c r="H933" i="3"/>
  <c r="E934" i="3"/>
  <c r="G934" i="3"/>
  <c r="H934" i="3"/>
  <c r="E935" i="3"/>
  <c r="F935" i="3" s="1"/>
  <c r="G935" i="3"/>
  <c r="H935" i="3"/>
  <c r="E936" i="3"/>
  <c r="G936" i="3"/>
  <c r="H936" i="3"/>
  <c r="E937" i="3"/>
  <c r="G937" i="3"/>
  <c r="H937" i="3"/>
  <c r="E938" i="3"/>
  <c r="G938" i="3"/>
  <c r="H938" i="3"/>
  <c r="E939" i="3"/>
  <c r="F939" i="3" s="1"/>
  <c r="G939" i="3"/>
  <c r="H939" i="3"/>
  <c r="E940" i="3"/>
  <c r="G940" i="3"/>
  <c r="H940" i="3"/>
  <c r="E941" i="3"/>
  <c r="G941" i="3"/>
  <c r="H941" i="3"/>
  <c r="E942" i="3"/>
  <c r="G942" i="3"/>
  <c r="H942" i="3"/>
  <c r="E943" i="3"/>
  <c r="F943" i="3" s="1"/>
  <c r="G943" i="3"/>
  <c r="H943" i="3"/>
  <c r="E944" i="3"/>
  <c r="G944" i="3"/>
  <c r="H944" i="3"/>
  <c r="E945" i="3"/>
  <c r="G945" i="3"/>
  <c r="H945" i="3"/>
  <c r="E946" i="3"/>
  <c r="G946" i="3"/>
  <c r="H946" i="3"/>
  <c r="E947" i="3"/>
  <c r="F947" i="3" s="1"/>
  <c r="G947" i="3"/>
  <c r="H947" i="3"/>
  <c r="E948" i="3"/>
  <c r="G948" i="3"/>
  <c r="H948" i="3"/>
  <c r="E949" i="3"/>
  <c r="G949" i="3"/>
  <c r="H949" i="3"/>
  <c r="E950" i="3"/>
  <c r="G950" i="3"/>
  <c r="H950" i="3"/>
  <c r="E951" i="3"/>
  <c r="F951" i="3" s="1"/>
  <c r="G951" i="3"/>
  <c r="H951" i="3"/>
  <c r="E952" i="3"/>
  <c r="G952" i="3"/>
  <c r="H952" i="3"/>
  <c r="E953" i="3"/>
  <c r="G953" i="3"/>
  <c r="H953" i="3"/>
  <c r="E954" i="3"/>
  <c r="G954" i="3"/>
  <c r="H954" i="3"/>
  <c r="E955" i="3"/>
  <c r="F955" i="3" s="1"/>
  <c r="G955" i="3"/>
  <c r="H955" i="3"/>
  <c r="E956" i="3"/>
  <c r="G956" i="3"/>
  <c r="H956" i="3"/>
  <c r="E957" i="3"/>
  <c r="G957" i="3"/>
  <c r="H957" i="3"/>
  <c r="E958" i="3"/>
  <c r="G958" i="3"/>
  <c r="H958" i="3"/>
  <c r="E959" i="3"/>
  <c r="F959" i="3" s="1"/>
  <c r="G959" i="3"/>
  <c r="H959" i="3"/>
  <c r="E960" i="3"/>
  <c r="G960" i="3"/>
  <c r="H960" i="3"/>
  <c r="E961" i="3"/>
  <c r="G961" i="3"/>
  <c r="H961" i="3"/>
  <c r="E962" i="3"/>
  <c r="G962" i="3"/>
  <c r="H962" i="3"/>
  <c r="E963" i="3"/>
  <c r="F963" i="3" s="1"/>
  <c r="G963" i="3"/>
  <c r="H963" i="3"/>
  <c r="E964" i="3"/>
  <c r="G964" i="3"/>
  <c r="H964" i="3"/>
  <c r="E965" i="3"/>
  <c r="G965" i="3"/>
  <c r="H965" i="3"/>
  <c r="E966" i="3"/>
  <c r="G966" i="3"/>
  <c r="H966" i="3"/>
  <c r="E967" i="3"/>
  <c r="F967" i="3" s="1"/>
  <c r="G967" i="3"/>
  <c r="H967" i="3"/>
  <c r="E968" i="3"/>
  <c r="G968" i="3"/>
  <c r="H968" i="3"/>
  <c r="E969" i="3"/>
  <c r="G969" i="3"/>
  <c r="H969" i="3"/>
  <c r="E970" i="3"/>
  <c r="G970" i="3"/>
  <c r="H970" i="3"/>
  <c r="E971" i="3"/>
  <c r="F971" i="3" s="1"/>
  <c r="G971" i="3"/>
  <c r="H971" i="3"/>
  <c r="E972" i="3"/>
  <c r="G972" i="3"/>
  <c r="H972" i="3"/>
  <c r="E973" i="3"/>
  <c r="G973" i="3"/>
  <c r="H973" i="3"/>
  <c r="E974" i="3"/>
  <c r="G974" i="3"/>
  <c r="H974" i="3"/>
  <c r="E975" i="3"/>
  <c r="F975" i="3" s="1"/>
  <c r="G975" i="3"/>
  <c r="H975" i="3"/>
  <c r="E976" i="3"/>
  <c r="G976" i="3"/>
  <c r="H976" i="3"/>
  <c r="E977" i="3"/>
  <c r="F977" i="3" s="1"/>
  <c r="G977" i="3"/>
  <c r="H977" i="3"/>
  <c r="E978" i="3"/>
  <c r="G978" i="3"/>
  <c r="H978" i="3"/>
  <c r="E979" i="3"/>
  <c r="F979" i="3" s="1"/>
  <c r="G979" i="3"/>
  <c r="H979" i="3"/>
  <c r="E980" i="3"/>
  <c r="G980" i="3"/>
  <c r="H980" i="3"/>
  <c r="E981" i="3"/>
  <c r="F981" i="3" s="1"/>
  <c r="G981" i="3"/>
  <c r="H981" i="3"/>
  <c r="E982" i="3"/>
  <c r="G982" i="3"/>
  <c r="H982" i="3"/>
  <c r="E983" i="3"/>
  <c r="F983" i="3" s="1"/>
  <c r="G983" i="3"/>
  <c r="H983" i="3"/>
  <c r="E984" i="3"/>
  <c r="G984" i="3"/>
  <c r="H984" i="3"/>
  <c r="E985" i="3"/>
  <c r="F985" i="3" s="1"/>
  <c r="G985" i="3"/>
  <c r="H985" i="3"/>
  <c r="E986" i="3"/>
  <c r="G986" i="3"/>
  <c r="H986" i="3"/>
  <c r="E987" i="3"/>
  <c r="F987" i="3" s="1"/>
  <c r="G987" i="3"/>
  <c r="H987" i="3"/>
  <c r="E988" i="3"/>
  <c r="G988" i="3"/>
  <c r="H988" i="3"/>
  <c r="E989" i="3"/>
  <c r="F989" i="3" s="1"/>
  <c r="G989" i="3"/>
  <c r="H989" i="3"/>
  <c r="E990" i="3"/>
  <c r="G990" i="3"/>
  <c r="H990" i="3"/>
  <c r="E991" i="3"/>
  <c r="F991" i="3" s="1"/>
  <c r="G991" i="3"/>
  <c r="H991" i="3"/>
  <c r="E992" i="3"/>
  <c r="G992" i="3"/>
  <c r="H992" i="3"/>
  <c r="E993" i="3"/>
  <c r="F993" i="3" s="1"/>
  <c r="G993" i="3"/>
  <c r="H993" i="3"/>
  <c r="E994" i="3"/>
  <c r="G994" i="3"/>
  <c r="H994" i="3"/>
  <c r="E995" i="3"/>
  <c r="F995" i="3" s="1"/>
  <c r="G995" i="3"/>
  <c r="H995" i="3"/>
  <c r="E996" i="3"/>
  <c r="G996" i="3"/>
  <c r="H996" i="3"/>
  <c r="E997" i="3"/>
  <c r="F997" i="3" s="1"/>
  <c r="G997" i="3"/>
  <c r="H997" i="3"/>
  <c r="E998" i="3"/>
  <c r="G998" i="3"/>
  <c r="H998" i="3"/>
  <c r="E999" i="3"/>
  <c r="F999" i="3" s="1"/>
  <c r="G999" i="3"/>
  <c r="H999" i="3"/>
  <c r="E1000" i="3"/>
  <c r="G1000" i="3"/>
  <c r="H1000" i="3"/>
  <c r="E1001" i="3"/>
  <c r="F1001" i="3" s="1"/>
  <c r="G1001" i="3"/>
  <c r="H1001" i="3"/>
  <c r="E1002" i="3"/>
  <c r="G1002" i="3"/>
  <c r="H1002" i="3"/>
  <c r="E1003" i="3"/>
  <c r="F1003" i="3" s="1"/>
  <c r="G1003" i="3"/>
  <c r="H1003" i="3"/>
  <c r="E1004" i="3"/>
  <c r="G1004" i="3"/>
  <c r="H1004" i="3"/>
  <c r="E1005" i="3"/>
  <c r="F1005" i="3" s="1"/>
  <c r="G1005" i="3"/>
  <c r="H1005" i="3"/>
  <c r="E1006" i="3"/>
  <c r="G1006" i="3"/>
  <c r="H1006" i="3"/>
  <c r="E1007" i="3"/>
  <c r="F1007" i="3" s="1"/>
  <c r="G1007" i="3"/>
  <c r="H1007" i="3"/>
  <c r="E1008" i="3"/>
  <c r="G1008" i="3"/>
  <c r="H1008" i="3"/>
  <c r="E1009" i="3"/>
  <c r="F1009" i="3" s="1"/>
  <c r="G1009" i="3"/>
  <c r="H1009" i="3"/>
  <c r="E1010" i="3"/>
  <c r="G1010" i="3"/>
  <c r="H1010" i="3"/>
  <c r="E1011" i="3"/>
  <c r="F1011" i="3" s="1"/>
  <c r="G1011" i="3"/>
  <c r="H1011" i="3"/>
  <c r="E1012" i="3"/>
  <c r="G1012" i="3"/>
  <c r="H1012" i="3"/>
  <c r="E1013" i="3"/>
  <c r="F1013" i="3" s="1"/>
  <c r="G1013" i="3"/>
  <c r="H1013" i="3"/>
  <c r="E1014" i="3"/>
  <c r="G1014" i="3"/>
  <c r="H1014" i="3"/>
  <c r="E1015" i="3"/>
  <c r="F1015" i="3" s="1"/>
  <c r="G1015" i="3"/>
  <c r="H1015" i="3"/>
  <c r="E1016" i="3"/>
  <c r="G1016" i="3"/>
  <c r="H1016" i="3"/>
  <c r="E1017" i="3"/>
  <c r="F1017" i="3" s="1"/>
  <c r="G1017" i="3"/>
  <c r="H1017" i="3"/>
  <c r="E1018" i="3"/>
  <c r="G1018" i="3"/>
  <c r="H1018" i="3"/>
  <c r="E1019" i="3"/>
  <c r="F1019" i="3" s="1"/>
  <c r="G1019" i="3"/>
  <c r="H1019" i="3"/>
  <c r="E1020" i="3"/>
  <c r="G1020" i="3"/>
  <c r="H1020" i="3"/>
  <c r="E1021" i="3"/>
  <c r="F1021" i="3" s="1"/>
  <c r="G1021" i="3"/>
  <c r="H1021" i="3"/>
  <c r="E1022" i="3"/>
  <c r="G1022" i="3"/>
  <c r="H1022" i="3"/>
  <c r="E1023" i="3"/>
  <c r="F1023" i="3" s="1"/>
  <c r="G1023" i="3"/>
  <c r="H1023" i="3"/>
  <c r="E1024" i="3"/>
  <c r="G1024" i="3"/>
  <c r="H1024" i="3"/>
  <c r="E1025" i="3"/>
  <c r="F1025" i="3" s="1"/>
  <c r="G1025" i="3"/>
  <c r="H1025" i="3"/>
  <c r="E1026" i="3"/>
  <c r="G1026" i="3"/>
  <c r="H1026" i="3"/>
  <c r="E1027" i="3"/>
  <c r="F1027" i="3" s="1"/>
  <c r="G1027" i="3"/>
  <c r="H1027" i="3"/>
  <c r="E1028" i="3"/>
  <c r="G1028" i="3"/>
  <c r="H1028" i="3"/>
  <c r="E1029" i="3"/>
  <c r="F1029" i="3" s="1"/>
  <c r="G1029" i="3"/>
  <c r="H1029" i="3"/>
  <c r="E1030" i="3"/>
  <c r="G1030" i="3"/>
  <c r="H1030" i="3"/>
  <c r="E1031" i="3"/>
  <c r="F1031" i="3" s="1"/>
  <c r="G1031" i="3"/>
  <c r="H1031" i="3"/>
  <c r="E1032" i="3"/>
  <c r="G1032" i="3"/>
  <c r="H1032" i="3"/>
  <c r="E1033" i="3"/>
  <c r="F1033" i="3" s="1"/>
  <c r="G1033" i="3"/>
  <c r="H1033" i="3"/>
  <c r="E1034" i="3"/>
  <c r="G1034" i="3"/>
  <c r="H1034" i="3"/>
  <c r="E1035" i="3"/>
  <c r="F1035" i="3" s="1"/>
  <c r="G1035" i="3"/>
  <c r="H1035" i="3"/>
  <c r="E1036" i="3"/>
  <c r="G1036" i="3"/>
  <c r="H1036" i="3"/>
  <c r="E1037" i="3"/>
  <c r="F1037" i="3" s="1"/>
  <c r="G1037" i="3"/>
  <c r="H1037" i="3"/>
  <c r="E1038" i="3"/>
  <c r="G1038" i="3"/>
  <c r="H1038" i="3"/>
  <c r="E1039" i="3"/>
  <c r="F1039" i="3" s="1"/>
  <c r="G1039" i="3"/>
  <c r="H1039" i="3"/>
  <c r="E1040" i="3"/>
  <c r="G1040" i="3"/>
  <c r="H1040" i="3"/>
  <c r="E1041" i="3"/>
  <c r="F1041" i="3" s="1"/>
  <c r="G1041" i="3"/>
  <c r="H1041" i="3"/>
  <c r="E1042" i="3"/>
  <c r="G1042" i="3"/>
  <c r="H1042" i="3"/>
  <c r="E1043" i="3"/>
  <c r="F1043" i="3" s="1"/>
  <c r="G1043" i="3"/>
  <c r="H1043" i="3"/>
  <c r="E1044" i="3"/>
  <c r="G1044" i="3"/>
  <c r="H1044" i="3"/>
  <c r="E1045" i="3"/>
  <c r="F1045" i="3" s="1"/>
  <c r="G1045" i="3"/>
  <c r="H1045" i="3"/>
  <c r="E1046" i="3"/>
  <c r="G1046" i="3"/>
  <c r="H1046" i="3"/>
  <c r="E1047" i="3"/>
  <c r="F1047" i="3" s="1"/>
  <c r="G1047" i="3"/>
  <c r="H1047" i="3"/>
  <c r="E1048" i="3"/>
  <c r="G1048" i="3"/>
  <c r="H1048" i="3"/>
  <c r="E1049" i="3"/>
  <c r="F1049" i="3" s="1"/>
  <c r="G1049" i="3"/>
  <c r="H1049" i="3"/>
  <c r="E1050" i="3"/>
  <c r="G1050" i="3"/>
  <c r="H1050" i="3"/>
  <c r="E1051" i="3"/>
  <c r="F1051" i="3" s="1"/>
  <c r="G1051" i="3"/>
  <c r="H1051" i="3"/>
  <c r="E1052" i="3"/>
  <c r="G1052" i="3"/>
  <c r="H1052" i="3"/>
  <c r="E1053" i="3"/>
  <c r="F1053" i="3" s="1"/>
  <c r="G1053" i="3"/>
  <c r="H1053" i="3"/>
  <c r="E1054" i="3"/>
  <c r="G1054" i="3"/>
  <c r="H1054" i="3"/>
  <c r="E1055" i="3"/>
  <c r="F1055" i="3" s="1"/>
  <c r="G1055" i="3"/>
  <c r="H1055" i="3"/>
  <c r="E1056" i="3"/>
  <c r="G1056" i="3"/>
  <c r="H1056" i="3"/>
  <c r="E1057" i="3"/>
  <c r="F1057" i="3" s="1"/>
  <c r="G1057" i="3"/>
  <c r="H1057" i="3"/>
  <c r="E1058" i="3"/>
  <c r="G1058" i="3"/>
  <c r="H1058" i="3"/>
  <c r="E1059" i="3"/>
  <c r="F1059" i="3" s="1"/>
  <c r="G1059" i="3"/>
  <c r="H1059" i="3"/>
  <c r="E1060" i="3"/>
  <c r="G1060" i="3"/>
  <c r="H1060" i="3"/>
  <c r="E1061" i="3"/>
  <c r="F1061" i="3" s="1"/>
  <c r="G1061" i="3"/>
  <c r="H1061" i="3"/>
  <c r="E1062" i="3"/>
  <c r="G1062" i="3"/>
  <c r="H1062" i="3"/>
  <c r="E1063" i="3"/>
  <c r="F1063" i="3" s="1"/>
  <c r="G1063" i="3"/>
  <c r="H1063" i="3"/>
  <c r="E1064" i="3"/>
  <c r="G1064" i="3"/>
  <c r="H1064" i="3"/>
  <c r="E1065" i="3"/>
  <c r="F1065" i="3" s="1"/>
  <c r="G1065" i="3"/>
  <c r="H1065" i="3"/>
  <c r="E1066" i="3"/>
  <c r="G1066" i="3"/>
  <c r="H1066" i="3"/>
  <c r="E1067" i="3"/>
  <c r="F1067" i="3" s="1"/>
  <c r="G1067" i="3"/>
  <c r="H1067" i="3"/>
  <c r="E1068" i="3"/>
  <c r="G1068" i="3"/>
  <c r="H1068" i="3"/>
  <c r="E1069" i="3"/>
  <c r="F1069" i="3" s="1"/>
  <c r="G1069" i="3"/>
  <c r="H1069" i="3"/>
  <c r="E1070" i="3"/>
  <c r="G1070" i="3"/>
  <c r="H1070" i="3"/>
  <c r="E1071" i="3"/>
  <c r="F1071" i="3" s="1"/>
  <c r="G1071" i="3"/>
  <c r="H1071" i="3"/>
  <c r="E1072" i="3"/>
  <c r="G1072" i="3"/>
  <c r="H1072" i="3"/>
  <c r="E1073" i="3"/>
  <c r="F1073" i="3" s="1"/>
  <c r="G1073" i="3"/>
  <c r="H1073" i="3"/>
  <c r="E1074" i="3"/>
  <c r="G1074" i="3"/>
  <c r="H1074" i="3"/>
  <c r="E1075" i="3"/>
  <c r="F1075" i="3" s="1"/>
  <c r="G1075" i="3"/>
  <c r="H1075" i="3"/>
  <c r="E1076" i="3"/>
  <c r="G1076" i="3"/>
  <c r="H1076" i="3"/>
  <c r="E1077" i="3"/>
  <c r="F1077" i="3" s="1"/>
  <c r="G1077" i="3"/>
  <c r="H1077" i="3"/>
  <c r="E1078" i="3"/>
  <c r="G1078" i="3"/>
  <c r="H1078" i="3"/>
  <c r="E1079" i="3"/>
  <c r="F1079" i="3" s="1"/>
  <c r="G1079" i="3"/>
  <c r="H1079" i="3"/>
  <c r="E1080" i="3"/>
  <c r="G1080" i="3"/>
  <c r="H1080" i="3"/>
  <c r="E1081" i="3"/>
  <c r="F1081" i="3" s="1"/>
  <c r="G1081" i="3"/>
  <c r="H1081" i="3"/>
  <c r="E1082" i="3"/>
  <c r="G1082" i="3"/>
  <c r="H1082" i="3"/>
  <c r="E1083" i="3"/>
  <c r="F1083" i="3" s="1"/>
  <c r="G1083" i="3"/>
  <c r="H1083" i="3"/>
  <c r="E1084" i="3"/>
  <c r="G1084" i="3"/>
  <c r="H1084" i="3"/>
  <c r="E1085" i="3"/>
  <c r="F1085" i="3" s="1"/>
  <c r="G1085" i="3"/>
  <c r="H1085" i="3"/>
  <c r="E1086" i="3"/>
  <c r="G1086" i="3"/>
  <c r="H1086" i="3"/>
  <c r="E1087" i="3"/>
  <c r="F1087" i="3" s="1"/>
  <c r="G1087" i="3"/>
  <c r="H1087" i="3"/>
  <c r="E1088" i="3"/>
  <c r="G1088" i="3"/>
  <c r="H1088" i="3"/>
  <c r="E1089" i="3"/>
  <c r="F1089" i="3" s="1"/>
  <c r="G1089" i="3"/>
  <c r="H1089" i="3"/>
  <c r="E1090" i="3"/>
  <c r="G1090" i="3"/>
  <c r="H1090" i="3"/>
  <c r="E1091" i="3"/>
  <c r="F1091" i="3" s="1"/>
  <c r="G1091" i="3"/>
  <c r="H1091" i="3"/>
  <c r="E1092" i="3"/>
  <c r="G1092" i="3"/>
  <c r="H1092" i="3"/>
  <c r="E1093" i="3"/>
  <c r="F1093" i="3" s="1"/>
  <c r="G1093" i="3"/>
  <c r="H1093" i="3"/>
  <c r="E1094" i="3"/>
  <c r="G1094" i="3"/>
  <c r="H1094" i="3"/>
  <c r="E1095" i="3"/>
  <c r="F1095" i="3" s="1"/>
  <c r="G1095" i="3"/>
  <c r="H1095" i="3"/>
  <c r="E1096" i="3"/>
  <c r="G1096" i="3"/>
  <c r="H1096" i="3"/>
  <c r="E1097" i="3"/>
  <c r="F1097" i="3" s="1"/>
  <c r="G1097" i="3"/>
  <c r="H1097" i="3"/>
  <c r="E1098" i="3"/>
  <c r="G1098" i="3"/>
  <c r="H1098" i="3"/>
  <c r="E1099" i="3"/>
  <c r="F1099" i="3" s="1"/>
  <c r="G1099" i="3"/>
  <c r="H1099" i="3"/>
  <c r="E1100" i="3"/>
  <c r="G1100" i="3"/>
  <c r="H1100" i="3"/>
  <c r="E1101" i="3"/>
  <c r="F1101" i="3" s="1"/>
  <c r="G1101" i="3"/>
  <c r="H1101" i="3"/>
  <c r="E1102" i="3"/>
  <c r="G1102" i="3"/>
  <c r="H1102" i="3"/>
  <c r="E1103" i="3"/>
  <c r="F1103" i="3" s="1"/>
  <c r="G1103" i="3"/>
  <c r="H1103" i="3"/>
  <c r="E1104" i="3"/>
  <c r="G1104" i="3"/>
  <c r="H1104" i="3"/>
  <c r="E1105" i="3"/>
  <c r="F1105" i="3" s="1"/>
  <c r="G1105" i="3"/>
  <c r="H1105" i="3"/>
  <c r="E1106" i="3"/>
  <c r="G1106" i="3"/>
  <c r="H1106" i="3"/>
  <c r="E1107" i="3"/>
  <c r="F1107" i="3" s="1"/>
  <c r="G1107" i="3"/>
  <c r="H1107" i="3"/>
  <c r="E1108" i="3"/>
  <c r="G1108" i="3"/>
  <c r="H1108" i="3"/>
  <c r="E1109" i="3"/>
  <c r="F1109" i="3" s="1"/>
  <c r="G1109" i="3"/>
  <c r="H1109" i="3"/>
  <c r="E1110" i="3"/>
  <c r="G1110" i="3"/>
  <c r="H1110" i="3"/>
  <c r="E1111" i="3"/>
  <c r="F1111" i="3" s="1"/>
  <c r="G1111" i="3"/>
  <c r="H1111" i="3"/>
  <c r="E1112" i="3"/>
  <c r="G1112" i="3"/>
  <c r="H1112" i="3"/>
  <c r="E1113" i="3"/>
  <c r="F1113" i="3" s="1"/>
  <c r="G1113" i="3"/>
  <c r="H1113" i="3"/>
  <c r="E1114" i="3"/>
  <c r="G1114" i="3"/>
  <c r="H1114" i="3"/>
  <c r="E1115" i="3"/>
  <c r="F1115" i="3" s="1"/>
  <c r="G1115" i="3"/>
  <c r="H1115" i="3"/>
  <c r="E1116" i="3"/>
  <c r="G1116" i="3"/>
  <c r="H1116" i="3"/>
  <c r="E1117" i="3"/>
  <c r="F1117" i="3" s="1"/>
  <c r="G1117" i="3"/>
  <c r="H1117" i="3"/>
  <c r="E1118" i="3"/>
  <c r="G1118" i="3"/>
  <c r="H1118" i="3"/>
  <c r="E1119" i="3"/>
  <c r="F1119" i="3" s="1"/>
  <c r="G1119" i="3"/>
  <c r="H1119" i="3"/>
  <c r="E1120" i="3"/>
  <c r="G1120" i="3"/>
  <c r="H1120" i="3"/>
  <c r="E1121" i="3"/>
  <c r="F1121" i="3" s="1"/>
  <c r="G1121" i="3"/>
  <c r="H1121" i="3"/>
  <c r="E1122" i="3"/>
  <c r="G1122" i="3"/>
  <c r="H1122" i="3"/>
  <c r="E1123" i="3"/>
  <c r="F1123" i="3" s="1"/>
  <c r="G1123" i="3"/>
  <c r="H1123" i="3"/>
  <c r="E1124" i="3"/>
  <c r="G1124" i="3"/>
  <c r="H1124" i="3"/>
  <c r="E1125" i="3"/>
  <c r="F1125" i="3" s="1"/>
  <c r="G1125" i="3"/>
  <c r="H1125" i="3"/>
  <c r="E1126" i="3"/>
  <c r="G1126" i="3"/>
  <c r="H1126" i="3"/>
  <c r="E1127" i="3"/>
  <c r="F1127" i="3" s="1"/>
  <c r="G1127" i="3"/>
  <c r="H1127" i="3"/>
  <c r="E1128" i="3"/>
  <c r="G1128" i="3"/>
  <c r="H1128" i="3"/>
  <c r="E1129" i="3"/>
  <c r="F1129" i="3" s="1"/>
  <c r="G1129" i="3"/>
  <c r="H1129" i="3"/>
  <c r="E1130" i="3"/>
  <c r="G1130" i="3"/>
  <c r="H1130" i="3"/>
  <c r="E1131" i="3"/>
  <c r="F1131" i="3" s="1"/>
  <c r="G1131" i="3"/>
  <c r="H1131" i="3"/>
  <c r="E1132" i="3"/>
  <c r="G1132" i="3"/>
  <c r="H1132" i="3"/>
  <c r="E1133" i="3"/>
  <c r="F1133" i="3" s="1"/>
  <c r="G1133" i="3"/>
  <c r="H1133" i="3"/>
  <c r="E1134" i="3"/>
  <c r="G1134" i="3"/>
  <c r="H1134" i="3"/>
  <c r="E1135" i="3"/>
  <c r="F1135" i="3" s="1"/>
  <c r="G1135" i="3"/>
  <c r="H1135" i="3"/>
  <c r="E1136" i="3"/>
  <c r="G1136" i="3"/>
  <c r="H1136" i="3"/>
  <c r="E1137" i="3"/>
  <c r="F1137" i="3" s="1"/>
  <c r="G1137" i="3"/>
  <c r="H1137" i="3"/>
  <c r="E1138" i="3"/>
  <c r="G1138" i="3"/>
  <c r="H1138" i="3"/>
  <c r="E1139" i="3"/>
  <c r="F1139" i="3" s="1"/>
  <c r="G1139" i="3"/>
  <c r="H1139" i="3"/>
  <c r="E1140" i="3"/>
  <c r="G1140" i="3"/>
  <c r="H1140" i="3"/>
  <c r="E1141" i="3"/>
  <c r="F1141" i="3" s="1"/>
  <c r="G1141" i="3"/>
  <c r="H1141" i="3"/>
  <c r="E1142" i="3"/>
  <c r="G1142" i="3"/>
  <c r="H1142" i="3"/>
  <c r="E1143" i="3"/>
  <c r="F1143" i="3" s="1"/>
  <c r="G1143" i="3"/>
  <c r="H1143" i="3"/>
  <c r="E1144" i="3"/>
  <c r="G1144" i="3"/>
  <c r="H1144" i="3"/>
  <c r="E1145" i="3"/>
  <c r="F1145" i="3" s="1"/>
  <c r="G1145" i="3"/>
  <c r="H1145" i="3"/>
  <c r="E1146" i="3"/>
  <c r="G1146" i="3"/>
  <c r="H1146" i="3"/>
  <c r="E1147" i="3"/>
  <c r="F1147" i="3" s="1"/>
  <c r="G1147" i="3"/>
  <c r="H1147" i="3"/>
  <c r="E1148" i="3"/>
  <c r="G1148" i="3"/>
  <c r="H1148" i="3"/>
  <c r="E1149" i="3"/>
  <c r="F1149" i="3" s="1"/>
  <c r="G1149" i="3"/>
  <c r="H1149" i="3"/>
  <c r="E1150" i="3"/>
  <c r="G1150" i="3"/>
  <c r="H1150" i="3"/>
  <c r="E1151" i="3"/>
  <c r="F1151" i="3" s="1"/>
  <c r="G1151" i="3"/>
  <c r="H1151" i="3"/>
  <c r="E1152" i="3"/>
  <c r="G1152" i="3"/>
  <c r="H1152" i="3"/>
  <c r="E1153" i="3"/>
  <c r="F1153" i="3" s="1"/>
  <c r="G1153" i="3"/>
  <c r="H1153" i="3"/>
  <c r="E1154" i="3"/>
  <c r="G1154" i="3"/>
  <c r="H1154" i="3"/>
  <c r="E1155" i="3"/>
  <c r="F1155" i="3" s="1"/>
  <c r="G1155" i="3"/>
  <c r="H1155" i="3"/>
  <c r="E1156" i="3"/>
  <c r="G1156" i="3"/>
  <c r="H1156" i="3"/>
  <c r="E1157" i="3"/>
  <c r="F1157" i="3" s="1"/>
  <c r="G1157" i="3"/>
  <c r="H1157" i="3"/>
  <c r="E1158" i="3"/>
  <c r="G1158" i="3"/>
  <c r="H1158" i="3"/>
  <c r="E1159" i="3"/>
  <c r="F1159" i="3" s="1"/>
  <c r="G1159" i="3"/>
  <c r="H1159" i="3"/>
  <c r="E1160" i="3"/>
  <c r="G1160" i="3"/>
  <c r="H1160" i="3"/>
  <c r="E1161" i="3"/>
  <c r="F1161" i="3" s="1"/>
  <c r="G1161" i="3"/>
  <c r="H1161" i="3"/>
  <c r="E1162" i="3"/>
  <c r="G1162" i="3"/>
  <c r="H1162" i="3"/>
  <c r="E1163" i="3"/>
  <c r="F1163" i="3" s="1"/>
  <c r="G1163" i="3"/>
  <c r="H1163" i="3"/>
  <c r="E1164" i="3"/>
  <c r="G1164" i="3"/>
  <c r="H1164" i="3"/>
  <c r="E1165" i="3"/>
  <c r="F1165" i="3" s="1"/>
  <c r="G1165" i="3"/>
  <c r="H1165" i="3"/>
  <c r="E1166" i="3"/>
  <c r="G1166" i="3"/>
  <c r="H1166" i="3"/>
  <c r="E1167" i="3"/>
  <c r="F1167" i="3" s="1"/>
  <c r="G1167" i="3"/>
  <c r="H1167" i="3"/>
  <c r="E1168" i="3"/>
  <c r="G1168" i="3"/>
  <c r="H1168" i="3"/>
  <c r="E1169" i="3"/>
  <c r="F1169" i="3" s="1"/>
  <c r="G1169" i="3"/>
  <c r="H1169" i="3"/>
  <c r="E1170" i="3"/>
  <c r="G1170" i="3"/>
  <c r="H1170" i="3"/>
  <c r="E1171" i="3"/>
  <c r="F1171" i="3" s="1"/>
  <c r="G1171" i="3"/>
  <c r="H1171" i="3"/>
  <c r="E1172" i="3"/>
  <c r="G1172" i="3"/>
  <c r="H1172" i="3"/>
  <c r="E1173" i="3"/>
  <c r="F1173" i="3" s="1"/>
  <c r="G1173" i="3"/>
  <c r="H1173" i="3"/>
  <c r="E1174" i="3"/>
  <c r="G1174" i="3"/>
  <c r="H1174" i="3"/>
  <c r="E1175" i="3"/>
  <c r="F1175" i="3" s="1"/>
  <c r="G1175" i="3"/>
  <c r="H1175" i="3"/>
  <c r="E1176" i="3"/>
  <c r="G1176" i="3"/>
  <c r="H1176" i="3"/>
  <c r="E1177" i="3"/>
  <c r="F1177" i="3" s="1"/>
  <c r="G1177" i="3"/>
  <c r="H1177" i="3"/>
  <c r="E1178" i="3"/>
  <c r="G1178" i="3"/>
  <c r="H1178" i="3"/>
  <c r="E1179" i="3"/>
  <c r="F1179" i="3" s="1"/>
  <c r="G1179" i="3"/>
  <c r="H1179" i="3"/>
  <c r="E1180" i="3"/>
  <c r="G1180" i="3"/>
  <c r="H1180" i="3"/>
  <c r="E1181" i="3"/>
  <c r="F1181" i="3" s="1"/>
  <c r="G1181" i="3"/>
  <c r="H1181" i="3"/>
  <c r="E1182" i="3"/>
  <c r="G1182" i="3"/>
  <c r="H1182" i="3"/>
  <c r="E1183" i="3"/>
  <c r="F1183" i="3" s="1"/>
  <c r="G1183" i="3"/>
  <c r="H1183" i="3"/>
  <c r="E1184" i="3"/>
  <c r="G1184" i="3"/>
  <c r="H1184" i="3"/>
  <c r="E1185" i="3"/>
  <c r="F1185" i="3" s="1"/>
  <c r="G1185" i="3"/>
  <c r="H1185" i="3"/>
  <c r="E1186" i="3"/>
  <c r="G1186" i="3"/>
  <c r="H1186" i="3"/>
  <c r="E1187" i="3"/>
  <c r="F1187" i="3" s="1"/>
  <c r="G1187" i="3"/>
  <c r="H1187" i="3"/>
  <c r="E1188" i="3"/>
  <c r="G1188" i="3"/>
  <c r="H1188" i="3"/>
  <c r="E1189" i="3"/>
  <c r="F1189" i="3" s="1"/>
  <c r="G1189" i="3"/>
  <c r="H1189" i="3"/>
  <c r="E1190" i="3"/>
  <c r="G1190" i="3"/>
  <c r="H1190" i="3"/>
  <c r="E1191" i="3"/>
  <c r="F1191" i="3" s="1"/>
  <c r="G1191" i="3"/>
  <c r="H1191" i="3"/>
  <c r="E1192" i="3"/>
  <c r="G1192" i="3"/>
  <c r="H1192" i="3"/>
  <c r="E1193" i="3"/>
  <c r="F1193" i="3" s="1"/>
  <c r="G1193" i="3"/>
  <c r="H1193" i="3"/>
  <c r="E1194" i="3"/>
  <c r="G1194" i="3"/>
  <c r="H1194" i="3"/>
  <c r="E1195" i="3"/>
  <c r="F1195" i="3" s="1"/>
  <c r="G1195" i="3"/>
  <c r="H1195" i="3"/>
  <c r="E1196" i="3"/>
  <c r="G1196" i="3"/>
  <c r="H1196" i="3"/>
  <c r="E1197" i="3"/>
  <c r="G1197" i="3"/>
  <c r="H1197" i="3"/>
  <c r="E1198" i="3"/>
  <c r="G1198" i="3"/>
  <c r="H1198" i="3"/>
  <c r="E1199" i="3"/>
  <c r="G1199" i="3"/>
  <c r="H1199" i="3"/>
  <c r="E1200" i="3"/>
  <c r="G1200" i="3"/>
  <c r="H1200" i="3"/>
  <c r="E1201" i="3"/>
  <c r="G1201" i="3"/>
  <c r="H1201" i="3"/>
  <c r="E1202" i="3"/>
  <c r="G1202" i="3"/>
  <c r="H1202" i="3"/>
  <c r="E1203" i="3"/>
  <c r="G1203" i="3"/>
  <c r="H1203" i="3"/>
  <c r="E1204" i="3"/>
  <c r="G1204" i="3"/>
  <c r="H1204" i="3"/>
  <c r="E1205" i="3"/>
  <c r="G1205" i="3"/>
  <c r="H1205" i="3"/>
  <c r="E1206" i="3"/>
  <c r="G1206" i="3"/>
  <c r="H1206" i="3"/>
  <c r="E1207" i="3"/>
  <c r="G1207" i="3"/>
  <c r="H1207" i="3"/>
  <c r="E1208" i="3"/>
  <c r="G1208" i="3"/>
  <c r="H1208" i="3"/>
  <c r="E1209" i="3"/>
  <c r="G1209" i="3"/>
  <c r="H1209" i="3"/>
  <c r="E1210" i="3"/>
  <c r="G1210" i="3"/>
  <c r="H1210" i="3"/>
  <c r="E1211" i="3"/>
  <c r="G1211" i="3"/>
  <c r="H1211" i="3"/>
  <c r="E1212" i="3"/>
  <c r="G1212" i="3"/>
  <c r="H1212" i="3"/>
  <c r="E1213" i="3"/>
  <c r="G1213" i="3"/>
  <c r="H1213" i="3"/>
  <c r="E1214" i="3"/>
  <c r="G1214" i="3"/>
  <c r="H1214" i="3"/>
  <c r="E1215" i="3"/>
  <c r="G1215" i="3"/>
  <c r="H1215" i="3"/>
  <c r="E1216" i="3"/>
  <c r="G1216" i="3"/>
  <c r="H1216" i="3"/>
  <c r="E1217" i="3"/>
  <c r="G1217" i="3"/>
  <c r="H1217" i="3"/>
  <c r="E1218" i="3"/>
  <c r="G1218" i="3"/>
  <c r="H1218" i="3"/>
  <c r="E1219" i="3"/>
  <c r="G1219" i="3"/>
  <c r="H1219" i="3"/>
  <c r="E1220" i="3"/>
  <c r="G1220" i="3"/>
  <c r="H1220" i="3"/>
  <c r="E1221" i="3"/>
  <c r="G1221" i="3"/>
  <c r="H1221" i="3"/>
  <c r="E1222" i="3"/>
  <c r="G1222" i="3"/>
  <c r="H1222" i="3"/>
  <c r="E1223" i="3"/>
  <c r="G1223" i="3"/>
  <c r="H1223" i="3"/>
  <c r="E1224" i="3"/>
  <c r="G1224" i="3"/>
  <c r="H1224" i="3"/>
  <c r="E1225" i="3"/>
  <c r="G1225" i="3"/>
  <c r="H1225" i="3"/>
  <c r="E1226" i="3"/>
  <c r="G1226" i="3"/>
  <c r="H1226" i="3"/>
  <c r="E1227" i="3"/>
  <c r="G1227" i="3"/>
  <c r="H1227" i="3"/>
  <c r="E1228" i="3"/>
  <c r="G1228" i="3"/>
  <c r="H1228" i="3"/>
  <c r="E1229" i="3"/>
  <c r="G1229" i="3"/>
  <c r="H1229" i="3"/>
  <c r="E1230" i="3"/>
  <c r="G1230" i="3"/>
  <c r="H1230" i="3"/>
  <c r="E1231" i="3"/>
  <c r="G1231" i="3"/>
  <c r="H1231" i="3"/>
  <c r="E1232" i="3"/>
  <c r="G1232" i="3"/>
  <c r="H1232" i="3"/>
  <c r="E1233" i="3"/>
  <c r="G1233" i="3"/>
  <c r="H1233" i="3"/>
  <c r="E1234" i="3"/>
  <c r="F1234" i="3" s="1"/>
  <c r="G1234" i="3"/>
  <c r="H1234" i="3"/>
  <c r="J1234" i="3"/>
  <c r="E1235" i="3"/>
  <c r="G1235" i="3"/>
  <c r="H1235" i="3"/>
  <c r="E1236" i="3"/>
  <c r="G1236" i="3"/>
  <c r="H1236" i="3"/>
  <c r="E1237" i="3"/>
  <c r="G1237" i="3"/>
  <c r="H1237" i="3"/>
  <c r="E1238" i="3"/>
  <c r="F1238" i="3" s="1"/>
  <c r="G1238" i="3"/>
  <c r="H1238" i="3"/>
  <c r="E1239" i="3"/>
  <c r="G1239" i="3"/>
  <c r="H1239" i="3"/>
  <c r="E1240" i="3"/>
  <c r="G1240" i="3"/>
  <c r="H1240" i="3"/>
  <c r="E1241" i="3"/>
  <c r="G1241" i="3"/>
  <c r="H1241" i="3"/>
  <c r="E1242" i="3"/>
  <c r="F1242" i="3" s="1"/>
  <c r="G1242" i="3"/>
  <c r="H1242" i="3"/>
  <c r="E1243" i="3"/>
  <c r="G1243" i="3"/>
  <c r="H1243" i="3"/>
  <c r="E1244" i="3"/>
  <c r="G1244" i="3"/>
  <c r="H1244" i="3"/>
  <c r="E1245" i="3"/>
  <c r="G1245" i="3"/>
  <c r="H1245" i="3"/>
  <c r="E1246" i="3"/>
  <c r="F1246" i="3" s="1"/>
  <c r="G1246" i="3"/>
  <c r="H1246" i="3"/>
  <c r="E1247" i="3"/>
  <c r="G1247" i="3"/>
  <c r="H1247" i="3"/>
  <c r="E1248" i="3"/>
  <c r="G1248" i="3"/>
  <c r="H1248" i="3"/>
  <c r="E1249" i="3"/>
  <c r="G1249" i="3"/>
  <c r="H1249" i="3"/>
  <c r="E1250" i="3"/>
  <c r="F1250" i="3" s="1"/>
  <c r="G1250" i="3"/>
  <c r="H1250" i="3"/>
  <c r="E1251" i="3"/>
  <c r="G1251" i="3"/>
  <c r="H1251" i="3"/>
  <c r="E1252" i="3"/>
  <c r="G1252" i="3"/>
  <c r="H1252" i="3"/>
  <c r="E1253" i="3"/>
  <c r="G1253" i="3"/>
  <c r="H1253" i="3"/>
  <c r="E1254" i="3"/>
  <c r="F1254" i="3" s="1"/>
  <c r="G1254" i="3"/>
  <c r="H1254" i="3"/>
  <c r="E1255" i="3"/>
  <c r="G1255" i="3"/>
  <c r="H1255" i="3"/>
  <c r="E1256" i="3"/>
  <c r="G1256" i="3"/>
  <c r="H1256" i="3"/>
  <c r="E1257" i="3"/>
  <c r="G1257" i="3"/>
  <c r="H1257" i="3"/>
  <c r="E1258" i="3"/>
  <c r="F1258" i="3" s="1"/>
  <c r="G1258" i="3"/>
  <c r="H1258" i="3"/>
  <c r="E1259" i="3"/>
  <c r="G1259" i="3"/>
  <c r="H1259" i="3"/>
  <c r="E1260" i="3"/>
  <c r="G1260" i="3"/>
  <c r="H1260" i="3"/>
  <c r="E1261" i="3"/>
  <c r="G1261" i="3"/>
  <c r="H1261" i="3"/>
  <c r="E1262" i="3"/>
  <c r="F1262" i="3" s="1"/>
  <c r="G1262" i="3"/>
  <c r="H1262" i="3"/>
  <c r="E1263" i="3"/>
  <c r="G1263" i="3"/>
  <c r="H1263" i="3"/>
  <c r="E1264" i="3"/>
  <c r="G1264" i="3"/>
  <c r="H1264" i="3"/>
  <c r="E1265" i="3"/>
  <c r="G1265" i="3"/>
  <c r="H1265" i="3"/>
  <c r="E1266" i="3"/>
  <c r="F1266" i="3" s="1"/>
  <c r="G1266" i="3"/>
  <c r="H1266" i="3"/>
  <c r="E1267" i="3"/>
  <c r="G1267" i="3"/>
  <c r="H1267" i="3"/>
  <c r="E1268" i="3"/>
  <c r="G1268" i="3"/>
  <c r="H1268" i="3"/>
  <c r="E1269" i="3"/>
  <c r="F1269" i="3" s="1"/>
  <c r="G1269" i="3"/>
  <c r="H1269" i="3"/>
  <c r="E1270" i="3"/>
  <c r="F1270" i="3"/>
  <c r="G1270" i="3"/>
  <c r="H1270" i="3"/>
  <c r="J1270" i="3"/>
  <c r="E1271" i="3"/>
  <c r="F1271" i="3" s="1"/>
  <c r="G1271" i="3"/>
  <c r="H1271" i="3"/>
  <c r="E1272" i="3"/>
  <c r="F1272" i="3"/>
  <c r="G1272" i="3"/>
  <c r="H1272" i="3"/>
  <c r="J1272" i="3"/>
  <c r="E1273" i="3"/>
  <c r="F1273" i="3" s="1"/>
  <c r="G1273" i="3"/>
  <c r="H1273" i="3"/>
  <c r="E1274" i="3"/>
  <c r="F1274" i="3"/>
  <c r="G1274" i="3"/>
  <c r="H1274" i="3"/>
  <c r="J1274" i="3"/>
  <c r="E1275" i="3"/>
  <c r="F1275" i="3" s="1"/>
  <c r="G1275" i="3"/>
  <c r="H1275" i="3"/>
  <c r="E1276" i="3"/>
  <c r="F1276" i="3"/>
  <c r="G1276" i="3"/>
  <c r="H1276" i="3"/>
  <c r="J1276" i="3"/>
  <c r="E1277" i="3"/>
  <c r="F1277" i="3" s="1"/>
  <c r="G1277" i="3"/>
  <c r="H1277" i="3"/>
  <c r="E1278" i="3"/>
  <c r="F1278" i="3"/>
  <c r="G1278" i="3"/>
  <c r="H1278" i="3"/>
  <c r="J1278" i="3"/>
  <c r="E1279" i="3"/>
  <c r="F1279" i="3" s="1"/>
  <c r="G1279" i="3"/>
  <c r="H1279" i="3"/>
  <c r="E1280" i="3"/>
  <c r="F1280" i="3"/>
  <c r="G1280" i="3"/>
  <c r="H1280" i="3"/>
  <c r="J1280" i="3"/>
  <c r="E1281" i="3"/>
  <c r="F1281" i="3" s="1"/>
  <c r="G1281" i="3"/>
  <c r="H1281" i="3"/>
  <c r="E1282" i="3"/>
  <c r="F1282" i="3"/>
  <c r="G1282" i="3"/>
  <c r="H1282" i="3"/>
  <c r="J1282" i="3"/>
  <c r="E1283" i="3"/>
  <c r="F1283" i="3" s="1"/>
  <c r="G1283" i="3"/>
  <c r="H1283" i="3"/>
  <c r="E1284" i="3"/>
  <c r="F1284" i="3"/>
  <c r="G1284" i="3"/>
  <c r="H1284" i="3"/>
  <c r="J1284" i="3"/>
  <c r="E1285" i="3"/>
  <c r="F1285" i="3" s="1"/>
  <c r="G1285" i="3"/>
  <c r="H1285" i="3"/>
  <c r="E1286" i="3"/>
  <c r="F1286" i="3"/>
  <c r="G1286" i="3"/>
  <c r="H1286" i="3"/>
  <c r="J1286" i="3"/>
  <c r="E1287" i="3"/>
  <c r="F1287" i="3" s="1"/>
  <c r="G1287" i="3"/>
  <c r="H1287" i="3"/>
  <c r="E1288" i="3"/>
  <c r="F1288" i="3"/>
  <c r="G1288" i="3"/>
  <c r="H1288" i="3"/>
  <c r="J1288" i="3"/>
  <c r="E1289" i="3"/>
  <c r="F1289" i="3" s="1"/>
  <c r="G1289" i="3"/>
  <c r="H1289" i="3"/>
  <c r="E1290" i="3"/>
  <c r="F1290" i="3"/>
  <c r="G1290" i="3"/>
  <c r="H1290" i="3"/>
  <c r="J1290" i="3"/>
  <c r="E1291" i="3"/>
  <c r="F1291" i="3" s="1"/>
  <c r="G1291" i="3"/>
  <c r="H1291" i="3"/>
  <c r="E1292" i="3"/>
  <c r="F1292" i="3"/>
  <c r="G1292" i="3"/>
  <c r="H1292" i="3"/>
  <c r="J1292" i="3"/>
  <c r="E1293" i="3"/>
  <c r="F1293" i="3" s="1"/>
  <c r="G1293" i="3"/>
  <c r="H1293" i="3"/>
  <c r="E1294" i="3"/>
  <c r="F1294" i="3"/>
  <c r="G1294" i="3"/>
  <c r="H1294" i="3"/>
  <c r="J1294" i="3"/>
  <c r="E1295" i="3"/>
  <c r="F1295" i="3" s="1"/>
  <c r="G1295" i="3"/>
  <c r="H1295" i="3"/>
  <c r="E1296" i="3"/>
  <c r="F1296" i="3"/>
  <c r="G1296" i="3"/>
  <c r="H1296" i="3"/>
  <c r="J1296" i="3"/>
  <c r="E1297" i="3"/>
  <c r="F1297" i="3" s="1"/>
  <c r="G1297" i="3"/>
  <c r="H1297" i="3"/>
  <c r="E1298" i="3"/>
  <c r="F1298" i="3"/>
  <c r="G1298" i="3"/>
  <c r="H1298" i="3"/>
  <c r="J1298" i="3"/>
  <c r="E1299" i="3"/>
  <c r="F1299" i="3" s="1"/>
  <c r="G1299" i="3"/>
  <c r="H1299" i="3"/>
  <c r="E1300" i="3"/>
  <c r="F1300" i="3"/>
  <c r="G1300" i="3"/>
  <c r="H1300" i="3"/>
  <c r="J1300" i="3"/>
  <c r="E1301" i="3"/>
  <c r="F1301" i="3" s="1"/>
  <c r="G1301" i="3"/>
  <c r="H1301" i="3"/>
  <c r="E1302" i="3"/>
  <c r="F1302" i="3"/>
  <c r="G1302" i="3"/>
  <c r="H1302" i="3"/>
  <c r="J1302" i="3"/>
  <c r="E1303" i="3"/>
  <c r="F1303" i="3" s="1"/>
  <c r="G1303" i="3"/>
  <c r="H1303" i="3"/>
  <c r="E1304" i="3"/>
  <c r="F1304" i="3"/>
  <c r="G1304" i="3"/>
  <c r="H1304" i="3"/>
  <c r="J1304" i="3"/>
  <c r="E1305" i="3"/>
  <c r="F1305" i="3" s="1"/>
  <c r="G1305" i="3"/>
  <c r="H1305" i="3"/>
  <c r="E1306" i="3"/>
  <c r="F1306" i="3"/>
  <c r="G1306" i="3"/>
  <c r="H1306" i="3"/>
  <c r="J1306" i="3"/>
  <c r="E1307" i="3"/>
  <c r="F1307" i="3" s="1"/>
  <c r="G1307" i="3"/>
  <c r="H1307" i="3"/>
  <c r="E1308" i="3"/>
  <c r="F1308" i="3"/>
  <c r="G1308" i="3"/>
  <c r="H1308" i="3"/>
  <c r="J1308" i="3"/>
  <c r="E1309" i="3"/>
  <c r="F1309" i="3" s="1"/>
  <c r="G1309" i="3"/>
  <c r="H1309" i="3"/>
  <c r="E1310" i="3"/>
  <c r="F1310" i="3"/>
  <c r="G1310" i="3"/>
  <c r="H1310" i="3"/>
  <c r="J1310" i="3"/>
  <c r="E1311" i="3"/>
  <c r="F1311" i="3" s="1"/>
  <c r="G1311" i="3"/>
  <c r="H1311" i="3"/>
  <c r="E1312" i="3"/>
  <c r="F1312" i="3"/>
  <c r="G1312" i="3"/>
  <c r="H1312" i="3"/>
  <c r="J1312" i="3"/>
  <c r="E1313" i="3"/>
  <c r="F1313" i="3" s="1"/>
  <c r="G1313" i="3"/>
  <c r="H1313" i="3"/>
  <c r="E1314" i="3"/>
  <c r="F1314" i="3"/>
  <c r="G1314" i="3"/>
  <c r="H1314" i="3"/>
  <c r="J1314" i="3"/>
  <c r="E1315" i="3"/>
  <c r="F1315" i="3" s="1"/>
  <c r="G1315" i="3"/>
  <c r="H1315" i="3"/>
  <c r="E1316" i="3"/>
  <c r="F1316" i="3"/>
  <c r="G1316" i="3"/>
  <c r="H1316" i="3"/>
  <c r="J1316" i="3"/>
  <c r="E1317" i="3"/>
  <c r="F1317" i="3" s="1"/>
  <c r="G1317" i="3"/>
  <c r="H1317" i="3"/>
  <c r="E1318" i="3"/>
  <c r="F1318" i="3"/>
  <c r="G1318" i="3"/>
  <c r="H1318" i="3"/>
  <c r="J1318" i="3"/>
  <c r="E1319" i="3"/>
  <c r="F1319" i="3" s="1"/>
  <c r="G1319" i="3"/>
  <c r="H1319" i="3"/>
  <c r="E1320" i="3"/>
  <c r="F1320" i="3"/>
  <c r="G1320" i="3"/>
  <c r="H1320" i="3"/>
  <c r="J1320" i="3"/>
  <c r="E1321" i="3"/>
  <c r="F1321" i="3" s="1"/>
  <c r="G1321" i="3"/>
  <c r="H1321" i="3"/>
  <c r="E1322" i="3"/>
  <c r="F1322" i="3"/>
  <c r="G1322" i="3"/>
  <c r="H1322" i="3"/>
  <c r="J1322" i="3"/>
  <c r="E1323" i="3"/>
  <c r="F1323" i="3" s="1"/>
  <c r="G1323" i="3"/>
  <c r="H1323" i="3"/>
  <c r="E1324" i="3"/>
  <c r="F1324" i="3"/>
  <c r="G1324" i="3"/>
  <c r="H1324" i="3"/>
  <c r="J1324" i="3"/>
  <c r="E1325" i="3"/>
  <c r="F1325" i="3" s="1"/>
  <c r="G1325" i="3"/>
  <c r="H1325" i="3"/>
  <c r="E1326" i="3"/>
  <c r="F1326" i="3"/>
  <c r="G1326" i="3"/>
  <c r="H1326" i="3"/>
  <c r="J1326" i="3"/>
  <c r="E1327" i="3"/>
  <c r="F1327" i="3" s="1"/>
  <c r="G1327" i="3"/>
  <c r="H1327" i="3"/>
  <c r="E1328" i="3"/>
  <c r="F1328" i="3"/>
  <c r="G1328" i="3"/>
  <c r="H1328" i="3"/>
  <c r="J1328" i="3"/>
  <c r="E1329" i="3"/>
  <c r="F1329" i="3" s="1"/>
  <c r="G1329" i="3"/>
  <c r="H1329" i="3"/>
  <c r="E1330" i="3"/>
  <c r="F1330" i="3"/>
  <c r="G1330" i="3"/>
  <c r="H1330" i="3"/>
  <c r="J1330" i="3"/>
  <c r="E1331" i="3"/>
  <c r="F1331" i="3" s="1"/>
  <c r="G1331" i="3"/>
  <c r="H1331" i="3"/>
  <c r="E1332" i="3"/>
  <c r="F1332" i="3"/>
  <c r="G1332" i="3"/>
  <c r="H1332" i="3"/>
  <c r="J1332" i="3"/>
  <c r="E1333" i="3"/>
  <c r="F1333" i="3" s="1"/>
  <c r="G1333" i="3"/>
  <c r="H1333" i="3"/>
  <c r="E1334" i="3"/>
  <c r="F1334" i="3"/>
  <c r="G1334" i="3"/>
  <c r="H1334" i="3"/>
  <c r="J1334" i="3"/>
  <c r="E1335" i="3"/>
  <c r="F1335" i="3" s="1"/>
  <c r="G1335" i="3"/>
  <c r="H1335" i="3"/>
  <c r="E1336" i="3"/>
  <c r="F1336" i="3"/>
  <c r="G1336" i="3"/>
  <c r="H1336" i="3"/>
  <c r="J1336" i="3"/>
  <c r="E1337" i="3"/>
  <c r="F1337" i="3" s="1"/>
  <c r="G1337" i="3"/>
  <c r="H1337" i="3"/>
  <c r="E1338" i="3"/>
  <c r="F1338" i="3"/>
  <c r="G1338" i="3"/>
  <c r="H1338" i="3"/>
  <c r="J1338" i="3"/>
  <c r="E1339" i="3"/>
  <c r="F1339" i="3" s="1"/>
  <c r="G1339" i="3"/>
  <c r="H1339" i="3"/>
  <c r="E1340" i="3"/>
  <c r="F1340" i="3"/>
  <c r="G1340" i="3"/>
  <c r="H1340" i="3"/>
  <c r="J1340" i="3"/>
  <c r="E1341" i="3"/>
  <c r="F1341" i="3" s="1"/>
  <c r="G1341" i="3"/>
  <c r="H1341" i="3"/>
  <c r="E1342" i="3"/>
  <c r="F1342" i="3"/>
  <c r="G1342" i="3"/>
  <c r="H1342" i="3"/>
  <c r="J1342" i="3"/>
  <c r="E1343" i="3"/>
  <c r="F1343" i="3" s="1"/>
  <c r="G1343" i="3"/>
  <c r="H1343" i="3"/>
  <c r="E1344" i="3"/>
  <c r="F1344" i="3"/>
  <c r="G1344" i="3"/>
  <c r="H1344" i="3"/>
  <c r="J1344" i="3"/>
  <c r="E1345" i="3"/>
  <c r="F1345" i="3" s="1"/>
  <c r="G1345" i="3"/>
  <c r="H1345" i="3"/>
  <c r="E1346" i="3"/>
  <c r="F1346" i="3"/>
  <c r="G1346" i="3"/>
  <c r="H1346" i="3"/>
  <c r="J1346" i="3"/>
  <c r="E1347" i="3"/>
  <c r="F1347" i="3" s="1"/>
  <c r="G1347" i="3"/>
  <c r="H1347" i="3"/>
  <c r="E1348" i="3"/>
  <c r="F1348" i="3"/>
  <c r="G1348" i="3"/>
  <c r="H1348" i="3"/>
  <c r="J1348" i="3"/>
  <c r="E1349" i="3"/>
  <c r="F1349" i="3" s="1"/>
  <c r="G1349" i="3"/>
  <c r="H1349" i="3"/>
  <c r="E1350" i="3"/>
  <c r="F1350" i="3"/>
  <c r="G1350" i="3"/>
  <c r="H1350" i="3"/>
  <c r="J1350" i="3"/>
  <c r="E1351" i="3"/>
  <c r="F1351" i="3" s="1"/>
  <c r="G1351" i="3"/>
  <c r="H1351" i="3"/>
  <c r="E1352" i="3"/>
  <c r="F1352" i="3"/>
  <c r="G1352" i="3"/>
  <c r="H1352" i="3"/>
  <c r="J1352" i="3"/>
  <c r="E1353" i="3"/>
  <c r="F1353" i="3" s="1"/>
  <c r="G1353" i="3"/>
  <c r="H1353" i="3"/>
  <c r="E1354" i="3"/>
  <c r="F1354" i="3"/>
  <c r="G1354" i="3"/>
  <c r="H1354" i="3"/>
  <c r="J1354" i="3"/>
  <c r="E1355" i="3"/>
  <c r="F1355" i="3" s="1"/>
  <c r="G1355" i="3"/>
  <c r="H1355" i="3"/>
  <c r="E1356" i="3"/>
  <c r="F1356" i="3"/>
  <c r="G1356" i="3"/>
  <c r="H1356" i="3"/>
  <c r="J1356" i="3"/>
  <c r="E1357" i="3"/>
  <c r="F1357" i="3" s="1"/>
  <c r="G1357" i="3"/>
  <c r="H1357" i="3"/>
  <c r="E1358" i="3"/>
  <c r="F1358" i="3"/>
  <c r="G1358" i="3"/>
  <c r="H1358" i="3"/>
  <c r="J1358" i="3"/>
  <c r="E1359" i="3"/>
  <c r="F1359" i="3" s="1"/>
  <c r="G1359" i="3"/>
  <c r="H1359" i="3"/>
  <c r="E1360" i="3"/>
  <c r="F1360" i="3"/>
  <c r="G1360" i="3"/>
  <c r="H1360" i="3"/>
  <c r="J1360" i="3"/>
  <c r="E1361" i="3"/>
  <c r="F1361" i="3" s="1"/>
  <c r="G1361" i="3"/>
  <c r="H1361" i="3"/>
  <c r="E1362" i="3"/>
  <c r="F1362" i="3"/>
  <c r="G1362" i="3"/>
  <c r="H1362" i="3"/>
  <c r="J1362" i="3"/>
  <c r="E1363" i="3"/>
  <c r="F1363" i="3" s="1"/>
  <c r="G1363" i="3"/>
  <c r="H1363" i="3"/>
  <c r="E1364" i="3"/>
  <c r="F1364" i="3"/>
  <c r="G1364" i="3"/>
  <c r="H1364" i="3"/>
  <c r="J1364" i="3"/>
  <c r="E1365" i="3"/>
  <c r="F1365" i="3" s="1"/>
  <c r="G1365" i="3"/>
  <c r="H1365" i="3"/>
  <c r="E1366" i="3"/>
  <c r="F1366" i="3"/>
  <c r="G1366" i="3"/>
  <c r="H1366" i="3"/>
  <c r="J1366" i="3"/>
  <c r="E1367" i="3"/>
  <c r="F1367" i="3" s="1"/>
  <c r="G1367" i="3"/>
  <c r="H1367" i="3"/>
  <c r="E1368" i="3"/>
  <c r="F1368" i="3"/>
  <c r="G1368" i="3"/>
  <c r="H1368" i="3"/>
  <c r="J1368" i="3"/>
  <c r="E1369" i="3"/>
  <c r="F1369" i="3" s="1"/>
  <c r="G1369" i="3"/>
  <c r="H1369" i="3"/>
  <c r="E1370" i="3"/>
  <c r="F1370" i="3"/>
  <c r="G1370" i="3"/>
  <c r="H1370" i="3"/>
  <c r="J1370" i="3"/>
  <c r="E1371" i="3"/>
  <c r="F1371" i="3" s="1"/>
  <c r="G1371" i="3"/>
  <c r="H1371" i="3"/>
  <c r="E1372" i="3"/>
  <c r="F1372" i="3"/>
  <c r="G1372" i="3"/>
  <c r="H1372" i="3"/>
  <c r="J1372" i="3"/>
  <c r="E1373" i="3"/>
  <c r="F1373" i="3" s="1"/>
  <c r="G1373" i="3"/>
  <c r="H1373" i="3"/>
  <c r="E1374" i="3"/>
  <c r="F1374" i="3"/>
  <c r="G1374" i="3"/>
  <c r="H1374" i="3"/>
  <c r="J1374" i="3"/>
  <c r="E1375" i="3"/>
  <c r="F1375" i="3" s="1"/>
  <c r="G1375" i="3"/>
  <c r="H1375" i="3"/>
  <c r="E1376" i="3"/>
  <c r="F1376" i="3"/>
  <c r="G1376" i="3"/>
  <c r="H1376" i="3"/>
  <c r="J1376" i="3"/>
  <c r="E1377" i="3"/>
  <c r="F1377" i="3" s="1"/>
  <c r="G1377" i="3"/>
  <c r="H1377" i="3"/>
  <c r="E1378" i="3"/>
  <c r="F1378" i="3"/>
  <c r="G1378" i="3"/>
  <c r="H1378" i="3"/>
  <c r="J1378" i="3"/>
  <c r="E1379" i="3"/>
  <c r="F1379" i="3" s="1"/>
  <c r="G1379" i="3"/>
  <c r="H1379" i="3"/>
  <c r="E1380" i="3"/>
  <c r="F1380" i="3"/>
  <c r="G1380" i="3"/>
  <c r="H1380" i="3"/>
  <c r="J1380" i="3"/>
  <c r="E1381" i="3"/>
  <c r="F1381" i="3" s="1"/>
  <c r="G1381" i="3"/>
  <c r="H1381" i="3"/>
  <c r="E1382" i="3"/>
  <c r="F1382" i="3"/>
  <c r="G1382" i="3"/>
  <c r="H1382" i="3"/>
  <c r="J1382" i="3"/>
  <c r="E1383" i="3"/>
  <c r="F1383" i="3" s="1"/>
  <c r="G1383" i="3"/>
  <c r="H1383" i="3"/>
  <c r="E1384" i="3"/>
  <c r="F1384" i="3"/>
  <c r="G1384" i="3"/>
  <c r="H1384" i="3"/>
  <c r="J1384" i="3"/>
  <c r="E1385" i="3"/>
  <c r="F1385" i="3" s="1"/>
  <c r="G1385" i="3"/>
  <c r="H1385" i="3"/>
  <c r="E1386" i="3"/>
  <c r="F1386" i="3"/>
  <c r="G1386" i="3"/>
  <c r="H1386" i="3"/>
  <c r="J1386" i="3"/>
  <c r="E1387" i="3"/>
  <c r="F1387" i="3" s="1"/>
  <c r="G1387" i="3"/>
  <c r="H1387" i="3"/>
  <c r="E1388" i="3"/>
  <c r="F1388" i="3"/>
  <c r="G1388" i="3"/>
  <c r="H1388" i="3"/>
  <c r="J1388" i="3"/>
  <c r="E1389" i="3"/>
  <c r="F1389" i="3" s="1"/>
  <c r="G1389" i="3"/>
  <c r="H1389" i="3"/>
  <c r="E1390" i="3"/>
  <c r="F1390" i="3"/>
  <c r="G1390" i="3"/>
  <c r="H1390" i="3"/>
  <c r="J1390" i="3"/>
  <c r="E1391" i="3"/>
  <c r="F1391" i="3" s="1"/>
  <c r="G1391" i="3"/>
  <c r="H1391" i="3"/>
  <c r="E1392" i="3"/>
  <c r="F1392" i="3"/>
  <c r="G1392" i="3"/>
  <c r="H1392" i="3"/>
  <c r="J1392" i="3"/>
  <c r="E1393" i="3"/>
  <c r="F1393" i="3" s="1"/>
  <c r="G1393" i="3"/>
  <c r="H1393" i="3"/>
  <c r="E1394" i="3"/>
  <c r="F1394" i="3"/>
  <c r="G1394" i="3"/>
  <c r="H1394" i="3"/>
  <c r="J1394" i="3"/>
  <c r="E1395" i="3"/>
  <c r="F1395" i="3" s="1"/>
  <c r="G1395" i="3"/>
  <c r="H1395" i="3"/>
  <c r="E1396" i="3"/>
  <c r="F1396" i="3"/>
  <c r="G1396" i="3"/>
  <c r="H1396" i="3"/>
  <c r="J1396" i="3"/>
  <c r="E1397" i="3"/>
  <c r="F1397" i="3" s="1"/>
  <c r="G1397" i="3"/>
  <c r="H1397" i="3"/>
  <c r="E1398" i="3"/>
  <c r="F1398" i="3"/>
  <c r="G1398" i="3"/>
  <c r="H1398" i="3"/>
  <c r="J1398" i="3"/>
  <c r="E1399" i="3"/>
  <c r="F1399" i="3" s="1"/>
  <c r="G1399" i="3"/>
  <c r="H1399" i="3"/>
  <c r="E1400" i="3"/>
  <c r="F1400" i="3"/>
  <c r="G1400" i="3"/>
  <c r="H1400" i="3"/>
  <c r="J1400" i="3"/>
  <c r="E1401" i="3"/>
  <c r="F1401" i="3" s="1"/>
  <c r="G1401" i="3"/>
  <c r="H1401" i="3"/>
  <c r="E1402" i="3"/>
  <c r="F1402" i="3"/>
  <c r="G1402" i="3"/>
  <c r="H1402" i="3"/>
  <c r="J1402" i="3"/>
  <c r="E1403" i="3"/>
  <c r="F1403" i="3" s="1"/>
  <c r="G1403" i="3"/>
  <c r="H1403" i="3"/>
  <c r="E1404" i="3"/>
  <c r="F1404" i="3"/>
  <c r="G1404" i="3"/>
  <c r="H1404" i="3"/>
  <c r="J1404" i="3"/>
  <c r="E1405" i="3"/>
  <c r="F1405" i="3" s="1"/>
  <c r="G1405" i="3"/>
  <c r="H1405" i="3"/>
  <c r="E1406" i="3"/>
  <c r="F1406" i="3"/>
  <c r="G1406" i="3"/>
  <c r="H1406" i="3"/>
  <c r="J1406" i="3"/>
  <c r="E1407" i="3"/>
  <c r="F1407" i="3" s="1"/>
  <c r="G1407" i="3"/>
  <c r="H1407" i="3"/>
  <c r="E1408" i="3"/>
  <c r="F1408" i="3"/>
  <c r="G1408" i="3"/>
  <c r="H1408" i="3"/>
  <c r="J1408" i="3"/>
  <c r="E1409" i="3"/>
  <c r="F1409" i="3" s="1"/>
  <c r="G1409" i="3"/>
  <c r="H1409" i="3"/>
  <c r="E1410" i="3"/>
  <c r="F1410" i="3"/>
  <c r="G1410" i="3"/>
  <c r="H1410" i="3"/>
  <c r="J1410" i="3"/>
  <c r="E1411" i="3"/>
  <c r="F1411" i="3" s="1"/>
  <c r="G1411" i="3"/>
  <c r="H1411" i="3"/>
  <c r="E1412" i="3"/>
  <c r="F1412" i="3"/>
  <c r="G1412" i="3"/>
  <c r="H1412" i="3"/>
  <c r="J1412" i="3"/>
  <c r="E1413" i="3"/>
  <c r="F1413" i="3" s="1"/>
  <c r="G1413" i="3"/>
  <c r="H1413" i="3"/>
  <c r="E1414" i="3"/>
  <c r="F1414" i="3"/>
  <c r="G1414" i="3"/>
  <c r="H1414" i="3"/>
  <c r="J1414" i="3"/>
  <c r="E1415" i="3"/>
  <c r="F1415" i="3" s="1"/>
  <c r="G1415" i="3"/>
  <c r="H1415" i="3"/>
  <c r="E1416" i="3"/>
  <c r="F1416" i="3"/>
  <c r="G1416" i="3"/>
  <c r="H1416" i="3"/>
  <c r="J1416" i="3"/>
  <c r="E1417" i="3"/>
  <c r="F1417" i="3" s="1"/>
  <c r="G1417" i="3"/>
  <c r="H1417" i="3"/>
  <c r="E1418" i="3"/>
  <c r="F1418" i="3"/>
  <c r="G1418" i="3"/>
  <c r="H1418" i="3"/>
  <c r="J1418" i="3"/>
  <c r="E1419" i="3"/>
  <c r="F1419" i="3" s="1"/>
  <c r="G1419" i="3"/>
  <c r="H1419" i="3"/>
  <c r="E1420" i="3"/>
  <c r="F1420" i="3"/>
  <c r="G1420" i="3"/>
  <c r="H1420" i="3"/>
  <c r="J1420" i="3"/>
  <c r="E1421" i="3"/>
  <c r="F1421" i="3" s="1"/>
  <c r="G1421" i="3"/>
  <c r="H1421" i="3"/>
  <c r="E1422" i="3"/>
  <c r="F1422" i="3"/>
  <c r="G1422" i="3"/>
  <c r="H1422" i="3"/>
  <c r="J1422" i="3"/>
  <c r="E1423" i="3"/>
  <c r="F1423" i="3" s="1"/>
  <c r="G1423" i="3"/>
  <c r="H1423" i="3"/>
  <c r="E1424" i="3"/>
  <c r="F1424" i="3"/>
  <c r="G1424" i="3"/>
  <c r="H1424" i="3"/>
  <c r="J1424" i="3"/>
  <c r="E1425" i="3"/>
  <c r="F1425" i="3" s="1"/>
  <c r="G1425" i="3"/>
  <c r="H1425" i="3"/>
  <c r="E1426" i="3"/>
  <c r="F1426" i="3"/>
  <c r="G1426" i="3"/>
  <c r="H1426" i="3"/>
  <c r="J1426" i="3"/>
  <c r="E1427" i="3"/>
  <c r="F1427" i="3" s="1"/>
  <c r="G1427" i="3"/>
  <c r="H1427" i="3"/>
  <c r="E1428" i="3"/>
  <c r="F1428" i="3"/>
  <c r="G1428" i="3"/>
  <c r="H1428" i="3"/>
  <c r="J1428" i="3"/>
  <c r="E1429" i="3"/>
  <c r="F1429" i="3" s="1"/>
  <c r="G1429" i="3"/>
  <c r="H1429" i="3"/>
  <c r="E1430" i="3"/>
  <c r="F1430" i="3"/>
  <c r="G1430" i="3"/>
  <c r="H1430" i="3"/>
  <c r="J1430" i="3"/>
  <c r="E1431" i="3"/>
  <c r="F1431" i="3" s="1"/>
  <c r="G1431" i="3"/>
  <c r="H1431" i="3"/>
  <c r="E1432" i="3"/>
  <c r="F1432" i="3"/>
  <c r="G1432" i="3"/>
  <c r="H1432" i="3"/>
  <c r="J1432" i="3"/>
  <c r="E1433" i="3"/>
  <c r="F1433" i="3" s="1"/>
  <c r="G1433" i="3"/>
  <c r="H1433" i="3"/>
  <c r="E1434" i="3"/>
  <c r="F1434" i="3"/>
  <c r="G1434" i="3"/>
  <c r="H1434" i="3"/>
  <c r="J1434" i="3"/>
  <c r="E1435" i="3"/>
  <c r="F1435" i="3" s="1"/>
  <c r="G1435" i="3"/>
  <c r="H1435" i="3"/>
  <c r="E1436" i="3"/>
  <c r="F1436" i="3"/>
  <c r="G1436" i="3"/>
  <c r="H1436" i="3"/>
  <c r="J1436" i="3"/>
  <c r="E1437" i="3"/>
  <c r="F1437" i="3" s="1"/>
  <c r="G1437" i="3"/>
  <c r="H1437" i="3"/>
  <c r="E1438" i="3"/>
  <c r="F1438" i="3"/>
  <c r="G1438" i="3"/>
  <c r="H1438" i="3"/>
  <c r="J1438" i="3"/>
  <c r="E1439" i="3"/>
  <c r="G1439" i="3"/>
  <c r="H1439" i="3"/>
  <c r="E1440" i="3"/>
  <c r="F1440" i="3"/>
  <c r="G1440" i="3"/>
  <c r="H1440" i="3"/>
  <c r="J1440" i="3"/>
  <c r="E1441" i="3"/>
  <c r="G1441" i="3"/>
  <c r="H1441" i="3"/>
  <c r="E1442" i="3"/>
  <c r="F1442" i="3"/>
  <c r="G1442" i="3"/>
  <c r="H1442" i="3"/>
  <c r="J1442" i="3"/>
  <c r="E1443" i="3"/>
  <c r="G1443" i="3"/>
  <c r="H1443" i="3"/>
  <c r="E1444" i="3"/>
  <c r="F1444" i="3"/>
  <c r="G1444" i="3"/>
  <c r="H1444" i="3"/>
  <c r="J1444" i="3"/>
  <c r="E1445" i="3"/>
  <c r="G1445" i="3"/>
  <c r="H1445" i="3"/>
  <c r="E1446" i="3"/>
  <c r="F1446" i="3"/>
  <c r="G1446" i="3"/>
  <c r="H1446" i="3"/>
  <c r="J1446" i="3"/>
  <c r="E1447" i="3"/>
  <c r="G1447" i="3"/>
  <c r="H1447" i="3"/>
  <c r="E1448" i="3"/>
  <c r="F1448" i="3"/>
  <c r="G1448" i="3"/>
  <c r="H1448" i="3"/>
  <c r="J1448" i="3"/>
  <c r="E1449" i="3"/>
  <c r="G1449" i="3"/>
  <c r="H1449" i="3"/>
  <c r="E1450" i="3"/>
  <c r="F1450" i="3"/>
  <c r="G1450" i="3"/>
  <c r="H1450" i="3"/>
  <c r="J1450" i="3"/>
  <c r="E1451" i="3"/>
  <c r="G1451" i="3"/>
  <c r="H1451" i="3"/>
  <c r="E1452" i="3"/>
  <c r="F1452" i="3"/>
  <c r="G1452" i="3"/>
  <c r="H1452" i="3"/>
  <c r="J1452" i="3"/>
  <c r="E1453" i="3"/>
  <c r="G1453" i="3"/>
  <c r="H1453" i="3"/>
  <c r="E1454" i="3"/>
  <c r="F1454" i="3"/>
  <c r="G1454" i="3"/>
  <c r="H1454" i="3"/>
  <c r="J1454" i="3"/>
  <c r="E1455" i="3"/>
  <c r="G1455" i="3"/>
  <c r="H1455" i="3"/>
  <c r="E1456" i="3"/>
  <c r="F1456" i="3"/>
  <c r="G1456" i="3"/>
  <c r="H1456" i="3"/>
  <c r="J1456" i="3"/>
  <c r="E1457" i="3"/>
  <c r="G1457" i="3"/>
  <c r="H1457" i="3"/>
  <c r="E1458" i="3"/>
  <c r="F1458" i="3"/>
  <c r="G1458" i="3"/>
  <c r="H1458" i="3"/>
  <c r="J1458" i="3"/>
  <c r="E1459" i="3"/>
  <c r="G1459" i="3"/>
  <c r="H1459" i="3"/>
  <c r="E1460" i="3"/>
  <c r="F1460" i="3"/>
  <c r="G1460" i="3"/>
  <c r="H1460" i="3"/>
  <c r="J1460" i="3"/>
  <c r="E1461" i="3"/>
  <c r="G1461" i="3"/>
  <c r="H1461" i="3"/>
  <c r="E1462" i="3"/>
  <c r="F1462" i="3"/>
  <c r="G1462" i="3"/>
  <c r="H1462" i="3"/>
  <c r="J1462" i="3"/>
  <c r="E1463" i="3"/>
  <c r="G1463" i="3"/>
  <c r="H1463" i="3"/>
  <c r="E1464" i="3"/>
  <c r="F1464" i="3"/>
  <c r="G1464" i="3"/>
  <c r="H1464" i="3"/>
  <c r="J1464" i="3"/>
  <c r="E1465" i="3"/>
  <c r="G1465" i="3"/>
  <c r="H1465" i="3"/>
  <c r="E1466" i="3"/>
  <c r="F1466" i="3"/>
  <c r="G1466" i="3"/>
  <c r="H1466" i="3"/>
  <c r="J1466" i="3"/>
  <c r="E1467" i="3"/>
  <c r="G1467" i="3"/>
  <c r="H1467" i="3"/>
  <c r="E1468" i="3"/>
  <c r="F1468" i="3"/>
  <c r="G1468" i="3"/>
  <c r="H1468" i="3"/>
  <c r="J1468" i="3"/>
  <c r="E1469" i="3"/>
  <c r="G1469" i="3"/>
  <c r="H1469" i="3"/>
  <c r="E1470" i="3"/>
  <c r="F1470" i="3"/>
  <c r="G1470" i="3"/>
  <c r="H1470" i="3"/>
  <c r="J1470" i="3"/>
  <c r="E1471" i="3"/>
  <c r="G1471" i="3"/>
  <c r="H1471" i="3"/>
  <c r="E1472" i="3"/>
  <c r="F1472" i="3"/>
  <c r="G1472" i="3"/>
  <c r="H1472" i="3"/>
  <c r="J1472" i="3"/>
  <c r="E1473" i="3"/>
  <c r="G1473" i="3"/>
  <c r="H1473" i="3"/>
  <c r="E1474" i="3"/>
  <c r="F1474" i="3"/>
  <c r="G1474" i="3"/>
  <c r="H1474" i="3"/>
  <c r="J1474" i="3"/>
  <c r="E1475" i="3"/>
  <c r="G1475" i="3"/>
  <c r="H1475" i="3"/>
  <c r="E1476" i="3"/>
  <c r="F1476" i="3"/>
  <c r="G1476" i="3"/>
  <c r="H1476" i="3"/>
  <c r="J1476" i="3"/>
  <c r="E1477" i="3"/>
  <c r="G1477" i="3"/>
  <c r="H1477" i="3"/>
  <c r="E1478" i="3"/>
  <c r="F1478" i="3"/>
  <c r="G1478" i="3"/>
  <c r="H1478" i="3"/>
  <c r="J1478" i="3"/>
  <c r="E1479" i="3"/>
  <c r="G1479" i="3"/>
  <c r="H1479" i="3"/>
  <c r="E1480" i="3"/>
  <c r="F1480" i="3"/>
  <c r="G1480" i="3"/>
  <c r="H1480" i="3"/>
  <c r="J1480" i="3"/>
  <c r="E1481" i="3"/>
  <c r="G1481" i="3"/>
  <c r="H1481" i="3"/>
  <c r="E1482" i="3"/>
  <c r="F1482" i="3"/>
  <c r="G1482" i="3"/>
  <c r="H1482" i="3"/>
  <c r="J1482" i="3"/>
  <c r="E1483" i="3"/>
  <c r="G1483" i="3"/>
  <c r="H1483" i="3"/>
  <c r="E1484" i="3"/>
  <c r="F1484" i="3"/>
  <c r="G1484" i="3"/>
  <c r="H1484" i="3"/>
  <c r="J1484" i="3"/>
  <c r="E1485" i="3"/>
  <c r="G1485" i="3"/>
  <c r="H1485" i="3"/>
  <c r="E1486" i="3"/>
  <c r="F1486" i="3"/>
  <c r="G1486" i="3"/>
  <c r="H1486" i="3"/>
  <c r="J1486" i="3"/>
  <c r="E1487" i="3"/>
  <c r="G1487" i="3"/>
  <c r="H1487" i="3"/>
  <c r="E1488" i="3"/>
  <c r="F1488" i="3"/>
  <c r="G1488" i="3"/>
  <c r="H1488" i="3"/>
  <c r="J1488" i="3"/>
  <c r="E1489" i="3"/>
  <c r="G1489" i="3"/>
  <c r="H1489" i="3"/>
  <c r="E1490" i="3"/>
  <c r="F1490" i="3"/>
  <c r="G1490" i="3"/>
  <c r="H1490" i="3"/>
  <c r="J1490" i="3"/>
  <c r="E1491" i="3"/>
  <c r="G1491" i="3"/>
  <c r="H1491" i="3"/>
  <c r="E1492" i="3"/>
  <c r="F1492" i="3"/>
  <c r="G1492" i="3"/>
  <c r="H1492" i="3"/>
  <c r="J1492" i="3"/>
  <c r="E1493" i="3"/>
  <c r="G1493" i="3"/>
  <c r="H1493" i="3"/>
  <c r="E1494" i="3"/>
  <c r="F1494" i="3"/>
  <c r="G1494" i="3"/>
  <c r="H1494" i="3"/>
  <c r="J1494" i="3"/>
  <c r="E1495" i="3"/>
  <c r="G1495" i="3"/>
  <c r="H1495" i="3"/>
  <c r="E1496" i="3"/>
  <c r="F1496" i="3"/>
  <c r="G1496" i="3"/>
  <c r="H1496" i="3"/>
  <c r="J1496" i="3"/>
  <c r="E1497" i="3"/>
  <c r="G1497" i="3"/>
  <c r="H1497" i="3"/>
  <c r="E1498" i="3"/>
  <c r="F1498" i="3"/>
  <c r="G1498" i="3"/>
  <c r="H1498" i="3"/>
  <c r="J1498" i="3"/>
  <c r="E1499" i="3"/>
  <c r="G1499" i="3"/>
  <c r="H1499" i="3"/>
  <c r="E1500" i="3"/>
  <c r="F1500" i="3"/>
  <c r="G1500" i="3"/>
  <c r="H1500" i="3"/>
  <c r="J1500" i="3"/>
  <c r="E1501" i="3"/>
  <c r="G1501" i="3"/>
  <c r="H1501" i="3"/>
  <c r="E1502" i="3"/>
  <c r="F1502" i="3"/>
  <c r="G1502" i="3"/>
  <c r="H1502" i="3"/>
  <c r="J1502" i="3"/>
  <c r="E1503" i="3"/>
  <c r="G1503" i="3"/>
  <c r="H1503" i="3"/>
  <c r="E1504" i="3"/>
  <c r="F1504" i="3"/>
  <c r="G1504" i="3"/>
  <c r="H1504" i="3"/>
  <c r="J1504" i="3"/>
  <c r="E1505" i="3"/>
  <c r="G1505" i="3"/>
  <c r="H1505" i="3"/>
  <c r="E1506" i="3"/>
  <c r="F1506" i="3"/>
  <c r="G1506" i="3"/>
  <c r="H1506" i="3"/>
  <c r="J1506" i="3"/>
  <c r="E1507" i="3"/>
  <c r="G1507" i="3"/>
  <c r="H1507" i="3"/>
  <c r="E1508" i="3"/>
  <c r="F1508" i="3"/>
  <c r="G1508" i="3"/>
  <c r="H1508" i="3"/>
  <c r="J1508" i="3"/>
  <c r="E1509" i="3"/>
  <c r="G1509" i="3"/>
  <c r="H1509" i="3"/>
  <c r="E1510" i="3"/>
  <c r="F1510" i="3"/>
  <c r="G1510" i="3"/>
  <c r="H1510" i="3"/>
  <c r="J1510" i="3"/>
  <c r="E1511" i="3"/>
  <c r="G1511" i="3"/>
  <c r="H1511" i="3"/>
  <c r="E1512" i="3"/>
  <c r="F1512" i="3"/>
  <c r="G1512" i="3"/>
  <c r="H1512" i="3"/>
  <c r="J1512" i="3"/>
  <c r="E1513" i="3"/>
  <c r="G1513" i="3"/>
  <c r="H1513" i="3"/>
  <c r="E1514" i="3"/>
  <c r="F1514" i="3"/>
  <c r="G1514" i="3"/>
  <c r="H1514" i="3"/>
  <c r="J1514" i="3"/>
  <c r="E1515" i="3"/>
  <c r="G1515" i="3"/>
  <c r="H1515" i="3"/>
  <c r="E1516" i="3"/>
  <c r="F1516" i="3"/>
  <c r="G1516" i="3"/>
  <c r="H1516" i="3"/>
  <c r="J1516" i="3"/>
  <c r="E1517" i="3"/>
  <c r="G1517" i="3"/>
  <c r="H1517" i="3"/>
  <c r="E1518" i="3"/>
  <c r="F1518" i="3"/>
  <c r="G1518" i="3"/>
  <c r="H1518" i="3"/>
  <c r="J1518" i="3"/>
  <c r="E1519" i="3"/>
  <c r="G1519" i="3"/>
  <c r="H1519" i="3"/>
  <c r="E1520" i="3"/>
  <c r="F1520" i="3"/>
  <c r="G1520" i="3"/>
  <c r="H1520" i="3"/>
  <c r="J1520" i="3"/>
  <c r="E1521" i="3"/>
  <c r="G1521" i="3"/>
  <c r="H1521" i="3"/>
  <c r="E1522" i="3"/>
  <c r="F1522" i="3"/>
  <c r="G1522" i="3"/>
  <c r="H1522" i="3"/>
  <c r="J1522" i="3"/>
  <c r="E1523" i="3"/>
  <c r="G1523" i="3"/>
  <c r="H1523" i="3"/>
  <c r="E1524" i="3"/>
  <c r="F1524" i="3"/>
  <c r="G1524" i="3"/>
  <c r="H1524" i="3"/>
  <c r="J1524" i="3"/>
  <c r="E1525" i="3"/>
  <c r="G1525" i="3"/>
  <c r="H1525" i="3"/>
  <c r="E1526" i="3"/>
  <c r="F1526" i="3"/>
  <c r="G1526" i="3"/>
  <c r="H1526" i="3"/>
  <c r="J1526" i="3"/>
  <c r="E1527" i="3"/>
  <c r="G1527" i="3"/>
  <c r="H1527" i="3"/>
  <c r="E1528" i="3"/>
  <c r="F1528" i="3"/>
  <c r="G1528" i="3"/>
  <c r="H1528" i="3"/>
  <c r="J1528" i="3"/>
  <c r="E1529" i="3"/>
  <c r="G1529" i="3"/>
  <c r="H1529" i="3"/>
  <c r="E1530" i="3"/>
  <c r="F1530" i="3"/>
  <c r="G1530" i="3"/>
  <c r="H1530" i="3"/>
  <c r="J1530" i="3"/>
  <c r="E1531" i="3"/>
  <c r="G1531" i="3"/>
  <c r="H1531" i="3"/>
  <c r="E1532" i="3"/>
  <c r="F1532" i="3"/>
  <c r="G1532" i="3"/>
  <c r="H1532" i="3"/>
  <c r="J1532" i="3"/>
  <c r="E1533" i="3"/>
  <c r="G1533" i="3"/>
  <c r="H1533" i="3"/>
  <c r="E1534" i="3"/>
  <c r="F1534" i="3"/>
  <c r="G1534" i="3"/>
  <c r="H1534" i="3"/>
  <c r="J1534" i="3"/>
  <c r="E1535" i="3"/>
  <c r="G1535" i="3"/>
  <c r="H1535" i="3"/>
  <c r="E1536" i="3"/>
  <c r="F1536" i="3"/>
  <c r="G1536" i="3"/>
  <c r="H1536" i="3"/>
  <c r="J1536" i="3"/>
  <c r="E1537" i="3"/>
  <c r="G1537" i="3"/>
  <c r="H1537" i="3"/>
  <c r="E1538" i="3"/>
  <c r="F1538" i="3"/>
  <c r="G1538" i="3"/>
  <c r="H1538" i="3"/>
  <c r="J1538" i="3"/>
  <c r="E1539" i="3"/>
  <c r="G1539" i="3"/>
  <c r="H1539" i="3"/>
  <c r="E1540" i="3"/>
  <c r="F1540" i="3"/>
  <c r="G1540" i="3"/>
  <c r="H1540" i="3"/>
  <c r="J1540" i="3"/>
  <c r="E1541" i="3"/>
  <c r="G1541" i="3"/>
  <c r="H1541" i="3"/>
  <c r="E1542" i="3"/>
  <c r="F1542" i="3" s="1"/>
  <c r="G1542" i="3"/>
  <c r="H1542" i="3"/>
  <c r="E1543" i="3"/>
  <c r="G1543" i="3"/>
  <c r="H1543" i="3"/>
  <c r="E1544" i="3"/>
  <c r="F1544" i="3" s="1"/>
  <c r="G1544" i="3"/>
  <c r="H1544" i="3"/>
  <c r="E1545" i="3"/>
  <c r="G1545" i="3"/>
  <c r="H1545" i="3"/>
  <c r="E1546" i="3"/>
  <c r="F1546" i="3" s="1"/>
  <c r="G1546" i="3"/>
  <c r="H1546" i="3"/>
  <c r="E1547" i="3"/>
  <c r="G1547" i="3"/>
  <c r="H1547" i="3"/>
  <c r="E1548" i="3"/>
  <c r="F1548" i="3"/>
  <c r="G1548" i="3"/>
  <c r="H1548" i="3"/>
  <c r="J1548" i="3"/>
  <c r="E1549" i="3"/>
  <c r="G1549" i="3"/>
  <c r="H1549" i="3"/>
  <c r="E1550" i="3"/>
  <c r="F1550" i="3" s="1"/>
  <c r="G1550" i="3"/>
  <c r="H1550" i="3"/>
  <c r="E1551" i="3"/>
  <c r="G1551" i="3"/>
  <c r="H1551" i="3"/>
  <c r="E1552" i="3"/>
  <c r="F1552" i="3" s="1"/>
  <c r="G1552" i="3"/>
  <c r="H1552" i="3"/>
  <c r="E1553" i="3"/>
  <c r="G1553" i="3"/>
  <c r="H1553" i="3"/>
  <c r="E1554" i="3"/>
  <c r="F1554" i="3" s="1"/>
  <c r="G1554" i="3"/>
  <c r="H1554" i="3"/>
  <c r="E1555" i="3"/>
  <c r="G1555" i="3"/>
  <c r="H1555" i="3"/>
  <c r="E1556" i="3"/>
  <c r="F1556" i="3" s="1"/>
  <c r="G1556" i="3"/>
  <c r="H1556" i="3"/>
  <c r="E1557" i="3"/>
  <c r="G1557" i="3"/>
  <c r="H1557" i="3"/>
  <c r="E1558" i="3"/>
  <c r="F1558" i="3" s="1"/>
  <c r="G1558" i="3"/>
  <c r="H1558" i="3"/>
  <c r="E1559" i="3"/>
  <c r="G1559" i="3"/>
  <c r="H1559" i="3"/>
  <c r="E1560" i="3"/>
  <c r="F1560" i="3" s="1"/>
  <c r="G1560" i="3"/>
  <c r="H1560" i="3"/>
  <c r="E1561" i="3"/>
  <c r="G1561" i="3"/>
  <c r="H1561" i="3"/>
  <c r="E1562" i="3"/>
  <c r="F1562" i="3" s="1"/>
  <c r="G1562" i="3"/>
  <c r="H1562" i="3"/>
  <c r="E1563" i="3"/>
  <c r="G1563" i="3"/>
  <c r="H1563" i="3"/>
  <c r="E1564" i="3"/>
  <c r="J1564" i="3" s="1"/>
  <c r="F1564" i="3"/>
  <c r="G1564" i="3"/>
  <c r="H1564" i="3"/>
  <c r="E1565" i="3"/>
  <c r="G1565" i="3"/>
  <c r="H1565" i="3"/>
  <c r="E1566" i="3"/>
  <c r="F1566" i="3" s="1"/>
  <c r="G1566" i="3"/>
  <c r="H1566" i="3"/>
  <c r="E1567" i="3"/>
  <c r="G1567" i="3"/>
  <c r="H1567" i="3"/>
  <c r="E1568" i="3"/>
  <c r="F1568" i="3" s="1"/>
  <c r="G1568" i="3"/>
  <c r="H1568" i="3"/>
  <c r="J1568" i="3"/>
  <c r="E1569" i="3"/>
  <c r="G1569" i="3"/>
  <c r="H1569" i="3"/>
  <c r="E1570" i="3"/>
  <c r="F1570" i="3" s="1"/>
  <c r="G1570" i="3"/>
  <c r="H1570" i="3"/>
  <c r="E1571" i="3"/>
  <c r="G1571" i="3"/>
  <c r="H1571" i="3"/>
  <c r="E1572" i="3"/>
  <c r="F1572" i="3"/>
  <c r="G1572" i="3"/>
  <c r="H1572" i="3"/>
  <c r="J1572" i="3"/>
  <c r="E1573" i="3"/>
  <c r="G1573" i="3"/>
  <c r="H1573" i="3"/>
  <c r="E1574" i="3"/>
  <c r="F1574" i="3" s="1"/>
  <c r="G1574" i="3"/>
  <c r="H1574" i="3"/>
  <c r="E1575" i="3"/>
  <c r="F1575" i="3" s="1"/>
  <c r="G1575" i="3"/>
  <c r="H1575" i="3"/>
  <c r="J1575" i="3"/>
  <c r="E1576" i="3"/>
  <c r="F1576" i="3"/>
  <c r="G1576" i="3"/>
  <c r="H1576" i="3"/>
  <c r="J1576" i="3"/>
  <c r="E1577" i="3"/>
  <c r="F1577" i="3" s="1"/>
  <c r="G1577" i="3"/>
  <c r="H1577" i="3"/>
  <c r="E1578" i="3"/>
  <c r="F1578" i="3"/>
  <c r="G1578" i="3"/>
  <c r="H1578" i="3"/>
  <c r="J1578" i="3"/>
  <c r="E1579" i="3"/>
  <c r="F1579" i="3" s="1"/>
  <c r="G1579" i="3"/>
  <c r="H1579" i="3"/>
  <c r="E1580" i="3"/>
  <c r="F1580" i="3"/>
  <c r="G1580" i="3"/>
  <c r="H1580" i="3"/>
  <c r="J1580" i="3"/>
  <c r="E1581" i="3"/>
  <c r="F1581" i="3" s="1"/>
  <c r="G1581" i="3"/>
  <c r="H1581" i="3"/>
  <c r="E1582" i="3"/>
  <c r="F1582" i="3"/>
  <c r="G1582" i="3"/>
  <c r="H1582" i="3"/>
  <c r="J1582" i="3"/>
  <c r="E1583" i="3"/>
  <c r="F1583" i="3" s="1"/>
  <c r="G1583" i="3"/>
  <c r="H1583" i="3"/>
  <c r="E1584" i="3"/>
  <c r="F1584" i="3"/>
  <c r="G1584" i="3"/>
  <c r="H1584" i="3"/>
  <c r="J1584" i="3"/>
  <c r="E1585" i="3"/>
  <c r="F1585" i="3" s="1"/>
  <c r="G1585" i="3"/>
  <c r="H1585" i="3"/>
  <c r="E1586" i="3"/>
  <c r="F1586" i="3"/>
  <c r="G1586" i="3"/>
  <c r="H1586" i="3"/>
  <c r="J1586" i="3"/>
  <c r="E1587" i="3"/>
  <c r="F1587" i="3" s="1"/>
  <c r="G1587" i="3"/>
  <c r="H1587" i="3"/>
  <c r="E1588" i="3"/>
  <c r="F1588" i="3"/>
  <c r="G1588" i="3"/>
  <c r="H1588" i="3"/>
  <c r="J1588" i="3"/>
  <c r="E1589" i="3"/>
  <c r="F1589" i="3" s="1"/>
  <c r="G1589" i="3"/>
  <c r="H1589" i="3"/>
  <c r="E1590" i="3"/>
  <c r="F1590" i="3"/>
  <c r="G1590" i="3"/>
  <c r="H1590" i="3"/>
  <c r="J1590" i="3"/>
  <c r="E1591" i="3"/>
  <c r="F1591" i="3" s="1"/>
  <c r="G1591" i="3"/>
  <c r="H1591" i="3"/>
  <c r="E1592" i="3"/>
  <c r="F1592" i="3"/>
  <c r="G1592" i="3"/>
  <c r="H1592" i="3"/>
  <c r="J1592" i="3"/>
  <c r="E1593" i="3"/>
  <c r="F1593" i="3" s="1"/>
  <c r="G1593" i="3"/>
  <c r="H1593" i="3"/>
  <c r="E1594" i="3"/>
  <c r="F1594" i="3"/>
  <c r="G1594" i="3"/>
  <c r="H1594" i="3"/>
  <c r="J1594" i="3"/>
  <c r="E1595" i="3"/>
  <c r="F1595" i="3" s="1"/>
  <c r="G1595" i="3"/>
  <c r="H1595" i="3"/>
  <c r="E1596" i="3"/>
  <c r="F1596" i="3"/>
  <c r="G1596" i="3"/>
  <c r="H1596" i="3"/>
  <c r="J1596" i="3"/>
  <c r="E1597" i="3"/>
  <c r="F1597" i="3" s="1"/>
  <c r="G1597" i="3"/>
  <c r="H1597" i="3"/>
  <c r="E1598" i="3"/>
  <c r="F1598" i="3"/>
  <c r="G1598" i="3"/>
  <c r="H1598" i="3"/>
  <c r="J1598" i="3"/>
  <c r="E1599" i="3"/>
  <c r="F1599" i="3" s="1"/>
  <c r="G1599" i="3"/>
  <c r="H1599" i="3"/>
  <c r="E1600" i="3"/>
  <c r="F1600" i="3"/>
  <c r="G1600" i="3"/>
  <c r="H1600" i="3"/>
  <c r="J1600" i="3"/>
  <c r="E1601" i="3"/>
  <c r="F1601" i="3" s="1"/>
  <c r="G1601" i="3"/>
  <c r="H1601" i="3"/>
  <c r="E1602" i="3"/>
  <c r="F1602" i="3"/>
  <c r="G1602" i="3"/>
  <c r="H1602" i="3"/>
  <c r="J1602" i="3"/>
  <c r="E1603" i="3"/>
  <c r="F1603" i="3" s="1"/>
  <c r="G1603" i="3"/>
  <c r="H1603" i="3"/>
  <c r="E1604" i="3"/>
  <c r="F1604" i="3"/>
  <c r="G1604" i="3"/>
  <c r="H1604" i="3"/>
  <c r="J1604" i="3"/>
  <c r="E1605" i="3"/>
  <c r="F1605" i="3" s="1"/>
  <c r="G1605" i="3"/>
  <c r="H1605" i="3"/>
  <c r="E1606" i="3"/>
  <c r="F1606" i="3"/>
  <c r="G1606" i="3"/>
  <c r="H1606" i="3"/>
  <c r="J1606" i="3"/>
  <c r="E1607" i="3"/>
  <c r="F1607" i="3" s="1"/>
  <c r="G1607" i="3"/>
  <c r="H1607" i="3"/>
  <c r="E1608" i="3"/>
  <c r="F1608" i="3"/>
  <c r="G1608" i="3"/>
  <c r="H1608" i="3"/>
  <c r="J1608" i="3"/>
  <c r="E1609" i="3"/>
  <c r="F1609" i="3" s="1"/>
  <c r="G1609" i="3"/>
  <c r="H1609" i="3"/>
  <c r="E1610" i="3"/>
  <c r="F1610" i="3"/>
  <c r="G1610" i="3"/>
  <c r="H1610" i="3"/>
  <c r="J1610" i="3"/>
  <c r="E1611" i="3"/>
  <c r="F1611" i="3" s="1"/>
  <c r="G1611" i="3"/>
  <c r="H1611" i="3"/>
  <c r="E1612" i="3"/>
  <c r="F1612" i="3"/>
  <c r="G1612" i="3"/>
  <c r="H1612" i="3"/>
  <c r="J1612" i="3"/>
  <c r="E1613" i="3"/>
  <c r="F1613" i="3" s="1"/>
  <c r="G1613" i="3"/>
  <c r="H1613" i="3"/>
  <c r="E1614" i="3"/>
  <c r="F1614" i="3"/>
  <c r="G1614" i="3"/>
  <c r="H1614" i="3"/>
  <c r="J1614" i="3"/>
  <c r="E1615" i="3"/>
  <c r="F1615" i="3" s="1"/>
  <c r="G1615" i="3"/>
  <c r="H1615" i="3"/>
  <c r="E1616" i="3"/>
  <c r="F1616" i="3"/>
  <c r="G1616" i="3"/>
  <c r="H1616" i="3"/>
  <c r="J1616" i="3"/>
  <c r="E1617" i="3"/>
  <c r="F1617" i="3" s="1"/>
  <c r="G1617" i="3"/>
  <c r="H1617" i="3"/>
  <c r="E1618" i="3"/>
  <c r="F1618" i="3"/>
  <c r="G1618" i="3"/>
  <c r="H1618" i="3"/>
  <c r="J1618" i="3"/>
  <c r="E1619" i="3"/>
  <c r="F1619" i="3" s="1"/>
  <c r="G1619" i="3"/>
  <c r="H1619" i="3"/>
  <c r="E1620" i="3"/>
  <c r="F1620" i="3"/>
  <c r="G1620" i="3"/>
  <c r="H1620" i="3"/>
  <c r="J1620" i="3"/>
  <c r="E1621" i="3"/>
  <c r="F1621" i="3" s="1"/>
  <c r="G1621" i="3"/>
  <c r="H1621" i="3"/>
  <c r="E1622" i="3"/>
  <c r="F1622" i="3"/>
  <c r="G1622" i="3"/>
  <c r="H1622" i="3"/>
  <c r="J1622" i="3"/>
  <c r="E1623" i="3"/>
  <c r="F1623" i="3" s="1"/>
  <c r="G1623" i="3"/>
  <c r="H1623" i="3"/>
  <c r="E1624" i="3"/>
  <c r="F1624" i="3"/>
  <c r="G1624" i="3"/>
  <c r="H1624" i="3"/>
  <c r="J1624" i="3"/>
  <c r="E1625" i="3"/>
  <c r="F1625" i="3" s="1"/>
  <c r="G1625" i="3"/>
  <c r="H1625" i="3"/>
  <c r="E1626" i="3"/>
  <c r="F1626" i="3"/>
  <c r="G1626" i="3"/>
  <c r="H1626" i="3"/>
  <c r="J1626" i="3"/>
  <c r="E1627" i="3"/>
  <c r="F1627" i="3" s="1"/>
  <c r="G1627" i="3"/>
  <c r="H1627" i="3"/>
  <c r="E1628" i="3"/>
  <c r="F1628" i="3"/>
  <c r="G1628" i="3"/>
  <c r="H1628" i="3"/>
  <c r="J1628" i="3"/>
  <c r="E1629" i="3"/>
  <c r="F1629" i="3" s="1"/>
  <c r="G1629" i="3"/>
  <c r="H1629" i="3"/>
  <c r="E1630" i="3"/>
  <c r="F1630" i="3"/>
  <c r="G1630" i="3"/>
  <c r="H1630" i="3"/>
  <c r="J1630" i="3"/>
  <c r="E1631" i="3"/>
  <c r="F1631" i="3" s="1"/>
  <c r="G1631" i="3"/>
  <c r="H1631" i="3"/>
  <c r="E1632" i="3"/>
  <c r="F1632" i="3"/>
  <c r="G1632" i="3"/>
  <c r="H1632" i="3"/>
  <c r="J1632" i="3"/>
  <c r="E1633" i="3"/>
  <c r="F1633" i="3" s="1"/>
  <c r="G1633" i="3"/>
  <c r="H1633" i="3"/>
  <c r="E1634" i="3"/>
  <c r="F1634" i="3"/>
  <c r="G1634" i="3"/>
  <c r="H1634" i="3"/>
  <c r="J1634" i="3"/>
  <c r="E1635" i="3"/>
  <c r="F1635" i="3" s="1"/>
  <c r="G1635" i="3"/>
  <c r="H1635" i="3"/>
  <c r="E1636" i="3"/>
  <c r="F1636" i="3"/>
  <c r="G1636" i="3"/>
  <c r="H1636" i="3"/>
  <c r="J1636" i="3"/>
  <c r="E1637" i="3"/>
  <c r="F1637" i="3" s="1"/>
  <c r="G1637" i="3"/>
  <c r="H1637" i="3"/>
  <c r="E1638" i="3"/>
  <c r="F1638" i="3"/>
  <c r="G1638" i="3"/>
  <c r="H1638" i="3"/>
  <c r="J1638" i="3"/>
  <c r="E1639" i="3"/>
  <c r="F1639" i="3" s="1"/>
  <c r="G1639" i="3"/>
  <c r="H1639" i="3"/>
  <c r="E1640" i="3"/>
  <c r="F1640" i="3"/>
  <c r="G1640" i="3"/>
  <c r="H1640" i="3"/>
  <c r="J1640" i="3"/>
  <c r="E1641" i="3"/>
  <c r="F1641" i="3" s="1"/>
  <c r="G1641" i="3"/>
  <c r="H1641" i="3"/>
  <c r="E1642" i="3"/>
  <c r="F1642" i="3"/>
  <c r="G1642" i="3"/>
  <c r="H1642" i="3"/>
  <c r="J1642" i="3"/>
  <c r="E1643" i="3"/>
  <c r="F1643" i="3" s="1"/>
  <c r="G1643" i="3"/>
  <c r="H1643" i="3"/>
  <c r="E1644" i="3"/>
  <c r="F1644" i="3"/>
  <c r="G1644" i="3"/>
  <c r="H1644" i="3"/>
  <c r="J1644" i="3"/>
  <c r="E1645" i="3"/>
  <c r="F1645" i="3" s="1"/>
  <c r="G1645" i="3"/>
  <c r="H1645" i="3"/>
  <c r="E1646" i="3"/>
  <c r="F1646" i="3"/>
  <c r="G1646" i="3"/>
  <c r="H1646" i="3"/>
  <c r="J1646" i="3"/>
  <c r="E1647" i="3"/>
  <c r="F1647" i="3" s="1"/>
  <c r="G1647" i="3"/>
  <c r="H1647" i="3"/>
  <c r="E1648" i="3"/>
  <c r="F1648" i="3"/>
  <c r="G1648" i="3"/>
  <c r="H1648" i="3"/>
  <c r="J1648" i="3"/>
  <c r="E1649" i="3"/>
  <c r="F1649" i="3" s="1"/>
  <c r="G1649" i="3"/>
  <c r="H1649" i="3"/>
  <c r="E1650" i="3"/>
  <c r="F1650" i="3"/>
  <c r="G1650" i="3"/>
  <c r="H1650" i="3"/>
  <c r="J1650" i="3"/>
  <c r="E1651" i="3"/>
  <c r="F1651" i="3" s="1"/>
  <c r="G1651" i="3"/>
  <c r="H1651" i="3"/>
  <c r="E1652" i="3"/>
  <c r="F1652" i="3"/>
  <c r="G1652" i="3"/>
  <c r="H1652" i="3"/>
  <c r="J1652" i="3"/>
  <c r="E1653" i="3"/>
  <c r="F1653" i="3" s="1"/>
  <c r="G1653" i="3"/>
  <c r="H1653" i="3"/>
  <c r="E1654" i="3"/>
  <c r="F1654" i="3"/>
  <c r="G1654" i="3"/>
  <c r="H1654" i="3"/>
  <c r="J1654" i="3"/>
  <c r="E1655" i="3"/>
  <c r="F1655" i="3" s="1"/>
  <c r="G1655" i="3"/>
  <c r="H1655" i="3"/>
  <c r="E1656" i="3"/>
  <c r="F1656" i="3"/>
  <c r="G1656" i="3"/>
  <c r="H1656" i="3"/>
  <c r="J1656" i="3"/>
  <c r="E1657" i="3"/>
  <c r="F1657" i="3" s="1"/>
  <c r="G1657" i="3"/>
  <c r="H1657" i="3"/>
  <c r="E1658" i="3"/>
  <c r="F1658" i="3"/>
  <c r="G1658" i="3"/>
  <c r="H1658" i="3"/>
  <c r="J1658" i="3"/>
  <c r="E1659" i="3"/>
  <c r="F1659" i="3" s="1"/>
  <c r="G1659" i="3"/>
  <c r="H1659" i="3"/>
  <c r="E1660" i="3"/>
  <c r="F1660" i="3"/>
  <c r="G1660" i="3"/>
  <c r="H1660" i="3"/>
  <c r="J1660" i="3"/>
  <c r="E1661" i="3"/>
  <c r="F1661" i="3" s="1"/>
  <c r="G1661" i="3"/>
  <c r="H1661" i="3"/>
  <c r="E1662" i="3"/>
  <c r="F1662" i="3"/>
  <c r="G1662" i="3"/>
  <c r="H1662" i="3"/>
  <c r="J1662" i="3"/>
  <c r="E1663" i="3"/>
  <c r="F1663" i="3" s="1"/>
  <c r="G1663" i="3"/>
  <c r="H1663" i="3"/>
  <c r="E1664" i="3"/>
  <c r="F1664" i="3"/>
  <c r="G1664" i="3"/>
  <c r="H1664" i="3"/>
  <c r="J1664" i="3"/>
  <c r="E1665" i="3"/>
  <c r="F1665" i="3" s="1"/>
  <c r="G1665" i="3"/>
  <c r="H1665" i="3"/>
  <c r="E1666" i="3"/>
  <c r="F1666" i="3"/>
  <c r="G1666" i="3"/>
  <c r="H1666" i="3"/>
  <c r="J1666" i="3"/>
  <c r="E1667" i="3"/>
  <c r="F1667" i="3" s="1"/>
  <c r="G1667" i="3"/>
  <c r="H1667" i="3"/>
  <c r="E1668" i="3"/>
  <c r="F1668" i="3"/>
  <c r="G1668" i="3"/>
  <c r="H1668" i="3"/>
  <c r="J1668" i="3"/>
  <c r="E1669" i="3"/>
  <c r="F1669" i="3" s="1"/>
  <c r="G1669" i="3"/>
  <c r="H1669" i="3"/>
  <c r="E1670" i="3"/>
  <c r="F1670" i="3"/>
  <c r="G1670" i="3"/>
  <c r="H1670" i="3"/>
  <c r="J1670" i="3"/>
  <c r="E1671" i="3"/>
  <c r="F1671" i="3" s="1"/>
  <c r="G1671" i="3"/>
  <c r="H1671" i="3"/>
  <c r="E1672" i="3"/>
  <c r="F1672" i="3"/>
  <c r="G1672" i="3"/>
  <c r="H1672" i="3"/>
  <c r="J1672" i="3"/>
  <c r="E1673" i="3"/>
  <c r="F1673" i="3" s="1"/>
  <c r="G1673" i="3"/>
  <c r="H1673" i="3"/>
  <c r="E1674" i="3"/>
  <c r="F1674" i="3"/>
  <c r="G1674" i="3"/>
  <c r="H1674" i="3"/>
  <c r="J1674" i="3"/>
  <c r="E1675" i="3"/>
  <c r="F1675" i="3" s="1"/>
  <c r="G1675" i="3"/>
  <c r="H1675" i="3"/>
  <c r="E1676" i="3"/>
  <c r="F1676" i="3"/>
  <c r="G1676" i="3"/>
  <c r="H1676" i="3"/>
  <c r="J1676" i="3"/>
  <c r="E1677" i="3"/>
  <c r="F1677" i="3" s="1"/>
  <c r="G1677" i="3"/>
  <c r="H1677" i="3"/>
  <c r="E1678" i="3"/>
  <c r="F1678" i="3"/>
  <c r="G1678" i="3"/>
  <c r="H1678" i="3"/>
  <c r="J1678" i="3"/>
  <c r="E1679" i="3"/>
  <c r="F1679" i="3" s="1"/>
  <c r="G1679" i="3"/>
  <c r="H1679" i="3"/>
  <c r="E1680" i="3"/>
  <c r="F1680" i="3"/>
  <c r="G1680" i="3"/>
  <c r="H1680" i="3"/>
  <c r="J1680" i="3"/>
  <c r="E1681" i="3"/>
  <c r="F1681" i="3" s="1"/>
  <c r="G1681" i="3"/>
  <c r="H1681" i="3"/>
  <c r="E1682" i="3"/>
  <c r="F1682" i="3"/>
  <c r="G1682" i="3"/>
  <c r="H1682" i="3"/>
  <c r="J1682" i="3"/>
  <c r="E1683" i="3"/>
  <c r="F1683" i="3" s="1"/>
  <c r="G1683" i="3"/>
  <c r="H1683" i="3"/>
  <c r="E1684" i="3"/>
  <c r="F1684" i="3"/>
  <c r="G1684" i="3"/>
  <c r="H1684" i="3"/>
  <c r="J1684" i="3"/>
  <c r="E1685" i="3"/>
  <c r="F1685" i="3" s="1"/>
  <c r="G1685" i="3"/>
  <c r="H1685" i="3"/>
  <c r="E1686" i="3"/>
  <c r="F1686" i="3"/>
  <c r="G1686" i="3"/>
  <c r="H1686" i="3"/>
  <c r="J1686" i="3"/>
  <c r="E1687" i="3"/>
  <c r="F1687" i="3" s="1"/>
  <c r="G1687" i="3"/>
  <c r="H1687" i="3"/>
  <c r="E1688" i="3"/>
  <c r="F1688" i="3"/>
  <c r="G1688" i="3"/>
  <c r="H1688" i="3"/>
  <c r="J1688" i="3"/>
  <c r="E1689" i="3"/>
  <c r="F1689" i="3" s="1"/>
  <c r="G1689" i="3"/>
  <c r="H1689" i="3"/>
  <c r="E1690" i="3"/>
  <c r="F1690" i="3"/>
  <c r="G1690" i="3"/>
  <c r="H1690" i="3"/>
  <c r="J1690" i="3"/>
  <c r="E1691" i="3"/>
  <c r="F1691" i="3" s="1"/>
  <c r="G1691" i="3"/>
  <c r="H1691" i="3"/>
  <c r="E1692" i="3"/>
  <c r="F1692" i="3"/>
  <c r="G1692" i="3"/>
  <c r="H1692" i="3"/>
  <c r="J1692" i="3"/>
  <c r="E1693" i="3"/>
  <c r="F1693" i="3" s="1"/>
  <c r="G1693" i="3"/>
  <c r="H1693" i="3"/>
  <c r="E1694" i="3"/>
  <c r="F1694" i="3"/>
  <c r="G1694" i="3"/>
  <c r="H1694" i="3"/>
  <c r="J1694" i="3"/>
  <c r="E1695" i="3"/>
  <c r="F1695" i="3" s="1"/>
  <c r="G1695" i="3"/>
  <c r="H1695" i="3"/>
  <c r="E1696" i="3"/>
  <c r="F1696" i="3"/>
  <c r="G1696" i="3"/>
  <c r="H1696" i="3"/>
  <c r="J1696" i="3"/>
  <c r="E1697" i="3"/>
  <c r="F1697" i="3" s="1"/>
  <c r="G1697" i="3"/>
  <c r="H1697" i="3"/>
  <c r="E1698" i="3"/>
  <c r="F1698" i="3"/>
  <c r="G1698" i="3"/>
  <c r="H1698" i="3"/>
  <c r="J1698" i="3"/>
  <c r="E1699" i="3"/>
  <c r="F1699" i="3" s="1"/>
  <c r="G1699" i="3"/>
  <c r="H1699" i="3"/>
  <c r="E1700" i="3"/>
  <c r="F1700" i="3"/>
  <c r="G1700" i="3"/>
  <c r="H1700" i="3"/>
  <c r="J1700" i="3"/>
  <c r="E1701" i="3"/>
  <c r="F1701" i="3" s="1"/>
  <c r="G1701" i="3"/>
  <c r="H1701" i="3"/>
  <c r="E1702" i="3"/>
  <c r="F1702" i="3"/>
  <c r="G1702" i="3"/>
  <c r="H1702" i="3"/>
  <c r="J1702" i="3"/>
  <c r="E1703" i="3"/>
  <c r="F1703" i="3" s="1"/>
  <c r="G1703" i="3"/>
  <c r="H1703" i="3"/>
  <c r="E1704" i="3"/>
  <c r="F1704" i="3"/>
  <c r="G1704" i="3"/>
  <c r="H1704" i="3"/>
  <c r="J1704" i="3"/>
  <c r="E1705" i="3"/>
  <c r="F1705" i="3" s="1"/>
  <c r="G1705" i="3"/>
  <c r="H1705" i="3"/>
  <c r="E1706" i="3"/>
  <c r="F1706" i="3"/>
  <c r="G1706" i="3"/>
  <c r="H1706" i="3"/>
  <c r="J1706" i="3"/>
  <c r="E1707" i="3"/>
  <c r="F1707" i="3" s="1"/>
  <c r="G1707" i="3"/>
  <c r="H1707" i="3"/>
  <c r="E1708" i="3"/>
  <c r="F1708" i="3"/>
  <c r="G1708" i="3"/>
  <c r="H1708" i="3"/>
  <c r="J1708" i="3"/>
  <c r="E1709" i="3"/>
  <c r="F1709" i="3" s="1"/>
  <c r="G1709" i="3"/>
  <c r="H1709" i="3"/>
  <c r="E1710" i="3"/>
  <c r="F1710" i="3"/>
  <c r="G1710" i="3"/>
  <c r="H1710" i="3"/>
  <c r="J1710" i="3"/>
  <c r="E1711" i="3"/>
  <c r="F1711" i="3" s="1"/>
  <c r="G1711" i="3"/>
  <c r="H1711" i="3"/>
  <c r="E1712" i="3"/>
  <c r="F1712" i="3"/>
  <c r="G1712" i="3"/>
  <c r="H1712" i="3"/>
  <c r="J1712" i="3"/>
  <c r="E1713" i="3"/>
  <c r="F1713" i="3" s="1"/>
  <c r="G1713" i="3"/>
  <c r="H1713" i="3"/>
  <c r="E1714" i="3"/>
  <c r="F1714" i="3"/>
  <c r="G1714" i="3"/>
  <c r="H1714" i="3"/>
  <c r="J1714" i="3"/>
  <c r="E1715" i="3"/>
  <c r="F1715" i="3" s="1"/>
  <c r="G1715" i="3"/>
  <c r="H1715" i="3"/>
  <c r="E1716" i="3"/>
  <c r="F1716" i="3"/>
  <c r="G1716" i="3"/>
  <c r="H1716" i="3"/>
  <c r="J1716" i="3"/>
  <c r="E1717" i="3"/>
  <c r="F1717" i="3" s="1"/>
  <c r="G1717" i="3"/>
  <c r="H1717" i="3"/>
  <c r="E1718" i="3"/>
  <c r="F1718" i="3"/>
  <c r="G1718" i="3"/>
  <c r="H1718" i="3"/>
  <c r="J1718" i="3"/>
  <c r="E1719" i="3"/>
  <c r="F1719" i="3" s="1"/>
  <c r="G1719" i="3"/>
  <c r="H1719" i="3"/>
  <c r="E1720" i="3"/>
  <c r="F1720" i="3"/>
  <c r="G1720" i="3"/>
  <c r="H1720" i="3"/>
  <c r="J1720" i="3"/>
  <c r="E1721" i="3"/>
  <c r="F1721" i="3" s="1"/>
  <c r="G1721" i="3"/>
  <c r="H1721" i="3"/>
  <c r="E1722" i="3"/>
  <c r="F1722" i="3"/>
  <c r="G1722" i="3"/>
  <c r="H1722" i="3"/>
  <c r="J1722" i="3"/>
  <c r="E1723" i="3"/>
  <c r="F1723" i="3" s="1"/>
  <c r="G1723" i="3"/>
  <c r="H1723" i="3"/>
  <c r="E1724" i="3"/>
  <c r="F1724" i="3"/>
  <c r="G1724" i="3"/>
  <c r="H1724" i="3"/>
  <c r="J1724" i="3"/>
  <c r="E1725" i="3"/>
  <c r="F1725" i="3" s="1"/>
  <c r="G1725" i="3"/>
  <c r="H1725" i="3"/>
  <c r="E1726" i="3"/>
  <c r="F1726" i="3"/>
  <c r="G1726" i="3"/>
  <c r="H1726" i="3"/>
  <c r="J1726" i="3"/>
  <c r="E1727" i="3"/>
  <c r="F1727" i="3" s="1"/>
  <c r="G1727" i="3"/>
  <c r="H1727" i="3"/>
  <c r="E1728" i="3"/>
  <c r="F1728" i="3"/>
  <c r="G1728" i="3"/>
  <c r="H1728" i="3"/>
  <c r="J1728" i="3"/>
  <c r="E1729" i="3"/>
  <c r="F1729" i="3" s="1"/>
  <c r="G1729" i="3"/>
  <c r="H1729" i="3"/>
  <c r="E1730" i="3"/>
  <c r="F1730" i="3"/>
  <c r="G1730" i="3"/>
  <c r="H1730" i="3"/>
  <c r="J1730" i="3"/>
  <c r="E1731" i="3"/>
  <c r="F1731" i="3" s="1"/>
  <c r="G1731" i="3"/>
  <c r="H1731" i="3"/>
  <c r="E1732" i="3"/>
  <c r="F1732" i="3"/>
  <c r="G1732" i="3"/>
  <c r="H1732" i="3"/>
  <c r="J1732" i="3"/>
  <c r="E1733" i="3"/>
  <c r="F1733" i="3" s="1"/>
  <c r="G1733" i="3"/>
  <c r="H1733" i="3"/>
  <c r="E1734" i="3"/>
  <c r="F1734" i="3"/>
  <c r="G1734" i="3"/>
  <c r="H1734" i="3"/>
  <c r="J1734" i="3"/>
  <c r="E1735" i="3"/>
  <c r="F1735" i="3" s="1"/>
  <c r="G1735" i="3"/>
  <c r="H1735" i="3"/>
  <c r="E1736" i="3"/>
  <c r="F1736" i="3"/>
  <c r="G1736" i="3"/>
  <c r="H1736" i="3"/>
  <c r="J1736" i="3"/>
  <c r="E1737" i="3"/>
  <c r="F1737" i="3" s="1"/>
  <c r="G1737" i="3"/>
  <c r="H1737" i="3"/>
  <c r="E1738" i="3"/>
  <c r="F1738" i="3"/>
  <c r="G1738" i="3"/>
  <c r="H1738" i="3"/>
  <c r="J1738" i="3"/>
  <c r="E1739" i="3"/>
  <c r="F1739" i="3" s="1"/>
  <c r="G1739" i="3"/>
  <c r="H1739" i="3"/>
  <c r="E1740" i="3"/>
  <c r="F1740" i="3"/>
  <c r="G1740" i="3"/>
  <c r="H1740" i="3"/>
  <c r="J1740" i="3"/>
  <c r="E1741" i="3"/>
  <c r="F1741" i="3" s="1"/>
  <c r="G1741" i="3"/>
  <c r="H1741" i="3"/>
  <c r="E1742" i="3"/>
  <c r="F1742" i="3"/>
  <c r="G1742" i="3"/>
  <c r="H1742" i="3"/>
  <c r="J1742" i="3"/>
  <c r="E1743" i="3"/>
  <c r="F1743" i="3" s="1"/>
  <c r="G1743" i="3"/>
  <c r="H1743" i="3"/>
  <c r="E1744" i="3"/>
  <c r="F1744" i="3"/>
  <c r="G1744" i="3"/>
  <c r="H1744" i="3"/>
  <c r="J1744" i="3"/>
  <c r="E1745" i="3"/>
  <c r="F1745" i="3" s="1"/>
  <c r="G1745" i="3"/>
  <c r="H1745" i="3"/>
  <c r="E1746" i="3"/>
  <c r="F1746" i="3"/>
  <c r="G1746" i="3"/>
  <c r="H1746" i="3"/>
  <c r="J1746" i="3"/>
  <c r="E1747" i="3"/>
  <c r="F1747" i="3" s="1"/>
  <c r="G1747" i="3"/>
  <c r="H1747" i="3"/>
  <c r="E1748" i="3"/>
  <c r="F1748" i="3"/>
  <c r="G1748" i="3"/>
  <c r="H1748" i="3"/>
  <c r="J1748" i="3"/>
  <c r="E1749" i="3"/>
  <c r="F1749" i="3" s="1"/>
  <c r="G1749" i="3"/>
  <c r="H1749" i="3"/>
  <c r="E1750" i="3"/>
  <c r="F1750" i="3"/>
  <c r="G1750" i="3"/>
  <c r="H1750" i="3"/>
  <c r="J1750" i="3"/>
  <c r="E1751" i="3"/>
  <c r="F1751" i="3" s="1"/>
  <c r="G1751" i="3"/>
  <c r="H1751" i="3"/>
  <c r="E1752" i="3"/>
  <c r="F1752" i="3"/>
  <c r="G1752" i="3"/>
  <c r="H1752" i="3"/>
  <c r="J1752" i="3"/>
  <c r="E1753" i="3"/>
  <c r="F1753" i="3" s="1"/>
  <c r="G1753" i="3"/>
  <c r="H1753" i="3"/>
  <c r="E1754" i="3"/>
  <c r="F1754" i="3"/>
  <c r="G1754" i="3"/>
  <c r="H1754" i="3"/>
  <c r="J1754" i="3"/>
  <c r="E1755" i="3"/>
  <c r="F1755" i="3" s="1"/>
  <c r="G1755" i="3"/>
  <c r="H1755" i="3"/>
  <c r="E1756" i="3"/>
  <c r="F1756" i="3"/>
  <c r="G1756" i="3"/>
  <c r="H1756" i="3"/>
  <c r="J1756" i="3"/>
  <c r="E1757" i="3"/>
  <c r="F1757" i="3" s="1"/>
  <c r="G1757" i="3"/>
  <c r="H1757" i="3"/>
  <c r="E1758" i="3"/>
  <c r="F1758" i="3"/>
  <c r="G1758" i="3"/>
  <c r="H1758" i="3"/>
  <c r="J1758" i="3"/>
  <c r="E1759" i="3"/>
  <c r="F1759" i="3" s="1"/>
  <c r="G1759" i="3"/>
  <c r="H1759" i="3"/>
  <c r="E1760" i="3"/>
  <c r="F1760" i="3"/>
  <c r="G1760" i="3"/>
  <c r="H1760" i="3"/>
  <c r="J1760" i="3"/>
  <c r="E1761" i="3"/>
  <c r="F1761" i="3" s="1"/>
  <c r="G1761" i="3"/>
  <c r="H1761" i="3"/>
  <c r="E1762" i="3"/>
  <c r="F1762" i="3"/>
  <c r="G1762" i="3"/>
  <c r="H1762" i="3"/>
  <c r="J1762" i="3"/>
  <c r="E1763" i="3"/>
  <c r="F1763" i="3" s="1"/>
  <c r="G1763" i="3"/>
  <c r="H1763" i="3"/>
  <c r="E1764" i="3"/>
  <c r="F1764" i="3"/>
  <c r="G1764" i="3"/>
  <c r="H1764" i="3"/>
  <c r="J1764" i="3"/>
  <c r="E1765" i="3"/>
  <c r="F1765" i="3" s="1"/>
  <c r="G1765" i="3"/>
  <c r="H1765" i="3"/>
  <c r="E1766" i="3"/>
  <c r="F1766" i="3"/>
  <c r="G1766" i="3"/>
  <c r="H1766" i="3"/>
  <c r="J1766" i="3"/>
  <c r="E1767" i="3"/>
  <c r="F1767" i="3" s="1"/>
  <c r="G1767" i="3"/>
  <c r="H1767" i="3"/>
  <c r="E1768" i="3"/>
  <c r="F1768" i="3"/>
  <c r="G1768" i="3"/>
  <c r="H1768" i="3"/>
  <c r="J1768" i="3"/>
  <c r="E1769" i="3"/>
  <c r="F1769" i="3" s="1"/>
  <c r="G1769" i="3"/>
  <c r="H1769" i="3"/>
  <c r="E1770" i="3"/>
  <c r="F1770" i="3"/>
  <c r="G1770" i="3"/>
  <c r="H1770" i="3"/>
  <c r="J1770" i="3"/>
  <c r="E1771" i="3"/>
  <c r="F1771" i="3" s="1"/>
  <c r="G1771" i="3"/>
  <c r="H1771" i="3"/>
  <c r="E1772" i="3"/>
  <c r="F1772" i="3"/>
  <c r="G1772" i="3"/>
  <c r="H1772" i="3"/>
  <c r="J1772" i="3"/>
  <c r="E1773" i="3"/>
  <c r="F1773" i="3" s="1"/>
  <c r="G1773" i="3"/>
  <c r="H1773" i="3"/>
  <c r="E1774" i="3"/>
  <c r="F1774" i="3"/>
  <c r="G1774" i="3"/>
  <c r="H1774" i="3"/>
  <c r="J1774" i="3"/>
  <c r="E1775" i="3"/>
  <c r="F1775" i="3" s="1"/>
  <c r="G1775" i="3"/>
  <c r="H1775" i="3"/>
  <c r="E1776" i="3"/>
  <c r="F1776" i="3"/>
  <c r="G1776" i="3"/>
  <c r="H1776" i="3"/>
  <c r="J1776" i="3"/>
  <c r="E1777" i="3"/>
  <c r="F1777" i="3" s="1"/>
  <c r="G1777" i="3"/>
  <c r="H1777" i="3"/>
  <c r="E1778" i="3"/>
  <c r="F1778" i="3"/>
  <c r="G1778" i="3"/>
  <c r="H1778" i="3"/>
  <c r="J1778" i="3"/>
  <c r="E1779" i="3"/>
  <c r="F1779" i="3" s="1"/>
  <c r="G1779" i="3"/>
  <c r="H1779" i="3"/>
  <c r="E1780" i="3"/>
  <c r="F1780" i="3"/>
  <c r="G1780" i="3"/>
  <c r="H1780" i="3"/>
  <c r="J1780" i="3"/>
  <c r="E1781" i="3"/>
  <c r="F1781" i="3" s="1"/>
  <c r="G1781" i="3"/>
  <c r="H1781" i="3"/>
  <c r="E1782" i="3"/>
  <c r="F1782" i="3"/>
  <c r="G1782" i="3"/>
  <c r="H1782" i="3"/>
  <c r="J1782" i="3"/>
  <c r="E1783" i="3"/>
  <c r="F1783" i="3" s="1"/>
  <c r="G1783" i="3"/>
  <c r="H1783" i="3"/>
  <c r="E1784" i="3"/>
  <c r="F1784" i="3"/>
  <c r="G1784" i="3"/>
  <c r="H1784" i="3"/>
  <c r="J1784" i="3"/>
  <c r="E1785" i="3"/>
  <c r="F1785" i="3" s="1"/>
  <c r="G1785" i="3"/>
  <c r="H1785" i="3"/>
  <c r="E1786" i="3"/>
  <c r="F1786" i="3"/>
  <c r="G1786" i="3"/>
  <c r="H1786" i="3"/>
  <c r="J1786" i="3"/>
  <c r="E1787" i="3"/>
  <c r="F1787" i="3" s="1"/>
  <c r="G1787" i="3"/>
  <c r="H1787" i="3"/>
  <c r="E1788" i="3"/>
  <c r="F1788" i="3"/>
  <c r="G1788" i="3"/>
  <c r="H1788" i="3"/>
  <c r="J1788" i="3"/>
  <c r="E1789" i="3"/>
  <c r="F1789" i="3" s="1"/>
  <c r="G1789" i="3"/>
  <c r="H1789" i="3"/>
  <c r="E1790" i="3"/>
  <c r="F1790" i="3"/>
  <c r="G1790" i="3"/>
  <c r="H1790" i="3"/>
  <c r="J1790" i="3"/>
  <c r="E1791" i="3"/>
  <c r="F1791" i="3" s="1"/>
  <c r="G1791" i="3"/>
  <c r="H1791" i="3"/>
  <c r="E1792" i="3"/>
  <c r="F1792" i="3"/>
  <c r="G1792" i="3"/>
  <c r="H1792" i="3"/>
  <c r="J1792" i="3"/>
  <c r="E1793" i="3"/>
  <c r="F1793" i="3" s="1"/>
  <c r="G1793" i="3"/>
  <c r="H1793" i="3"/>
  <c r="E1794" i="3"/>
  <c r="F1794" i="3"/>
  <c r="G1794" i="3"/>
  <c r="H1794" i="3"/>
  <c r="J1794" i="3"/>
  <c r="E1795" i="3"/>
  <c r="F1795" i="3" s="1"/>
  <c r="G1795" i="3"/>
  <c r="H1795" i="3"/>
  <c r="E1796" i="3"/>
  <c r="F1796" i="3"/>
  <c r="G1796" i="3"/>
  <c r="H1796" i="3"/>
  <c r="J1796" i="3"/>
  <c r="E1797" i="3"/>
  <c r="F1797" i="3" s="1"/>
  <c r="G1797" i="3"/>
  <c r="H1797" i="3"/>
  <c r="E1798" i="3"/>
  <c r="F1798" i="3"/>
  <c r="G1798" i="3"/>
  <c r="H1798" i="3"/>
  <c r="J1798" i="3"/>
  <c r="E1799" i="3"/>
  <c r="F1799" i="3" s="1"/>
  <c r="G1799" i="3"/>
  <c r="H1799" i="3"/>
  <c r="E1800" i="3"/>
  <c r="F1800" i="3"/>
  <c r="G1800" i="3"/>
  <c r="H1800" i="3"/>
  <c r="J1800" i="3"/>
  <c r="E1801" i="3"/>
  <c r="F1801" i="3" s="1"/>
  <c r="G1801" i="3"/>
  <c r="H1801" i="3"/>
  <c r="E1802" i="3"/>
  <c r="F1802" i="3"/>
  <c r="G1802" i="3"/>
  <c r="H1802" i="3"/>
  <c r="J1802" i="3"/>
  <c r="E1803" i="3"/>
  <c r="F1803" i="3" s="1"/>
  <c r="G1803" i="3"/>
  <c r="H1803" i="3"/>
  <c r="E1804" i="3"/>
  <c r="F1804" i="3"/>
  <c r="G1804" i="3"/>
  <c r="H1804" i="3"/>
  <c r="J1804" i="3"/>
  <c r="E1805" i="3"/>
  <c r="F1805" i="3" s="1"/>
  <c r="G1805" i="3"/>
  <c r="H1805" i="3"/>
  <c r="E1806" i="3"/>
  <c r="F1806" i="3"/>
  <c r="G1806" i="3"/>
  <c r="H1806" i="3"/>
  <c r="J1806" i="3"/>
  <c r="E1807" i="3"/>
  <c r="F1807" i="3" s="1"/>
  <c r="G1807" i="3"/>
  <c r="H1807" i="3"/>
  <c r="E1808" i="3"/>
  <c r="F1808" i="3"/>
  <c r="G1808" i="3"/>
  <c r="H1808" i="3"/>
  <c r="J1808" i="3"/>
  <c r="E1809" i="3"/>
  <c r="F1809" i="3" s="1"/>
  <c r="G1809" i="3"/>
  <c r="H1809" i="3"/>
  <c r="E1810" i="3"/>
  <c r="F1810" i="3"/>
  <c r="G1810" i="3"/>
  <c r="H1810" i="3"/>
  <c r="J1810" i="3"/>
  <c r="E1811" i="3"/>
  <c r="F1811" i="3" s="1"/>
  <c r="G1811" i="3"/>
  <c r="H1811" i="3"/>
  <c r="E1812" i="3"/>
  <c r="F1812" i="3"/>
  <c r="G1812" i="3"/>
  <c r="H1812" i="3"/>
  <c r="J1812" i="3"/>
  <c r="E1813" i="3"/>
  <c r="F1813" i="3" s="1"/>
  <c r="G1813" i="3"/>
  <c r="H1813" i="3"/>
  <c r="E1814" i="3"/>
  <c r="F1814" i="3"/>
  <c r="G1814" i="3"/>
  <c r="H1814" i="3"/>
  <c r="J1814" i="3"/>
  <c r="E1815" i="3"/>
  <c r="F1815" i="3" s="1"/>
  <c r="G1815" i="3"/>
  <c r="H1815" i="3"/>
  <c r="E1816" i="3"/>
  <c r="F1816" i="3"/>
  <c r="G1816" i="3"/>
  <c r="H1816" i="3"/>
  <c r="J1816" i="3"/>
  <c r="E1817" i="3"/>
  <c r="F1817" i="3" s="1"/>
  <c r="G1817" i="3"/>
  <c r="H1817" i="3"/>
  <c r="E1818" i="3"/>
  <c r="F1818" i="3"/>
  <c r="G1818" i="3"/>
  <c r="H1818" i="3"/>
  <c r="J1818" i="3"/>
  <c r="E1819" i="3"/>
  <c r="F1819" i="3" s="1"/>
  <c r="G1819" i="3"/>
  <c r="H1819" i="3"/>
  <c r="E1820" i="3"/>
  <c r="F1820" i="3"/>
  <c r="G1820" i="3"/>
  <c r="H1820" i="3"/>
  <c r="J1820" i="3"/>
  <c r="E1821" i="3"/>
  <c r="F1821" i="3" s="1"/>
  <c r="G1821" i="3"/>
  <c r="H1821" i="3"/>
  <c r="E1822" i="3"/>
  <c r="F1822" i="3"/>
  <c r="G1822" i="3"/>
  <c r="H1822" i="3"/>
  <c r="J1822" i="3"/>
  <c r="E1823" i="3"/>
  <c r="F1823" i="3" s="1"/>
  <c r="G1823" i="3"/>
  <c r="H1823" i="3"/>
  <c r="E1824" i="3"/>
  <c r="F1824" i="3"/>
  <c r="G1824" i="3"/>
  <c r="H1824" i="3"/>
  <c r="J1824" i="3"/>
  <c r="E1825" i="3"/>
  <c r="F1825" i="3" s="1"/>
  <c r="G1825" i="3"/>
  <c r="H1825" i="3"/>
  <c r="E1826" i="3"/>
  <c r="F1826" i="3"/>
  <c r="G1826" i="3"/>
  <c r="H1826" i="3"/>
  <c r="J1826" i="3"/>
  <c r="E1827" i="3"/>
  <c r="F1827" i="3" s="1"/>
  <c r="G1827" i="3"/>
  <c r="H1827" i="3"/>
  <c r="E1828" i="3"/>
  <c r="F1828" i="3"/>
  <c r="G1828" i="3"/>
  <c r="H1828" i="3"/>
  <c r="J1828" i="3"/>
  <c r="E1829" i="3"/>
  <c r="F1829" i="3" s="1"/>
  <c r="G1829" i="3"/>
  <c r="H1829" i="3"/>
  <c r="E1830" i="3"/>
  <c r="F1830" i="3"/>
  <c r="G1830" i="3"/>
  <c r="H1830" i="3"/>
  <c r="J1830" i="3"/>
  <c r="E1831" i="3"/>
  <c r="F1831" i="3" s="1"/>
  <c r="G1831" i="3"/>
  <c r="H1831" i="3"/>
  <c r="E1832" i="3"/>
  <c r="F1832" i="3"/>
  <c r="G1832" i="3"/>
  <c r="H1832" i="3"/>
  <c r="J1832" i="3"/>
  <c r="E1833" i="3"/>
  <c r="F1833" i="3" s="1"/>
  <c r="G1833" i="3"/>
  <c r="H1833" i="3"/>
  <c r="E1834" i="3"/>
  <c r="F1834" i="3"/>
  <c r="G1834" i="3"/>
  <c r="H1834" i="3"/>
  <c r="J1834" i="3"/>
  <c r="E1835" i="3"/>
  <c r="F1835" i="3" s="1"/>
  <c r="G1835" i="3"/>
  <c r="H1835" i="3"/>
  <c r="E1836" i="3"/>
  <c r="F1836" i="3"/>
  <c r="G1836" i="3"/>
  <c r="H1836" i="3"/>
  <c r="J1836" i="3"/>
  <c r="E1837" i="3"/>
  <c r="F1837" i="3" s="1"/>
  <c r="G1837" i="3"/>
  <c r="H1837" i="3"/>
  <c r="E1838" i="3"/>
  <c r="F1838" i="3"/>
  <c r="G1838" i="3"/>
  <c r="H1838" i="3"/>
  <c r="J1838" i="3"/>
  <c r="E1839" i="3"/>
  <c r="F1839" i="3" s="1"/>
  <c r="G1839" i="3"/>
  <c r="H1839" i="3"/>
  <c r="E1840" i="3"/>
  <c r="F1840" i="3"/>
  <c r="G1840" i="3"/>
  <c r="H1840" i="3"/>
  <c r="J1840" i="3"/>
  <c r="E1841" i="3"/>
  <c r="F1841" i="3" s="1"/>
  <c r="G1841" i="3"/>
  <c r="H1841" i="3"/>
  <c r="E1842" i="3"/>
  <c r="F1842" i="3"/>
  <c r="G1842" i="3"/>
  <c r="H1842" i="3"/>
  <c r="J1842" i="3"/>
  <c r="E1843" i="3"/>
  <c r="F1843" i="3" s="1"/>
  <c r="G1843" i="3"/>
  <c r="H1843" i="3"/>
  <c r="E1844" i="3"/>
  <c r="F1844" i="3"/>
  <c r="G1844" i="3"/>
  <c r="H1844" i="3"/>
  <c r="J1844" i="3"/>
  <c r="E1845" i="3"/>
  <c r="F1845" i="3" s="1"/>
  <c r="G1845" i="3"/>
  <c r="H1845" i="3"/>
  <c r="E1846" i="3"/>
  <c r="F1846" i="3"/>
  <c r="G1846" i="3"/>
  <c r="H1846" i="3"/>
  <c r="J1846" i="3"/>
  <c r="E1847" i="3"/>
  <c r="F1847" i="3" s="1"/>
  <c r="G1847" i="3"/>
  <c r="H1847" i="3"/>
  <c r="E1848" i="3"/>
  <c r="F1848" i="3"/>
  <c r="G1848" i="3"/>
  <c r="H1848" i="3"/>
  <c r="J1848" i="3"/>
  <c r="E1849" i="3"/>
  <c r="F1849" i="3" s="1"/>
  <c r="G1849" i="3"/>
  <c r="H1849" i="3"/>
  <c r="E1850" i="3"/>
  <c r="F1850" i="3"/>
  <c r="G1850" i="3"/>
  <c r="H1850" i="3"/>
  <c r="J1850" i="3"/>
  <c r="E1851" i="3"/>
  <c r="F1851" i="3" s="1"/>
  <c r="G1851" i="3"/>
  <c r="H1851" i="3"/>
  <c r="E1852" i="3"/>
  <c r="F1852" i="3"/>
  <c r="G1852" i="3"/>
  <c r="H1852" i="3"/>
  <c r="J1852" i="3"/>
  <c r="E1853" i="3"/>
  <c r="F1853" i="3" s="1"/>
  <c r="G1853" i="3"/>
  <c r="H1853" i="3"/>
  <c r="E1854" i="3"/>
  <c r="F1854" i="3"/>
  <c r="G1854" i="3"/>
  <c r="H1854" i="3"/>
  <c r="J1854" i="3"/>
  <c r="E1855" i="3"/>
  <c r="F1855" i="3" s="1"/>
  <c r="G1855" i="3"/>
  <c r="H1855" i="3"/>
  <c r="E1856" i="3"/>
  <c r="F1856" i="3"/>
  <c r="G1856" i="3"/>
  <c r="H1856" i="3"/>
  <c r="J1856" i="3"/>
  <c r="E1857" i="3"/>
  <c r="F1857" i="3" s="1"/>
  <c r="G1857" i="3"/>
  <c r="H1857" i="3"/>
  <c r="E1858" i="3"/>
  <c r="F1858" i="3"/>
  <c r="G1858" i="3"/>
  <c r="H1858" i="3"/>
  <c r="J1858" i="3"/>
  <c r="E1859" i="3"/>
  <c r="F1859" i="3" s="1"/>
  <c r="G1859" i="3"/>
  <c r="H1859" i="3"/>
  <c r="E1860" i="3"/>
  <c r="F1860" i="3"/>
  <c r="G1860" i="3"/>
  <c r="H1860" i="3"/>
  <c r="J1860" i="3"/>
  <c r="E1861" i="3"/>
  <c r="F1861" i="3" s="1"/>
  <c r="G1861" i="3"/>
  <c r="H1861" i="3"/>
  <c r="E1862" i="3"/>
  <c r="F1862" i="3"/>
  <c r="G1862" i="3"/>
  <c r="H1862" i="3"/>
  <c r="J1862" i="3"/>
  <c r="E1863" i="3"/>
  <c r="F1863" i="3" s="1"/>
  <c r="G1863" i="3"/>
  <c r="H1863" i="3"/>
  <c r="E1864" i="3"/>
  <c r="F1864" i="3"/>
  <c r="G1864" i="3"/>
  <c r="H1864" i="3"/>
  <c r="J1864" i="3"/>
  <c r="E1865" i="3"/>
  <c r="F1865" i="3" s="1"/>
  <c r="G1865" i="3"/>
  <c r="H1865" i="3"/>
  <c r="E1866" i="3"/>
  <c r="F1866" i="3"/>
  <c r="G1866" i="3"/>
  <c r="H1866" i="3"/>
  <c r="J1866" i="3"/>
  <c r="E1867" i="3"/>
  <c r="F1867" i="3" s="1"/>
  <c r="G1867" i="3"/>
  <c r="H1867" i="3"/>
  <c r="E1868" i="3"/>
  <c r="F1868" i="3"/>
  <c r="G1868" i="3"/>
  <c r="H1868" i="3"/>
  <c r="J1868" i="3"/>
  <c r="E1869" i="3"/>
  <c r="F1869" i="3" s="1"/>
  <c r="G1869" i="3"/>
  <c r="H1869" i="3"/>
  <c r="E1870" i="3"/>
  <c r="F1870" i="3"/>
  <c r="G1870" i="3"/>
  <c r="H1870" i="3"/>
  <c r="J1870" i="3"/>
  <c r="E1871" i="3"/>
  <c r="F1871" i="3" s="1"/>
  <c r="G1871" i="3"/>
  <c r="H1871" i="3"/>
  <c r="E1872" i="3"/>
  <c r="F1872" i="3"/>
  <c r="G1872" i="3"/>
  <c r="H1872" i="3"/>
  <c r="J1872" i="3"/>
  <c r="E1873" i="3"/>
  <c r="F1873" i="3" s="1"/>
  <c r="G1873" i="3"/>
  <c r="H1873" i="3"/>
  <c r="E1874" i="3"/>
  <c r="F1874" i="3"/>
  <c r="G1874" i="3"/>
  <c r="H1874" i="3"/>
  <c r="J1874" i="3"/>
  <c r="E1875" i="3"/>
  <c r="F1875" i="3" s="1"/>
  <c r="G1875" i="3"/>
  <c r="H1875" i="3"/>
  <c r="E1876" i="3"/>
  <c r="F1876" i="3"/>
  <c r="G1876" i="3"/>
  <c r="H1876" i="3"/>
  <c r="J1876" i="3"/>
  <c r="E1877" i="3"/>
  <c r="F1877" i="3" s="1"/>
  <c r="G1877" i="3"/>
  <c r="H1877" i="3"/>
  <c r="E1878" i="3"/>
  <c r="F1878" i="3"/>
  <c r="G1878" i="3"/>
  <c r="H1878" i="3"/>
  <c r="J1878" i="3"/>
  <c r="E1879" i="3"/>
  <c r="F1879" i="3" s="1"/>
  <c r="G1879" i="3"/>
  <c r="H1879" i="3"/>
  <c r="E1880" i="3"/>
  <c r="F1880" i="3"/>
  <c r="G1880" i="3"/>
  <c r="H1880" i="3"/>
  <c r="J1880" i="3"/>
  <c r="E1881" i="3"/>
  <c r="F1881" i="3" s="1"/>
  <c r="G1881" i="3"/>
  <c r="H1881" i="3"/>
  <c r="E1882" i="3"/>
  <c r="F1882" i="3"/>
  <c r="G1882" i="3"/>
  <c r="H1882" i="3"/>
  <c r="J1882" i="3"/>
  <c r="E1883" i="3"/>
  <c r="F1883" i="3" s="1"/>
  <c r="G1883" i="3"/>
  <c r="H1883" i="3"/>
  <c r="E1884" i="3"/>
  <c r="F1884" i="3"/>
  <c r="G1884" i="3"/>
  <c r="H1884" i="3"/>
  <c r="J1884" i="3"/>
  <c r="E1885" i="3"/>
  <c r="F1885" i="3" s="1"/>
  <c r="G1885" i="3"/>
  <c r="H1885" i="3"/>
  <c r="E1886" i="3"/>
  <c r="F1886" i="3"/>
  <c r="G1886" i="3"/>
  <c r="H1886" i="3"/>
  <c r="J1886" i="3"/>
  <c r="E1887" i="3"/>
  <c r="F1887" i="3" s="1"/>
  <c r="G1887" i="3"/>
  <c r="H1887" i="3"/>
  <c r="E1888" i="3"/>
  <c r="F1888" i="3"/>
  <c r="G1888" i="3"/>
  <c r="H1888" i="3"/>
  <c r="J1888" i="3"/>
  <c r="E1889" i="3"/>
  <c r="F1889" i="3" s="1"/>
  <c r="G1889" i="3"/>
  <c r="H1889" i="3"/>
  <c r="E1890" i="3"/>
  <c r="F1890" i="3"/>
  <c r="G1890" i="3"/>
  <c r="H1890" i="3"/>
  <c r="J1890" i="3"/>
  <c r="E1891" i="3"/>
  <c r="F1891" i="3" s="1"/>
  <c r="G1891" i="3"/>
  <c r="H1891" i="3"/>
  <c r="E1892" i="3"/>
  <c r="F1892" i="3"/>
  <c r="G1892" i="3"/>
  <c r="H1892" i="3"/>
  <c r="J1892" i="3"/>
  <c r="E1893" i="3"/>
  <c r="F1893" i="3" s="1"/>
  <c r="G1893" i="3"/>
  <c r="H1893" i="3"/>
  <c r="E1894" i="3"/>
  <c r="F1894" i="3"/>
  <c r="G1894" i="3"/>
  <c r="H1894" i="3"/>
  <c r="J1894" i="3"/>
  <c r="E1895" i="3"/>
  <c r="F1895" i="3" s="1"/>
  <c r="G1895" i="3"/>
  <c r="H1895" i="3"/>
  <c r="E1896" i="3"/>
  <c r="F1896" i="3"/>
  <c r="G1896" i="3"/>
  <c r="H1896" i="3"/>
  <c r="J1896" i="3"/>
  <c r="E1897" i="3"/>
  <c r="F1897" i="3" s="1"/>
  <c r="G1897" i="3"/>
  <c r="H1897" i="3"/>
  <c r="E1898" i="3"/>
  <c r="F1898" i="3"/>
  <c r="G1898" i="3"/>
  <c r="H1898" i="3"/>
  <c r="J1898" i="3"/>
  <c r="E1899" i="3"/>
  <c r="F1899" i="3" s="1"/>
  <c r="G1899" i="3"/>
  <c r="H1899" i="3"/>
  <c r="E1900" i="3"/>
  <c r="F1900" i="3"/>
  <c r="G1900" i="3"/>
  <c r="H1900" i="3"/>
  <c r="J1900" i="3"/>
  <c r="E1901" i="3"/>
  <c r="F1901" i="3" s="1"/>
  <c r="G1901" i="3"/>
  <c r="H1901" i="3"/>
  <c r="E1902" i="3"/>
  <c r="F1902" i="3"/>
  <c r="G1902" i="3"/>
  <c r="H1902" i="3"/>
  <c r="J1902" i="3"/>
  <c r="E1903" i="3"/>
  <c r="F1903" i="3" s="1"/>
  <c r="G1903" i="3"/>
  <c r="H1903" i="3"/>
  <c r="E1904" i="3"/>
  <c r="F1904" i="3"/>
  <c r="G1904" i="3"/>
  <c r="H1904" i="3"/>
  <c r="J1904" i="3"/>
  <c r="E1905" i="3"/>
  <c r="F1905" i="3" s="1"/>
  <c r="G1905" i="3"/>
  <c r="H1905" i="3"/>
  <c r="E1906" i="3"/>
  <c r="F1906" i="3"/>
  <c r="G1906" i="3"/>
  <c r="H1906" i="3"/>
  <c r="J1906" i="3"/>
  <c r="E1907" i="3"/>
  <c r="F1907" i="3" s="1"/>
  <c r="G1907" i="3"/>
  <c r="H1907" i="3"/>
  <c r="E1908" i="3"/>
  <c r="F1908" i="3"/>
  <c r="G1908" i="3"/>
  <c r="H1908" i="3"/>
  <c r="J1908" i="3"/>
  <c r="E1909" i="3"/>
  <c r="F1909" i="3" s="1"/>
  <c r="G1909" i="3"/>
  <c r="H1909" i="3"/>
  <c r="E1910" i="3"/>
  <c r="F1910" i="3"/>
  <c r="G1910" i="3"/>
  <c r="H1910" i="3"/>
  <c r="J1910" i="3"/>
  <c r="E1911" i="3"/>
  <c r="F1911" i="3" s="1"/>
  <c r="G1911" i="3"/>
  <c r="H1911" i="3"/>
  <c r="E1912" i="3"/>
  <c r="F1912" i="3"/>
  <c r="G1912" i="3"/>
  <c r="H1912" i="3"/>
  <c r="J1912" i="3"/>
  <c r="E1913" i="3"/>
  <c r="F1913" i="3" s="1"/>
  <c r="G1913" i="3"/>
  <c r="H1913" i="3"/>
  <c r="E1914" i="3"/>
  <c r="F1914" i="3"/>
  <c r="G1914" i="3"/>
  <c r="H1914" i="3"/>
  <c r="J1914" i="3"/>
  <c r="E1915" i="3"/>
  <c r="F1915" i="3" s="1"/>
  <c r="G1915" i="3"/>
  <c r="H1915" i="3"/>
  <c r="E1916" i="3"/>
  <c r="F1916" i="3"/>
  <c r="G1916" i="3"/>
  <c r="H1916" i="3"/>
  <c r="J1916" i="3"/>
  <c r="E1917" i="3"/>
  <c r="F1917" i="3" s="1"/>
  <c r="G1917" i="3"/>
  <c r="H1917" i="3"/>
  <c r="E1918" i="3"/>
  <c r="F1918" i="3"/>
  <c r="G1918" i="3"/>
  <c r="H1918" i="3"/>
  <c r="J1918" i="3"/>
  <c r="E1919" i="3"/>
  <c r="F1919" i="3" s="1"/>
  <c r="G1919" i="3"/>
  <c r="H1919" i="3"/>
  <c r="E1920" i="3"/>
  <c r="F1920" i="3"/>
  <c r="G1920" i="3"/>
  <c r="H1920" i="3"/>
  <c r="J1920" i="3"/>
  <c r="E1921" i="3"/>
  <c r="F1921" i="3" s="1"/>
  <c r="G1921" i="3"/>
  <c r="H1921" i="3"/>
  <c r="E1922" i="3"/>
  <c r="F1922" i="3"/>
  <c r="G1922" i="3"/>
  <c r="H1922" i="3"/>
  <c r="J1922" i="3"/>
  <c r="E1923" i="3"/>
  <c r="F1923" i="3" s="1"/>
  <c r="G1923" i="3"/>
  <c r="H1923" i="3"/>
  <c r="E1924" i="3"/>
  <c r="F1924" i="3"/>
  <c r="G1924" i="3"/>
  <c r="H1924" i="3"/>
  <c r="J1924" i="3"/>
  <c r="E1925" i="3"/>
  <c r="F1925" i="3" s="1"/>
  <c r="G1925" i="3"/>
  <c r="H1925" i="3"/>
  <c r="E1926" i="3"/>
  <c r="F1926" i="3"/>
  <c r="G1926" i="3"/>
  <c r="H1926" i="3"/>
  <c r="J1926" i="3"/>
  <c r="E1927" i="3"/>
  <c r="F1927" i="3" s="1"/>
  <c r="G1927" i="3"/>
  <c r="H1927" i="3"/>
  <c r="E1928" i="3"/>
  <c r="F1928" i="3"/>
  <c r="G1928" i="3"/>
  <c r="H1928" i="3"/>
  <c r="J1928" i="3"/>
  <c r="E1929" i="3"/>
  <c r="F1929" i="3" s="1"/>
  <c r="G1929" i="3"/>
  <c r="H1929" i="3"/>
  <c r="E1930" i="3"/>
  <c r="F1930" i="3"/>
  <c r="G1930" i="3"/>
  <c r="H1930" i="3"/>
  <c r="J1930" i="3"/>
  <c r="E1931" i="3"/>
  <c r="F1931" i="3" s="1"/>
  <c r="G1931" i="3"/>
  <c r="H1931" i="3"/>
  <c r="E1932" i="3"/>
  <c r="F1932" i="3"/>
  <c r="G1932" i="3"/>
  <c r="H1932" i="3"/>
  <c r="J1932" i="3"/>
  <c r="E1933" i="3"/>
  <c r="F1933" i="3" s="1"/>
  <c r="G1933" i="3"/>
  <c r="H1933" i="3"/>
  <c r="E1934" i="3"/>
  <c r="F1934" i="3"/>
  <c r="G1934" i="3"/>
  <c r="H1934" i="3"/>
  <c r="J1934" i="3"/>
  <c r="E1935" i="3"/>
  <c r="F1935" i="3" s="1"/>
  <c r="G1935" i="3"/>
  <c r="H1935" i="3"/>
  <c r="E1936" i="3"/>
  <c r="F1936" i="3"/>
  <c r="G1936" i="3"/>
  <c r="H1936" i="3"/>
  <c r="J1936" i="3"/>
  <c r="E1937" i="3"/>
  <c r="F1937" i="3" s="1"/>
  <c r="G1937" i="3"/>
  <c r="H1937" i="3"/>
  <c r="E1938" i="3"/>
  <c r="F1938" i="3"/>
  <c r="G1938" i="3"/>
  <c r="H1938" i="3"/>
  <c r="J1938" i="3"/>
  <c r="E1939" i="3"/>
  <c r="F1939" i="3" s="1"/>
  <c r="G1939" i="3"/>
  <c r="H1939" i="3"/>
  <c r="E1940" i="3"/>
  <c r="F1940" i="3"/>
  <c r="G1940" i="3"/>
  <c r="H1940" i="3"/>
  <c r="J1940" i="3"/>
  <c r="E1941" i="3"/>
  <c r="F1941" i="3" s="1"/>
  <c r="G1941" i="3"/>
  <c r="H1941" i="3"/>
  <c r="E1942" i="3"/>
  <c r="F1942" i="3"/>
  <c r="G1942" i="3"/>
  <c r="H1942" i="3"/>
  <c r="J1942" i="3"/>
  <c r="E1943" i="3"/>
  <c r="F1943" i="3" s="1"/>
  <c r="G1943" i="3"/>
  <c r="H1943" i="3"/>
  <c r="E1944" i="3"/>
  <c r="F1944" i="3"/>
  <c r="G1944" i="3"/>
  <c r="H1944" i="3"/>
  <c r="J1944" i="3"/>
  <c r="E1945" i="3"/>
  <c r="F1945" i="3" s="1"/>
  <c r="G1945" i="3"/>
  <c r="H1945" i="3"/>
  <c r="E1946" i="3"/>
  <c r="F1946" i="3"/>
  <c r="G1946" i="3"/>
  <c r="H1946" i="3"/>
  <c r="J1946" i="3"/>
  <c r="E1947" i="3"/>
  <c r="F1947" i="3" s="1"/>
  <c r="G1947" i="3"/>
  <c r="H1947" i="3"/>
  <c r="E1948" i="3"/>
  <c r="F1948" i="3"/>
  <c r="G1948" i="3"/>
  <c r="H1948" i="3"/>
  <c r="J1948" i="3"/>
  <c r="E1949" i="3"/>
  <c r="F1949" i="3" s="1"/>
  <c r="G1949" i="3"/>
  <c r="H1949" i="3"/>
  <c r="E1950" i="3"/>
  <c r="F1950" i="3"/>
  <c r="G1950" i="3"/>
  <c r="H1950" i="3"/>
  <c r="J1950" i="3"/>
  <c r="E1951" i="3"/>
  <c r="F1951" i="3" s="1"/>
  <c r="G1951" i="3"/>
  <c r="H1951" i="3"/>
  <c r="E1952" i="3"/>
  <c r="F1952" i="3"/>
  <c r="G1952" i="3"/>
  <c r="H1952" i="3"/>
  <c r="J1952" i="3"/>
  <c r="E1953" i="3"/>
  <c r="F1953" i="3" s="1"/>
  <c r="G1953" i="3"/>
  <c r="H1953" i="3"/>
  <c r="E1954" i="3"/>
  <c r="F1954" i="3"/>
  <c r="G1954" i="3"/>
  <c r="H1954" i="3"/>
  <c r="J1954" i="3"/>
  <c r="E1955" i="3"/>
  <c r="F1955" i="3" s="1"/>
  <c r="G1955" i="3"/>
  <c r="H1955" i="3"/>
  <c r="E1956" i="3"/>
  <c r="F1956" i="3"/>
  <c r="G1956" i="3"/>
  <c r="H1956" i="3"/>
  <c r="J1956" i="3"/>
  <c r="E1957" i="3"/>
  <c r="F1957" i="3" s="1"/>
  <c r="G1957" i="3"/>
  <c r="H1957" i="3"/>
  <c r="E1958" i="3"/>
  <c r="F1958" i="3"/>
  <c r="G1958" i="3"/>
  <c r="H1958" i="3"/>
  <c r="J1958" i="3"/>
  <c r="E1959" i="3"/>
  <c r="F1959" i="3" s="1"/>
  <c r="G1959" i="3"/>
  <c r="H1959" i="3"/>
  <c r="E1960" i="3"/>
  <c r="F1960" i="3"/>
  <c r="G1960" i="3"/>
  <c r="H1960" i="3"/>
  <c r="J1960" i="3"/>
  <c r="E1961" i="3"/>
  <c r="F1961" i="3" s="1"/>
  <c r="G1961" i="3"/>
  <c r="H1961" i="3"/>
  <c r="E1962" i="3"/>
  <c r="F1962" i="3"/>
  <c r="G1962" i="3"/>
  <c r="H1962" i="3"/>
  <c r="J1962" i="3"/>
  <c r="E1963" i="3"/>
  <c r="F1963" i="3" s="1"/>
  <c r="G1963" i="3"/>
  <c r="H1963" i="3"/>
  <c r="E1964" i="3"/>
  <c r="F1964" i="3"/>
  <c r="G1964" i="3"/>
  <c r="H1964" i="3"/>
  <c r="J1964" i="3"/>
  <c r="E1965" i="3"/>
  <c r="F1965" i="3" s="1"/>
  <c r="G1965" i="3"/>
  <c r="H1965" i="3"/>
  <c r="E1966" i="3"/>
  <c r="F1966" i="3"/>
  <c r="G1966" i="3"/>
  <c r="H1966" i="3"/>
  <c r="J1966" i="3"/>
  <c r="E1967" i="3"/>
  <c r="F1967" i="3" s="1"/>
  <c r="G1967" i="3"/>
  <c r="H1967" i="3"/>
  <c r="E1968" i="3"/>
  <c r="F1968" i="3"/>
  <c r="G1968" i="3"/>
  <c r="H1968" i="3"/>
  <c r="J1968" i="3"/>
  <c r="E1969" i="3"/>
  <c r="F1969" i="3" s="1"/>
  <c r="G1969" i="3"/>
  <c r="H1969" i="3"/>
  <c r="E1970" i="3"/>
  <c r="F1970" i="3"/>
  <c r="G1970" i="3"/>
  <c r="H1970" i="3"/>
  <c r="J1970" i="3"/>
  <c r="E1971" i="3"/>
  <c r="F1971" i="3" s="1"/>
  <c r="G1971" i="3"/>
  <c r="H1971" i="3"/>
  <c r="E1972" i="3"/>
  <c r="F1972" i="3"/>
  <c r="G1972" i="3"/>
  <c r="H1972" i="3"/>
  <c r="J1972" i="3"/>
  <c r="E1973" i="3"/>
  <c r="F1973" i="3" s="1"/>
  <c r="G1973" i="3"/>
  <c r="H1973" i="3"/>
  <c r="E1974" i="3"/>
  <c r="F1974" i="3"/>
  <c r="G1974" i="3"/>
  <c r="H1974" i="3"/>
  <c r="J1974" i="3"/>
  <c r="E1975" i="3"/>
  <c r="F1975" i="3" s="1"/>
  <c r="G1975" i="3"/>
  <c r="H1975" i="3"/>
  <c r="E1976" i="3"/>
  <c r="F1976" i="3"/>
  <c r="G1976" i="3"/>
  <c r="H1976" i="3"/>
  <c r="J1976" i="3"/>
  <c r="E1977" i="3"/>
  <c r="F1977" i="3" s="1"/>
  <c r="G1977" i="3"/>
  <c r="H1977" i="3"/>
  <c r="E1978" i="3"/>
  <c r="F1978" i="3"/>
  <c r="G1978" i="3"/>
  <c r="H1978" i="3"/>
  <c r="J1978" i="3"/>
  <c r="E1979" i="3"/>
  <c r="F1979" i="3" s="1"/>
  <c r="G1979" i="3"/>
  <c r="H1979" i="3"/>
  <c r="E1980" i="3"/>
  <c r="F1980" i="3"/>
  <c r="G1980" i="3"/>
  <c r="H1980" i="3"/>
  <c r="J1980" i="3"/>
  <c r="E1981" i="3"/>
  <c r="F1981" i="3" s="1"/>
  <c r="G1981" i="3"/>
  <c r="H1981" i="3"/>
  <c r="E1982" i="3"/>
  <c r="F1982" i="3"/>
  <c r="G1982" i="3"/>
  <c r="H1982" i="3"/>
  <c r="J1982" i="3"/>
  <c r="E1983" i="3"/>
  <c r="F1983" i="3" s="1"/>
  <c r="G1983" i="3"/>
  <c r="H1983" i="3"/>
  <c r="E1984" i="3"/>
  <c r="F1984" i="3"/>
  <c r="G1984" i="3"/>
  <c r="H1984" i="3"/>
  <c r="J1984" i="3"/>
  <c r="E1985" i="3"/>
  <c r="F1985" i="3" s="1"/>
  <c r="G1985" i="3"/>
  <c r="H1985" i="3"/>
  <c r="E1986" i="3"/>
  <c r="F1986" i="3"/>
  <c r="G1986" i="3"/>
  <c r="H1986" i="3"/>
  <c r="J1986" i="3"/>
  <c r="E1987" i="3"/>
  <c r="F1987" i="3" s="1"/>
  <c r="G1987" i="3"/>
  <c r="H1987" i="3"/>
  <c r="E1988" i="3"/>
  <c r="F1988" i="3"/>
  <c r="G1988" i="3"/>
  <c r="H1988" i="3"/>
  <c r="J1988" i="3"/>
  <c r="E1989" i="3"/>
  <c r="F1989" i="3" s="1"/>
  <c r="G1989" i="3"/>
  <c r="H1989" i="3"/>
  <c r="E1990" i="3"/>
  <c r="F1990" i="3"/>
  <c r="G1990" i="3"/>
  <c r="H1990" i="3"/>
  <c r="J1990" i="3"/>
  <c r="E1991" i="3"/>
  <c r="F1991" i="3" s="1"/>
  <c r="G1991" i="3"/>
  <c r="H1991" i="3"/>
  <c r="E1992" i="3"/>
  <c r="F1992" i="3"/>
  <c r="G1992" i="3"/>
  <c r="H1992" i="3"/>
  <c r="J1992" i="3"/>
  <c r="E1993" i="3"/>
  <c r="F1993" i="3" s="1"/>
  <c r="G1993" i="3"/>
  <c r="H1993" i="3"/>
  <c r="E1994" i="3"/>
  <c r="F1994" i="3"/>
  <c r="G1994" i="3"/>
  <c r="H1994" i="3"/>
  <c r="J1994" i="3"/>
  <c r="E1995" i="3"/>
  <c r="F1995" i="3" s="1"/>
  <c r="G1995" i="3"/>
  <c r="H1995" i="3"/>
  <c r="E1996" i="3"/>
  <c r="F1996" i="3"/>
  <c r="G1996" i="3"/>
  <c r="H1996" i="3"/>
  <c r="J1996" i="3"/>
  <c r="E1997" i="3"/>
  <c r="F1997" i="3" s="1"/>
  <c r="G1997" i="3"/>
  <c r="H1997" i="3"/>
  <c r="E1998" i="3"/>
  <c r="F1998" i="3"/>
  <c r="G1998" i="3"/>
  <c r="H1998" i="3"/>
  <c r="J1998" i="3"/>
  <c r="E1999" i="3"/>
  <c r="F1999" i="3" s="1"/>
  <c r="G1999" i="3"/>
  <c r="H1999" i="3"/>
  <c r="E2000" i="3"/>
  <c r="F2000" i="3"/>
  <c r="G2000" i="3"/>
  <c r="H2000" i="3"/>
  <c r="J2000" i="3"/>
  <c r="D3" i="3"/>
  <c r="E3" i="3" s="1"/>
  <c r="F3" i="3" s="1"/>
  <c r="D2" i="3"/>
  <c r="E2" i="3" s="1"/>
  <c r="F2" i="3" s="1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4" i="3"/>
  <c r="E4" i="3" s="1"/>
  <c r="F4" i="3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G2" i="3" s="1"/>
  <c r="O12" i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9" i="1"/>
  <c r="P29" i="1" s="1"/>
  <c r="G5" i="3" s="1"/>
  <c r="O30" i="1"/>
  <c r="P30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D274" i="1"/>
  <c r="F711" i="3" l="1"/>
  <c r="J711" i="3"/>
  <c r="F615" i="3"/>
  <c r="J615" i="3"/>
  <c r="F579" i="3"/>
  <c r="J579" i="3"/>
  <c r="F346" i="3"/>
  <c r="J346" i="3"/>
  <c r="J921" i="3"/>
  <c r="J913" i="3"/>
  <c r="J905" i="3"/>
  <c r="J897" i="3"/>
  <c r="J889" i="3"/>
  <c r="J881" i="3"/>
  <c r="J873" i="3"/>
  <c r="J865" i="3"/>
  <c r="J857" i="3"/>
  <c r="J849" i="3"/>
  <c r="J841" i="3"/>
  <c r="J833" i="3"/>
  <c r="J823" i="3"/>
  <c r="J815" i="3"/>
  <c r="J807" i="3"/>
  <c r="J799" i="3"/>
  <c r="J791" i="3"/>
  <c r="J783" i="3"/>
  <c r="J775" i="3"/>
  <c r="J755" i="3"/>
  <c r="F751" i="3"/>
  <c r="J751" i="3"/>
  <c r="J749" i="3"/>
  <c r="J723" i="3"/>
  <c r="F719" i="3"/>
  <c r="J719" i="3"/>
  <c r="J717" i="3"/>
  <c r="J691" i="3"/>
  <c r="F687" i="3"/>
  <c r="J687" i="3"/>
  <c r="J685" i="3"/>
  <c r="J659" i="3"/>
  <c r="F655" i="3"/>
  <c r="J655" i="3"/>
  <c r="J653" i="3"/>
  <c r="J627" i="3"/>
  <c r="F623" i="3"/>
  <c r="J623" i="3"/>
  <c r="J621" i="3"/>
  <c r="J595" i="3"/>
  <c r="J589" i="3"/>
  <c r="F585" i="3"/>
  <c r="J585" i="3"/>
  <c r="F547" i="3"/>
  <c r="J547" i="3"/>
  <c r="J545" i="3"/>
  <c r="F533" i="3"/>
  <c r="J533" i="3"/>
  <c r="J531" i="3"/>
  <c r="J525" i="3"/>
  <c r="J504" i="3"/>
  <c r="F368" i="3"/>
  <c r="J368" i="3"/>
  <c r="F351" i="3"/>
  <c r="J351" i="3"/>
  <c r="F322" i="3"/>
  <c r="J322" i="3"/>
  <c r="J297" i="3"/>
  <c r="F282" i="3"/>
  <c r="J282" i="3"/>
  <c r="J259" i="3"/>
  <c r="J251" i="3"/>
  <c r="J195" i="3"/>
  <c r="J187" i="3"/>
  <c r="F164" i="3"/>
  <c r="J164" i="3"/>
  <c r="J162" i="3"/>
  <c r="J142" i="3"/>
  <c r="J87" i="3"/>
  <c r="J81" i="3"/>
  <c r="J69" i="3"/>
  <c r="J62" i="3"/>
  <c r="F647" i="3"/>
  <c r="J647" i="3"/>
  <c r="J1544" i="3"/>
  <c r="J1552" i="3"/>
  <c r="J923" i="3"/>
  <c r="J915" i="3"/>
  <c r="J907" i="3"/>
  <c r="J899" i="3"/>
  <c r="J891" i="3"/>
  <c r="J883" i="3"/>
  <c r="J875" i="3"/>
  <c r="J867" i="3"/>
  <c r="J859" i="3"/>
  <c r="J851" i="3"/>
  <c r="J843" i="3"/>
  <c r="J835" i="3"/>
  <c r="J827" i="3"/>
  <c r="J826" i="3"/>
  <c r="J825" i="3"/>
  <c r="J817" i="3"/>
  <c r="J809" i="3"/>
  <c r="J801" i="3"/>
  <c r="J793" i="3"/>
  <c r="J785" i="3"/>
  <c r="J777" i="3"/>
  <c r="J769" i="3"/>
  <c r="J763" i="3"/>
  <c r="F759" i="3"/>
  <c r="J759" i="3"/>
  <c r="J757" i="3"/>
  <c r="J731" i="3"/>
  <c r="F727" i="3"/>
  <c r="J727" i="3"/>
  <c r="J725" i="3"/>
  <c r="J699" i="3"/>
  <c r="F695" i="3"/>
  <c r="J695" i="3"/>
  <c r="J693" i="3"/>
  <c r="J667" i="3"/>
  <c r="F663" i="3"/>
  <c r="J663" i="3"/>
  <c r="J661" i="3"/>
  <c r="J635" i="3"/>
  <c r="F631" i="3"/>
  <c r="J631" i="3"/>
  <c r="J629" i="3"/>
  <c r="J603" i="3"/>
  <c r="F599" i="3"/>
  <c r="J599" i="3"/>
  <c r="J597" i="3"/>
  <c r="J569" i="3"/>
  <c r="J563" i="3"/>
  <c r="J557" i="3"/>
  <c r="F553" i="3"/>
  <c r="J553" i="3"/>
  <c r="F539" i="3"/>
  <c r="J539" i="3"/>
  <c r="J537" i="3"/>
  <c r="F513" i="3"/>
  <c r="J513" i="3"/>
  <c r="F352" i="3"/>
  <c r="J352" i="3"/>
  <c r="F335" i="3"/>
  <c r="J335" i="3"/>
  <c r="J299" i="3"/>
  <c r="F295" i="3"/>
  <c r="J295" i="3"/>
  <c r="J267" i="3"/>
  <c r="J261" i="3"/>
  <c r="J253" i="3"/>
  <c r="F249" i="3"/>
  <c r="J249" i="3"/>
  <c r="J246" i="3"/>
  <c r="J203" i="3"/>
  <c r="J197" i="3"/>
  <c r="J189" i="3"/>
  <c r="F185" i="3"/>
  <c r="J185" i="3"/>
  <c r="J182" i="3"/>
  <c r="J55" i="3"/>
  <c r="J1556" i="3"/>
  <c r="F743" i="3"/>
  <c r="J743" i="3"/>
  <c r="F679" i="3"/>
  <c r="J679" i="3"/>
  <c r="F384" i="3"/>
  <c r="J384" i="3"/>
  <c r="F266" i="3"/>
  <c r="J266" i="3"/>
  <c r="F202" i="3"/>
  <c r="J202" i="3"/>
  <c r="F116" i="3"/>
  <c r="J116" i="3"/>
  <c r="J1560" i="3"/>
  <c r="J917" i="3"/>
  <c r="J909" i="3"/>
  <c r="J901" i="3"/>
  <c r="J893" i="3"/>
  <c r="J885" i="3"/>
  <c r="J877" i="3"/>
  <c r="J869" i="3"/>
  <c r="J861" i="3"/>
  <c r="J853" i="3"/>
  <c r="J845" i="3"/>
  <c r="J837" i="3"/>
  <c r="J829" i="3"/>
  <c r="J819" i="3"/>
  <c r="J811" i="3"/>
  <c r="J803" i="3"/>
  <c r="J795" i="3"/>
  <c r="J787" i="3"/>
  <c r="J779" i="3"/>
  <c r="J771" i="3"/>
  <c r="F767" i="3"/>
  <c r="J767" i="3"/>
  <c r="J765" i="3"/>
  <c r="J739" i="3"/>
  <c r="F735" i="3"/>
  <c r="J735" i="3"/>
  <c r="J733" i="3"/>
  <c r="J707" i="3"/>
  <c r="F703" i="3"/>
  <c r="J703" i="3"/>
  <c r="J701" i="3"/>
  <c r="J675" i="3"/>
  <c r="F671" i="3"/>
  <c r="J671" i="3"/>
  <c r="J669" i="3"/>
  <c r="J643" i="3"/>
  <c r="F639" i="3"/>
  <c r="J639" i="3"/>
  <c r="J637" i="3"/>
  <c r="J611" i="3"/>
  <c r="F607" i="3"/>
  <c r="J607" i="3"/>
  <c r="J605" i="3"/>
  <c r="F573" i="3"/>
  <c r="J573" i="3"/>
  <c r="J571" i="3"/>
  <c r="J565" i="3"/>
  <c r="F400" i="3"/>
  <c r="J400" i="3"/>
  <c r="F336" i="3"/>
  <c r="J336" i="3"/>
  <c r="J323" i="3"/>
  <c r="J310" i="3"/>
  <c r="J301" i="3"/>
  <c r="F296" i="3"/>
  <c r="J296" i="3"/>
  <c r="J283" i="3"/>
  <c r="J269" i="3"/>
  <c r="F265" i="3"/>
  <c r="J265" i="3"/>
  <c r="J255" i="3"/>
  <c r="F250" i="3"/>
  <c r="J250" i="3"/>
  <c r="J205" i="3"/>
  <c r="F201" i="3"/>
  <c r="J201" i="3"/>
  <c r="J191" i="3"/>
  <c r="F186" i="3"/>
  <c r="J186" i="3"/>
  <c r="F168" i="3"/>
  <c r="J168" i="3"/>
  <c r="J165" i="3"/>
  <c r="J158" i="3"/>
  <c r="J146" i="3"/>
  <c r="J106" i="3"/>
  <c r="F80" i="3"/>
  <c r="J80" i="3"/>
  <c r="J396" i="3"/>
  <c r="J380" i="3"/>
  <c r="J364" i="3"/>
  <c r="J320" i="3"/>
  <c r="J306" i="3"/>
  <c r="J280" i="3"/>
  <c r="J279" i="3"/>
  <c r="J238" i="3"/>
  <c r="J215" i="3"/>
  <c r="J170" i="3"/>
  <c r="J24" i="3"/>
  <c r="J541" i="3"/>
  <c r="J521" i="3"/>
  <c r="J515" i="3"/>
  <c r="J392" i="3"/>
  <c r="J376" i="3"/>
  <c r="J360" i="3"/>
  <c r="J328" i="3"/>
  <c r="J327" i="3"/>
  <c r="J314" i="3"/>
  <c r="J304" i="3"/>
  <c r="J303" i="3"/>
  <c r="F398" i="3"/>
  <c r="J398" i="3"/>
  <c r="F382" i="3"/>
  <c r="J382" i="3"/>
  <c r="F366" i="3"/>
  <c r="J366" i="3"/>
  <c r="F338" i="3"/>
  <c r="J338" i="3"/>
  <c r="F108" i="3"/>
  <c r="J108" i="3"/>
  <c r="F76" i="3"/>
  <c r="J76" i="3"/>
  <c r="F308" i="3"/>
  <c r="J308" i="3"/>
  <c r="F274" i="3"/>
  <c r="J274" i="3"/>
  <c r="J254" i="3"/>
  <c r="F242" i="3"/>
  <c r="J242" i="3"/>
  <c r="J222" i="3"/>
  <c r="F210" i="3"/>
  <c r="J210" i="3"/>
  <c r="J190" i="3"/>
  <c r="F172" i="3"/>
  <c r="J172" i="3"/>
  <c r="F37" i="3"/>
  <c r="J37" i="3"/>
  <c r="J1269" i="3"/>
  <c r="J591" i="3"/>
  <c r="J583" i="3"/>
  <c r="J575" i="3"/>
  <c r="J567" i="3"/>
  <c r="J559" i="3"/>
  <c r="J551" i="3"/>
  <c r="J543" i="3"/>
  <c r="J535" i="3"/>
  <c r="J527" i="3"/>
  <c r="J519" i="3"/>
  <c r="J511" i="3"/>
  <c r="F406" i="3"/>
  <c r="J406" i="3"/>
  <c r="F390" i="3"/>
  <c r="J390" i="3"/>
  <c r="F374" i="3"/>
  <c r="J374" i="3"/>
  <c r="F358" i="3"/>
  <c r="J358" i="3"/>
  <c r="J342" i="3"/>
  <c r="J330" i="3"/>
  <c r="J319" i="3"/>
  <c r="J298" i="3"/>
  <c r="J287" i="3"/>
  <c r="J163" i="3"/>
  <c r="F140" i="3"/>
  <c r="J140" i="3"/>
  <c r="F92" i="3"/>
  <c r="J92" i="3"/>
  <c r="F60" i="3"/>
  <c r="J60" i="3"/>
  <c r="J2" i="3"/>
  <c r="F348" i="3"/>
  <c r="J348" i="3"/>
  <c r="F324" i="3"/>
  <c r="J324" i="3"/>
  <c r="F292" i="3"/>
  <c r="J292" i="3"/>
  <c r="J263" i="3"/>
  <c r="J231" i="3"/>
  <c r="J199" i="3"/>
  <c r="F40" i="3"/>
  <c r="J40" i="3"/>
  <c r="J14" i="3"/>
  <c r="J402" i="3"/>
  <c r="J394" i="3"/>
  <c r="J386" i="3"/>
  <c r="J378" i="3"/>
  <c r="J370" i="3"/>
  <c r="J362" i="3"/>
  <c r="J354" i="3"/>
  <c r="J344" i="3"/>
  <c r="J332" i="3"/>
  <c r="J316" i="3"/>
  <c r="J300" i="3"/>
  <c r="J284" i="3"/>
  <c r="J258" i="3"/>
  <c r="J226" i="3"/>
  <c r="J194" i="3"/>
  <c r="J156" i="3"/>
  <c r="J124" i="3"/>
  <c r="J100" i="3"/>
  <c r="J84" i="3"/>
  <c r="J68" i="3"/>
  <c r="J52" i="3"/>
  <c r="J48" i="3"/>
  <c r="J45" i="3"/>
  <c r="F30" i="3"/>
  <c r="E17" i="6"/>
  <c r="E14" i="6"/>
  <c r="E13" i="6"/>
  <c r="E11" i="6"/>
  <c r="E9" i="6"/>
  <c r="G16" i="4"/>
  <c r="G14" i="4"/>
  <c r="G13" i="4"/>
  <c r="G12" i="4"/>
  <c r="G10" i="4"/>
  <c r="E10" i="6"/>
  <c r="E16" i="6"/>
  <c r="E15" i="6"/>
  <c r="E7" i="6"/>
  <c r="E6" i="6"/>
  <c r="E5" i="6"/>
  <c r="G7" i="4"/>
  <c r="E8" i="6"/>
  <c r="G15" i="4"/>
  <c r="G9" i="4"/>
  <c r="G8" i="4"/>
  <c r="G11" i="4"/>
  <c r="E12" i="6"/>
  <c r="F29" i="3"/>
  <c r="J26" i="3"/>
  <c r="F26" i="3"/>
  <c r="F25" i="3"/>
  <c r="J25" i="3"/>
  <c r="F22" i="3"/>
  <c r="E4" i="6"/>
  <c r="F17" i="3"/>
  <c r="H11" i="3"/>
  <c r="I11" i="3" s="1"/>
  <c r="E2" i="6"/>
  <c r="E3" i="6"/>
  <c r="O1835" i="1"/>
  <c r="P1835" i="1" s="1"/>
  <c r="O1831" i="1"/>
  <c r="P1831" i="1" s="1"/>
  <c r="O1833" i="1"/>
  <c r="P1833" i="1" s="1"/>
  <c r="O1834" i="1"/>
  <c r="P1834" i="1" s="1"/>
  <c r="O1860" i="1"/>
  <c r="P1860" i="1" s="1"/>
  <c r="O1832" i="1"/>
  <c r="P1832" i="1" s="1"/>
  <c r="O1830" i="1"/>
  <c r="P1830" i="1" s="1"/>
  <c r="H7" i="3"/>
  <c r="I7" i="3" s="1"/>
  <c r="F10" i="3"/>
  <c r="F7" i="3"/>
  <c r="J7" i="3"/>
  <c r="F6" i="3"/>
  <c r="D6" i="2"/>
  <c r="D7" i="2"/>
  <c r="O1898" i="1"/>
  <c r="P1898" i="1" s="1"/>
  <c r="O1866" i="1"/>
  <c r="P1866" i="1" s="1"/>
  <c r="O1942" i="1"/>
  <c r="P1942" i="1" s="1"/>
  <c r="O1970" i="1"/>
  <c r="P1970" i="1" s="1"/>
  <c r="O1958" i="1"/>
  <c r="P1958" i="1" s="1"/>
  <c r="O1910" i="1"/>
  <c r="P1910" i="1" s="1"/>
  <c r="O1879" i="1"/>
  <c r="P1879" i="1" s="1"/>
  <c r="O2002" i="1"/>
  <c r="P2002" i="1" s="1"/>
  <c r="O1875" i="1"/>
  <c r="P1875" i="1" s="1"/>
  <c r="O1971" i="1"/>
  <c r="P1971" i="1" s="1"/>
  <c r="O1934" i="1"/>
  <c r="P1934" i="1" s="1"/>
  <c r="O1878" i="1"/>
  <c r="P1878" i="1" s="1"/>
  <c r="O1846" i="1"/>
  <c r="P1846" i="1" s="1"/>
  <c r="O1915" i="1"/>
  <c r="P1915" i="1" s="1"/>
  <c r="O1887" i="1"/>
  <c r="P1887" i="1" s="1"/>
  <c r="O1843" i="1"/>
  <c r="P1843" i="1" s="1"/>
  <c r="O1899" i="1"/>
  <c r="P1899" i="1" s="1"/>
  <c r="O1859" i="1"/>
  <c r="P1859" i="1" s="1"/>
  <c r="O1987" i="1"/>
  <c r="P1987" i="1" s="1"/>
  <c r="O1911" i="1"/>
  <c r="P1911" i="1" s="1"/>
  <c r="O2019" i="1"/>
  <c r="P2019" i="1" s="1"/>
  <c r="O1923" i="1"/>
  <c r="P1923" i="1" s="1"/>
  <c r="O1903" i="1"/>
  <c r="P1903" i="1" s="1"/>
  <c r="O1883" i="1"/>
  <c r="P1883" i="1" s="1"/>
  <c r="O1867" i="1"/>
  <c r="P1867" i="1" s="1"/>
  <c r="O1855" i="1"/>
  <c r="P1855" i="1" s="1"/>
  <c r="O1963" i="1"/>
  <c r="P1963" i="1" s="1"/>
  <c r="O1931" i="1"/>
  <c r="P1931" i="1" s="1"/>
  <c r="O1891" i="1"/>
  <c r="P1891" i="1" s="1"/>
  <c r="O1863" i="1"/>
  <c r="P1863" i="1" s="1"/>
  <c r="O1847" i="1"/>
  <c r="P1847" i="1" s="1"/>
  <c r="O2003" i="1"/>
  <c r="P2003" i="1" s="1"/>
  <c r="O1986" i="1"/>
  <c r="P1986" i="1" s="1"/>
  <c r="O1962" i="1"/>
  <c r="P1962" i="1" s="1"/>
  <c r="O1939" i="1"/>
  <c r="P1939" i="1" s="1"/>
  <c r="O1922" i="1"/>
  <c r="P1922" i="1" s="1"/>
  <c r="O1907" i="1"/>
  <c r="P1907" i="1" s="1"/>
  <c r="O1895" i="1"/>
  <c r="P1895" i="1" s="1"/>
  <c r="O1882" i="1"/>
  <c r="P1882" i="1" s="1"/>
  <c r="O1871" i="1"/>
  <c r="P1871" i="1" s="1"/>
  <c r="O1862" i="1"/>
  <c r="P1862" i="1" s="1"/>
  <c r="O1851" i="1"/>
  <c r="P1851" i="1" s="1"/>
  <c r="O1839" i="1"/>
  <c r="P1839" i="1" s="1"/>
  <c r="O1995" i="1"/>
  <c r="P1995" i="1" s="1"/>
  <c r="O1955" i="1"/>
  <c r="P1955" i="1" s="1"/>
  <c r="O1904" i="1"/>
  <c r="P1904" i="1" s="1"/>
  <c r="O1896" i="1"/>
  <c r="P1896" i="1" s="1"/>
  <c r="O1840" i="1"/>
  <c r="P1840" i="1" s="1"/>
  <c r="O1876" i="1"/>
  <c r="P1876" i="1" s="1"/>
  <c r="O1888" i="1"/>
  <c r="P1888" i="1" s="1"/>
  <c r="O1880" i="1"/>
  <c r="P1880" i="1" s="1"/>
  <c r="O2018" i="1"/>
  <c r="P2018" i="1" s="1"/>
  <c r="O1946" i="1"/>
  <c r="P1946" i="1" s="1"/>
  <c r="O1914" i="1"/>
  <c r="P1914" i="1" s="1"/>
  <c r="O1908" i="1"/>
  <c r="P1908" i="1" s="1"/>
  <c r="O1894" i="1"/>
  <c r="P1894" i="1" s="1"/>
  <c r="O1872" i="1"/>
  <c r="P1872" i="1" s="1"/>
  <c r="O1864" i="1"/>
  <c r="P1864" i="1" s="1"/>
  <c r="O1850" i="1"/>
  <c r="P1850" i="1" s="1"/>
  <c r="O1844" i="1"/>
  <c r="P1844" i="1" s="1"/>
  <c r="O1912" i="1"/>
  <c r="P1912" i="1" s="1"/>
  <c r="O1892" i="1"/>
  <c r="P1892" i="1" s="1"/>
  <c r="O1856" i="1"/>
  <c r="P1856" i="1" s="1"/>
  <c r="O1848" i="1"/>
  <c r="P1848" i="1" s="1"/>
  <c r="O2014" i="1"/>
  <c r="P2014" i="1" s="1"/>
  <c r="O1994" i="1"/>
  <c r="P1994" i="1" s="1"/>
  <c r="O1982" i="1"/>
  <c r="P1982" i="1" s="1"/>
  <c r="O1966" i="1"/>
  <c r="P1966" i="1" s="1"/>
  <c r="O1930" i="1"/>
  <c r="P1930" i="1" s="1"/>
  <c r="O1918" i="1"/>
  <c r="P1918" i="1" s="1"/>
  <c r="O1902" i="1"/>
  <c r="P1902" i="1" s="1"/>
  <c r="O1886" i="1"/>
  <c r="P1886" i="1" s="1"/>
  <c r="O1870" i="1"/>
  <c r="P1870" i="1" s="1"/>
  <c r="O1854" i="1"/>
  <c r="P1854" i="1" s="1"/>
  <c r="O1838" i="1"/>
  <c r="P1838" i="1" s="1"/>
  <c r="O1990" i="1"/>
  <c r="P1990" i="1" s="1"/>
  <c r="O1978" i="1"/>
  <c r="P1978" i="1" s="1"/>
  <c r="O1950" i="1"/>
  <c r="P1950" i="1" s="1"/>
  <c r="O1938" i="1"/>
  <c r="P1938" i="1" s="1"/>
  <c r="O1926" i="1"/>
  <c r="P1926" i="1" s="1"/>
  <c r="O1916" i="1"/>
  <c r="P1916" i="1" s="1"/>
  <c r="O1906" i="1"/>
  <c r="P1906" i="1" s="1"/>
  <c r="O1900" i="1"/>
  <c r="P1900" i="1" s="1"/>
  <c r="O1890" i="1"/>
  <c r="P1890" i="1" s="1"/>
  <c r="O1884" i="1"/>
  <c r="P1884" i="1" s="1"/>
  <c r="O1874" i="1"/>
  <c r="P1874" i="1" s="1"/>
  <c r="O1868" i="1"/>
  <c r="P1868" i="1" s="1"/>
  <c r="O1858" i="1"/>
  <c r="P1858" i="1" s="1"/>
  <c r="O1852" i="1"/>
  <c r="P1852" i="1" s="1"/>
  <c r="O1842" i="1"/>
  <c r="P1842" i="1" s="1"/>
  <c r="O2022" i="1"/>
  <c r="P2022" i="1" s="1"/>
  <c r="O2010" i="1"/>
  <c r="P2010" i="1" s="1"/>
  <c r="O1998" i="1"/>
  <c r="P1998" i="1" s="1"/>
  <c r="O1974" i="1"/>
  <c r="P1974" i="1" s="1"/>
  <c r="O1954" i="1"/>
  <c r="P1954" i="1" s="1"/>
  <c r="O1913" i="1"/>
  <c r="P1913" i="1" s="1"/>
  <c r="O1909" i="1"/>
  <c r="P1909" i="1" s="1"/>
  <c r="O1905" i="1"/>
  <c r="P1905" i="1" s="1"/>
  <c r="O1901" i="1"/>
  <c r="P1901" i="1" s="1"/>
  <c r="O1897" i="1"/>
  <c r="P1897" i="1" s="1"/>
  <c r="O1893" i="1"/>
  <c r="P1893" i="1" s="1"/>
  <c r="O1889" i="1"/>
  <c r="P1889" i="1" s="1"/>
  <c r="O1885" i="1"/>
  <c r="P1885" i="1" s="1"/>
  <c r="O1881" i="1"/>
  <c r="P1881" i="1" s="1"/>
  <c r="O1877" i="1"/>
  <c r="P1877" i="1" s="1"/>
  <c r="O1873" i="1"/>
  <c r="P1873" i="1" s="1"/>
  <c r="O1869" i="1"/>
  <c r="P1869" i="1" s="1"/>
  <c r="O1865" i="1"/>
  <c r="P1865" i="1" s="1"/>
  <c r="O1861" i="1"/>
  <c r="P1861" i="1" s="1"/>
  <c r="O1857" i="1"/>
  <c r="P1857" i="1" s="1"/>
  <c r="O1853" i="1"/>
  <c r="P1853" i="1" s="1"/>
  <c r="O1849" i="1"/>
  <c r="P1849" i="1" s="1"/>
  <c r="O1845" i="1"/>
  <c r="P1845" i="1" s="1"/>
  <c r="O1841" i="1"/>
  <c r="P1841" i="1" s="1"/>
  <c r="O1837" i="1"/>
  <c r="P1837" i="1" s="1"/>
  <c r="O2006" i="1"/>
  <c r="P2006" i="1" s="1"/>
  <c r="O1836" i="1"/>
  <c r="P1836" i="1" s="1"/>
  <c r="O1979" i="1"/>
  <c r="P1979" i="1" s="1"/>
  <c r="O1947" i="1"/>
  <c r="P1947" i="1" s="1"/>
  <c r="O1927" i="1"/>
  <c r="P1927" i="1" s="1"/>
  <c r="O1919" i="1"/>
  <c r="P1919" i="1" s="1"/>
  <c r="O2011" i="1"/>
  <c r="P2011" i="1" s="1"/>
  <c r="O2023" i="1"/>
  <c r="P2023" i="1" s="1"/>
  <c r="O2015" i="1"/>
  <c r="P2015" i="1" s="1"/>
  <c r="O2007" i="1"/>
  <c r="P2007" i="1" s="1"/>
  <c r="O1999" i="1"/>
  <c r="P1999" i="1" s="1"/>
  <c r="O1991" i="1"/>
  <c r="P1991" i="1" s="1"/>
  <c r="O1983" i="1"/>
  <c r="P1983" i="1" s="1"/>
  <c r="O1975" i="1"/>
  <c r="P1975" i="1" s="1"/>
  <c r="O1967" i="1"/>
  <c r="P1967" i="1" s="1"/>
  <c r="O1959" i="1"/>
  <c r="P1959" i="1" s="1"/>
  <c r="O1951" i="1"/>
  <c r="P1951" i="1" s="1"/>
  <c r="O1943" i="1"/>
  <c r="P1943" i="1" s="1"/>
  <c r="O1935" i="1"/>
  <c r="P1935" i="1" s="1"/>
  <c r="O2021" i="1"/>
  <c r="P2021" i="1" s="1"/>
  <c r="O2005" i="1"/>
  <c r="P2005" i="1" s="1"/>
  <c r="O1993" i="1"/>
  <c r="P1993" i="1" s="1"/>
  <c r="O1981" i="1"/>
  <c r="P1981" i="1" s="1"/>
  <c r="O1973" i="1"/>
  <c r="P1973" i="1" s="1"/>
  <c r="O1961" i="1"/>
  <c r="P1961" i="1" s="1"/>
  <c r="O1949" i="1"/>
  <c r="P1949" i="1" s="1"/>
  <c r="O1937" i="1"/>
  <c r="P1937" i="1" s="1"/>
  <c r="O1925" i="1"/>
  <c r="P1925" i="1" s="1"/>
  <c r="O2017" i="1"/>
  <c r="P2017" i="1" s="1"/>
  <c r="O2009" i="1"/>
  <c r="P2009" i="1" s="1"/>
  <c r="O1997" i="1"/>
  <c r="P1997" i="1" s="1"/>
  <c r="O1989" i="1"/>
  <c r="P1989" i="1" s="1"/>
  <c r="O1977" i="1"/>
  <c r="P1977" i="1" s="1"/>
  <c r="O1965" i="1"/>
  <c r="P1965" i="1" s="1"/>
  <c r="O1957" i="1"/>
  <c r="P1957" i="1" s="1"/>
  <c r="O1945" i="1"/>
  <c r="P1945" i="1" s="1"/>
  <c r="O1933" i="1"/>
  <c r="P1933" i="1" s="1"/>
  <c r="O1929" i="1"/>
  <c r="P1929" i="1" s="1"/>
  <c r="O2024" i="1"/>
  <c r="P2024" i="1" s="1"/>
  <c r="O2020" i="1"/>
  <c r="P2020" i="1" s="1"/>
  <c r="O2016" i="1"/>
  <c r="P2016" i="1" s="1"/>
  <c r="O2012" i="1"/>
  <c r="P2012" i="1" s="1"/>
  <c r="O2008" i="1"/>
  <c r="P2008" i="1" s="1"/>
  <c r="O2004" i="1"/>
  <c r="P2004" i="1" s="1"/>
  <c r="O2000" i="1"/>
  <c r="P2000" i="1" s="1"/>
  <c r="O1996" i="1"/>
  <c r="P1996" i="1" s="1"/>
  <c r="O1992" i="1"/>
  <c r="P1992" i="1" s="1"/>
  <c r="O1988" i="1"/>
  <c r="P1988" i="1" s="1"/>
  <c r="O1984" i="1"/>
  <c r="P1984" i="1" s="1"/>
  <c r="O1980" i="1"/>
  <c r="P1980" i="1" s="1"/>
  <c r="O1976" i="1"/>
  <c r="P1976" i="1" s="1"/>
  <c r="O1972" i="1"/>
  <c r="P1972" i="1" s="1"/>
  <c r="O1968" i="1"/>
  <c r="P1968" i="1" s="1"/>
  <c r="O1964" i="1"/>
  <c r="P1964" i="1" s="1"/>
  <c r="O1960" i="1"/>
  <c r="P1960" i="1" s="1"/>
  <c r="O1956" i="1"/>
  <c r="P1956" i="1" s="1"/>
  <c r="O1952" i="1"/>
  <c r="P1952" i="1" s="1"/>
  <c r="O1948" i="1"/>
  <c r="P1948" i="1" s="1"/>
  <c r="O1944" i="1"/>
  <c r="P1944" i="1" s="1"/>
  <c r="O1940" i="1"/>
  <c r="P1940" i="1" s="1"/>
  <c r="O1936" i="1"/>
  <c r="P1936" i="1" s="1"/>
  <c r="O1932" i="1"/>
  <c r="P1932" i="1" s="1"/>
  <c r="O1928" i="1"/>
  <c r="P1928" i="1" s="1"/>
  <c r="O1924" i="1"/>
  <c r="P1924" i="1" s="1"/>
  <c r="O1920" i="1"/>
  <c r="P1920" i="1" s="1"/>
  <c r="O2025" i="1"/>
  <c r="P2025" i="1" s="1"/>
  <c r="O2013" i="1"/>
  <c r="P2013" i="1" s="1"/>
  <c r="O2001" i="1"/>
  <c r="P2001" i="1" s="1"/>
  <c r="O1985" i="1"/>
  <c r="P1985" i="1" s="1"/>
  <c r="O1969" i="1"/>
  <c r="P1969" i="1" s="1"/>
  <c r="O1953" i="1"/>
  <c r="P1953" i="1" s="1"/>
  <c r="O1941" i="1"/>
  <c r="P1941" i="1" s="1"/>
  <c r="O1921" i="1"/>
  <c r="P1921" i="1" s="1"/>
  <c r="O1917" i="1"/>
  <c r="P1917" i="1" s="1"/>
  <c r="D8" i="2"/>
  <c r="D9" i="2"/>
  <c r="D5" i="2"/>
  <c r="O797" i="1"/>
  <c r="P797" i="1" s="1"/>
  <c r="O1445" i="1"/>
  <c r="P1445" i="1" s="1"/>
  <c r="O1217" i="1"/>
  <c r="P1217" i="1" s="1"/>
  <c r="O1025" i="1"/>
  <c r="P1025" i="1" s="1"/>
  <c r="O861" i="1"/>
  <c r="P861" i="1" s="1"/>
  <c r="O781" i="1"/>
  <c r="P781" i="1" s="1"/>
  <c r="O702" i="1"/>
  <c r="P702" i="1" s="1"/>
  <c r="O604" i="1"/>
  <c r="P604" i="1" s="1"/>
  <c r="O508" i="1"/>
  <c r="P508" i="1" s="1"/>
  <c r="O1057" i="1"/>
  <c r="P1057" i="1" s="1"/>
  <c r="O893" i="1"/>
  <c r="P893" i="1" s="1"/>
  <c r="O637" i="1"/>
  <c r="P637" i="1" s="1"/>
  <c r="O524" i="1"/>
  <c r="P524" i="1" s="1"/>
  <c r="O1413" i="1"/>
  <c r="P1413" i="1" s="1"/>
  <c r="O1153" i="1"/>
  <c r="P1153" i="1" s="1"/>
  <c r="O961" i="1"/>
  <c r="P961" i="1" s="1"/>
  <c r="O845" i="1"/>
  <c r="P845" i="1" s="1"/>
  <c r="O765" i="1"/>
  <c r="P765" i="1" s="1"/>
  <c r="O669" i="1"/>
  <c r="P669" i="1" s="1"/>
  <c r="O572" i="1"/>
  <c r="P572" i="1" s="1"/>
  <c r="O492" i="1"/>
  <c r="P492" i="1" s="1"/>
  <c r="O1281" i="1"/>
  <c r="P1281" i="1" s="1"/>
  <c r="O1345" i="1"/>
  <c r="P1345" i="1" s="1"/>
  <c r="O1089" i="1"/>
  <c r="P1089" i="1" s="1"/>
  <c r="O929" i="1"/>
  <c r="P929" i="1" s="1"/>
  <c r="O829" i="1"/>
  <c r="P829" i="1" s="1"/>
  <c r="O733" i="1"/>
  <c r="P733" i="1" s="1"/>
  <c r="O653" i="1"/>
  <c r="P653" i="1" s="1"/>
  <c r="O556" i="1"/>
  <c r="P556" i="1" s="1"/>
  <c r="O1377" i="1"/>
  <c r="P1377" i="1" s="1"/>
  <c r="O1249" i="1"/>
  <c r="P1249" i="1" s="1"/>
  <c r="O1121" i="1"/>
  <c r="P1121" i="1" s="1"/>
  <c r="O993" i="1"/>
  <c r="P993" i="1" s="1"/>
  <c r="O877" i="1"/>
  <c r="P877" i="1" s="1"/>
  <c r="O813" i="1"/>
  <c r="P813" i="1" s="1"/>
  <c r="O749" i="1"/>
  <c r="P749" i="1" s="1"/>
  <c r="O686" i="1"/>
  <c r="P686" i="1" s="1"/>
  <c r="O621" i="1"/>
  <c r="P621" i="1" s="1"/>
  <c r="O540" i="1"/>
  <c r="P540" i="1" s="1"/>
  <c r="O98" i="1"/>
  <c r="P98" i="1" s="1"/>
  <c r="O1429" i="1"/>
  <c r="P1429" i="1" s="1"/>
  <c r="O1313" i="1"/>
  <c r="P1313" i="1" s="1"/>
  <c r="O1185" i="1"/>
  <c r="P1185" i="1" s="1"/>
  <c r="O452" i="1"/>
  <c r="P452" i="1" s="1"/>
  <c r="O167" i="1"/>
  <c r="P167" i="1" s="1"/>
  <c r="O163" i="1"/>
  <c r="P163" i="1" s="1"/>
  <c r="O151" i="1"/>
  <c r="P151" i="1" s="1"/>
  <c r="O147" i="1"/>
  <c r="P147" i="1" s="1"/>
  <c r="O136" i="1"/>
  <c r="P136" i="1" s="1"/>
  <c r="O132" i="1"/>
  <c r="P132" i="1" s="1"/>
  <c r="O128" i="1"/>
  <c r="P128" i="1" s="1"/>
  <c r="O119" i="1"/>
  <c r="P119" i="1" s="1"/>
  <c r="O114" i="1"/>
  <c r="P114" i="1" s="1"/>
  <c r="O110" i="1"/>
  <c r="P110" i="1" s="1"/>
  <c r="O106" i="1"/>
  <c r="P106" i="1" s="1"/>
  <c r="O100" i="1"/>
  <c r="P100" i="1" s="1"/>
  <c r="G11" i="3" s="1"/>
  <c r="J11" i="3" s="1"/>
  <c r="O96" i="1"/>
  <c r="P96" i="1" s="1"/>
  <c r="O92" i="1"/>
  <c r="P92" i="1" s="1"/>
  <c r="O88" i="1"/>
  <c r="P88" i="1" s="1"/>
  <c r="G10" i="3" s="1"/>
  <c r="J10" i="3" s="1"/>
  <c r="O84" i="1"/>
  <c r="P84" i="1" s="1"/>
  <c r="O80" i="1"/>
  <c r="P80" i="1" s="1"/>
  <c r="O76" i="1"/>
  <c r="P76" i="1" s="1"/>
  <c r="O62" i="1"/>
  <c r="P62" i="1" s="1"/>
  <c r="O57" i="1"/>
  <c r="P57" i="1" s="1"/>
  <c r="O49" i="1"/>
  <c r="P49" i="1" s="1"/>
  <c r="O45" i="1"/>
  <c r="P45" i="1" s="1"/>
  <c r="O41" i="1"/>
  <c r="P41" i="1" s="1"/>
  <c r="O1827" i="1"/>
  <c r="P1827" i="1" s="1"/>
  <c r="O1823" i="1"/>
  <c r="P1823" i="1" s="1"/>
  <c r="O1819" i="1"/>
  <c r="P1819" i="1" s="1"/>
  <c r="O1815" i="1"/>
  <c r="P1815" i="1" s="1"/>
  <c r="O1811" i="1"/>
  <c r="P1811" i="1" s="1"/>
  <c r="O1807" i="1"/>
  <c r="P1807" i="1" s="1"/>
  <c r="O1803" i="1"/>
  <c r="P1803" i="1" s="1"/>
  <c r="O1799" i="1"/>
  <c r="P1799" i="1" s="1"/>
  <c r="O1795" i="1"/>
  <c r="P1795" i="1" s="1"/>
  <c r="O1791" i="1"/>
  <c r="P1791" i="1" s="1"/>
  <c r="O1787" i="1"/>
  <c r="P1787" i="1" s="1"/>
  <c r="O1783" i="1"/>
  <c r="P1783" i="1" s="1"/>
  <c r="O1779" i="1"/>
  <c r="P1779" i="1" s="1"/>
  <c r="O1775" i="1"/>
  <c r="P1775" i="1" s="1"/>
  <c r="O1771" i="1"/>
  <c r="P1771" i="1" s="1"/>
  <c r="O1767" i="1"/>
  <c r="P1767" i="1" s="1"/>
  <c r="O1763" i="1"/>
  <c r="P1763" i="1" s="1"/>
  <c r="O1759" i="1"/>
  <c r="P1759" i="1" s="1"/>
  <c r="O1755" i="1"/>
  <c r="P1755" i="1" s="1"/>
  <c r="O1751" i="1"/>
  <c r="P1751" i="1" s="1"/>
  <c r="O1747" i="1"/>
  <c r="P1747" i="1" s="1"/>
  <c r="O1743" i="1"/>
  <c r="P1743" i="1" s="1"/>
  <c r="O1739" i="1"/>
  <c r="P1739" i="1" s="1"/>
  <c r="O1735" i="1"/>
  <c r="P1735" i="1" s="1"/>
  <c r="O1731" i="1"/>
  <c r="P1731" i="1" s="1"/>
  <c r="O1727" i="1"/>
  <c r="P1727" i="1" s="1"/>
  <c r="O1723" i="1"/>
  <c r="P1723" i="1" s="1"/>
  <c r="O1719" i="1"/>
  <c r="P1719" i="1" s="1"/>
  <c r="O1715" i="1"/>
  <c r="P1715" i="1" s="1"/>
  <c r="O1711" i="1"/>
  <c r="P1711" i="1" s="1"/>
  <c r="O1707" i="1"/>
  <c r="P1707" i="1" s="1"/>
  <c r="O1703" i="1"/>
  <c r="P1703" i="1" s="1"/>
  <c r="O1699" i="1"/>
  <c r="P1699" i="1" s="1"/>
  <c r="O1695" i="1"/>
  <c r="P1695" i="1" s="1"/>
  <c r="O1691" i="1"/>
  <c r="P1691" i="1" s="1"/>
  <c r="O1687" i="1"/>
  <c r="P1687" i="1" s="1"/>
  <c r="O1683" i="1"/>
  <c r="P1683" i="1" s="1"/>
  <c r="O1679" i="1"/>
  <c r="P1679" i="1" s="1"/>
  <c r="O1675" i="1"/>
  <c r="P1675" i="1" s="1"/>
  <c r="O1671" i="1"/>
  <c r="P1671" i="1" s="1"/>
  <c r="O1667" i="1"/>
  <c r="P1667" i="1" s="1"/>
  <c r="O1663" i="1"/>
  <c r="P1663" i="1" s="1"/>
  <c r="O1659" i="1"/>
  <c r="P1659" i="1" s="1"/>
  <c r="O1655" i="1"/>
  <c r="P1655" i="1" s="1"/>
  <c r="O1651" i="1"/>
  <c r="P1651" i="1" s="1"/>
  <c r="O1647" i="1"/>
  <c r="P1647" i="1" s="1"/>
  <c r="O1643" i="1"/>
  <c r="P1643" i="1" s="1"/>
  <c r="O1639" i="1"/>
  <c r="P1639" i="1" s="1"/>
  <c r="O1635" i="1"/>
  <c r="P1635" i="1" s="1"/>
  <c r="O1631" i="1"/>
  <c r="P1631" i="1" s="1"/>
  <c r="O1627" i="1"/>
  <c r="P1627" i="1" s="1"/>
  <c r="O1623" i="1"/>
  <c r="P1623" i="1" s="1"/>
  <c r="O1619" i="1"/>
  <c r="P1619" i="1" s="1"/>
  <c r="O1615" i="1"/>
  <c r="P1615" i="1" s="1"/>
  <c r="O1611" i="1"/>
  <c r="P1611" i="1" s="1"/>
  <c r="O1607" i="1"/>
  <c r="P1607" i="1" s="1"/>
  <c r="O1603" i="1"/>
  <c r="P1603" i="1" s="1"/>
  <c r="O1599" i="1"/>
  <c r="P1599" i="1" s="1"/>
  <c r="O1595" i="1"/>
  <c r="P1595" i="1" s="1"/>
  <c r="O1591" i="1"/>
  <c r="P1591" i="1" s="1"/>
  <c r="O1587" i="1"/>
  <c r="P1587" i="1" s="1"/>
  <c r="O1583" i="1"/>
  <c r="P1583" i="1" s="1"/>
  <c r="O1579" i="1"/>
  <c r="P1579" i="1" s="1"/>
  <c r="O1575" i="1"/>
  <c r="P1575" i="1" s="1"/>
  <c r="O1571" i="1"/>
  <c r="P1571" i="1" s="1"/>
  <c r="O1567" i="1"/>
  <c r="P1567" i="1" s="1"/>
  <c r="O1563" i="1"/>
  <c r="P1563" i="1" s="1"/>
  <c r="O1559" i="1"/>
  <c r="P1559" i="1" s="1"/>
  <c r="O1555" i="1"/>
  <c r="P1555" i="1" s="1"/>
  <c r="O1551" i="1"/>
  <c r="P1551" i="1" s="1"/>
  <c r="O1547" i="1"/>
  <c r="P1547" i="1" s="1"/>
  <c r="O1543" i="1"/>
  <c r="P1543" i="1" s="1"/>
  <c r="O1539" i="1"/>
  <c r="P1539" i="1" s="1"/>
  <c r="O1535" i="1"/>
  <c r="P1535" i="1" s="1"/>
  <c r="O1531" i="1"/>
  <c r="P1531" i="1" s="1"/>
  <c r="O1527" i="1"/>
  <c r="P1527" i="1" s="1"/>
  <c r="O1523" i="1"/>
  <c r="P1523" i="1" s="1"/>
  <c r="O1519" i="1"/>
  <c r="P1519" i="1" s="1"/>
  <c r="O1515" i="1"/>
  <c r="P1515" i="1" s="1"/>
  <c r="O1511" i="1"/>
  <c r="P1511" i="1" s="1"/>
  <c r="O1507" i="1"/>
  <c r="P1507" i="1" s="1"/>
  <c r="O1503" i="1"/>
  <c r="P1503" i="1" s="1"/>
  <c r="O1499" i="1"/>
  <c r="P1499" i="1" s="1"/>
  <c r="O1495" i="1"/>
  <c r="P1495" i="1" s="1"/>
  <c r="O1491" i="1"/>
  <c r="P1491" i="1" s="1"/>
  <c r="O1487" i="1"/>
  <c r="P1487" i="1" s="1"/>
  <c r="O1483" i="1"/>
  <c r="P1483" i="1" s="1"/>
  <c r="O1479" i="1"/>
  <c r="P1479" i="1" s="1"/>
  <c r="O1475" i="1"/>
  <c r="P1475" i="1" s="1"/>
  <c r="O1471" i="1"/>
  <c r="P1471" i="1" s="1"/>
  <c r="O1467" i="1"/>
  <c r="P1467" i="1" s="1"/>
  <c r="O1463" i="1"/>
  <c r="P1463" i="1" s="1"/>
  <c r="O1459" i="1"/>
  <c r="P1459" i="1" s="1"/>
  <c r="O1455" i="1"/>
  <c r="P1455" i="1" s="1"/>
  <c r="O1450" i="1"/>
  <c r="P1450" i="1" s="1"/>
  <c r="O1439" i="1"/>
  <c r="P1439" i="1" s="1"/>
  <c r="O1434" i="1"/>
  <c r="P1434" i="1" s="1"/>
  <c r="O1423" i="1"/>
  <c r="P1423" i="1" s="1"/>
  <c r="O1418" i="1"/>
  <c r="P1418" i="1" s="1"/>
  <c r="O1407" i="1"/>
  <c r="P1407" i="1" s="1"/>
  <c r="O1398" i="1"/>
  <c r="P1398" i="1" s="1"/>
  <c r="O1387" i="1"/>
  <c r="P1387" i="1" s="1"/>
  <c r="O1366" i="1"/>
  <c r="P1366" i="1" s="1"/>
  <c r="O1355" i="1"/>
  <c r="P1355" i="1" s="1"/>
  <c r="O1334" i="1"/>
  <c r="P1334" i="1" s="1"/>
  <c r="O1323" i="1"/>
  <c r="P1323" i="1" s="1"/>
  <c r="O1302" i="1"/>
  <c r="P1302" i="1" s="1"/>
  <c r="O1291" i="1"/>
  <c r="P1291" i="1" s="1"/>
  <c r="O1270" i="1"/>
  <c r="P1270" i="1" s="1"/>
  <c r="O1259" i="1"/>
  <c r="P1259" i="1" s="1"/>
  <c r="O1238" i="1"/>
  <c r="P1238" i="1" s="1"/>
  <c r="O1227" i="1"/>
  <c r="P1227" i="1" s="1"/>
  <c r="O1206" i="1"/>
  <c r="P1206" i="1" s="1"/>
  <c r="O1195" i="1"/>
  <c r="P1195" i="1" s="1"/>
  <c r="O1174" i="1"/>
  <c r="P1174" i="1" s="1"/>
  <c r="O1163" i="1"/>
  <c r="P1163" i="1" s="1"/>
  <c r="O1142" i="1"/>
  <c r="P1142" i="1" s="1"/>
  <c r="O1131" i="1"/>
  <c r="P1131" i="1" s="1"/>
  <c r="O1110" i="1"/>
  <c r="P1110" i="1" s="1"/>
  <c r="O1099" i="1"/>
  <c r="P1099" i="1" s="1"/>
  <c r="O1078" i="1"/>
  <c r="P1078" i="1" s="1"/>
  <c r="O1067" i="1"/>
  <c r="P1067" i="1" s="1"/>
  <c r="O1046" i="1"/>
  <c r="P1046" i="1" s="1"/>
  <c r="O1035" i="1"/>
  <c r="P1035" i="1" s="1"/>
  <c r="O1014" i="1"/>
  <c r="P1014" i="1" s="1"/>
  <c r="O1003" i="1"/>
  <c r="P1003" i="1" s="1"/>
  <c r="O982" i="1"/>
  <c r="P982" i="1" s="1"/>
  <c r="O971" i="1"/>
  <c r="P971" i="1" s="1"/>
  <c r="O950" i="1"/>
  <c r="P950" i="1" s="1"/>
  <c r="O939" i="1"/>
  <c r="P939" i="1" s="1"/>
  <c r="O918" i="1"/>
  <c r="P918" i="1" s="1"/>
  <c r="O907" i="1"/>
  <c r="P907" i="1" s="1"/>
  <c r="O464" i="1"/>
  <c r="P464" i="1" s="1"/>
  <c r="O433" i="1"/>
  <c r="P433" i="1" s="1"/>
  <c r="O401" i="1"/>
  <c r="P401" i="1" s="1"/>
  <c r="O367" i="1"/>
  <c r="P367" i="1" s="1"/>
  <c r="O304" i="1"/>
  <c r="P304" i="1" s="1"/>
  <c r="O270" i="1"/>
  <c r="P270" i="1" s="1"/>
  <c r="O240" i="1"/>
  <c r="P240" i="1" s="1"/>
  <c r="O208" i="1"/>
  <c r="P208" i="1" s="1"/>
  <c r="O175" i="1"/>
  <c r="P175" i="1" s="1"/>
  <c r="O144" i="1"/>
  <c r="P144" i="1" s="1"/>
  <c r="O53" i="1"/>
  <c r="P53" i="1" s="1"/>
  <c r="P1374" i="1"/>
  <c r="O1374" i="1"/>
  <c r="O1346" i="1"/>
  <c r="P1346" i="1" s="1"/>
  <c r="P1330" i="1"/>
  <c r="O1330" i="1"/>
  <c r="O1314" i="1"/>
  <c r="P1314" i="1" s="1"/>
  <c r="P1294" i="1"/>
  <c r="O1294" i="1"/>
  <c r="O1278" i="1"/>
  <c r="P1278" i="1" s="1"/>
  <c r="P1266" i="1"/>
  <c r="O1266" i="1"/>
  <c r="O1150" i="1"/>
  <c r="P1150" i="1" s="1"/>
  <c r="P1134" i="1"/>
  <c r="O1134" i="1"/>
  <c r="O1118" i="1"/>
  <c r="P1118" i="1" s="1"/>
  <c r="P1090" i="1"/>
  <c r="O1090" i="1"/>
  <c r="O1086" i="1"/>
  <c r="P1086" i="1" s="1"/>
  <c r="P1074" i="1"/>
  <c r="O1074" i="1"/>
  <c r="O1070" i="1"/>
  <c r="P1070" i="1" s="1"/>
  <c r="P1058" i="1"/>
  <c r="O1058" i="1"/>
  <c r="O1054" i="1"/>
  <c r="P1054" i="1" s="1"/>
  <c r="P1042" i="1"/>
  <c r="O1042" i="1"/>
  <c r="O1038" i="1"/>
  <c r="P1038" i="1" s="1"/>
  <c r="P1026" i="1"/>
  <c r="O1026" i="1"/>
  <c r="O1022" i="1"/>
  <c r="P1022" i="1" s="1"/>
  <c r="P1010" i="1"/>
  <c r="O1010" i="1"/>
  <c r="O1006" i="1"/>
  <c r="P1006" i="1" s="1"/>
  <c r="P994" i="1"/>
  <c r="O994" i="1"/>
  <c r="O990" i="1"/>
  <c r="P990" i="1" s="1"/>
  <c r="P978" i="1"/>
  <c r="O978" i="1"/>
  <c r="O974" i="1"/>
  <c r="P974" i="1" s="1"/>
  <c r="P962" i="1"/>
  <c r="O962" i="1"/>
  <c r="O958" i="1"/>
  <c r="P958" i="1" s="1"/>
  <c r="P946" i="1"/>
  <c r="O946" i="1"/>
  <c r="O942" i="1"/>
  <c r="P942" i="1" s="1"/>
  <c r="P930" i="1"/>
  <c r="O930" i="1"/>
  <c r="O926" i="1"/>
  <c r="P926" i="1" s="1"/>
  <c r="P914" i="1"/>
  <c r="O914" i="1"/>
  <c r="O910" i="1"/>
  <c r="P910" i="1" s="1"/>
  <c r="P902" i="1"/>
  <c r="O902" i="1"/>
  <c r="O894" i="1"/>
  <c r="P894" i="1" s="1"/>
  <c r="P886" i="1"/>
  <c r="O886" i="1"/>
  <c r="O878" i="1"/>
  <c r="P878" i="1" s="1"/>
  <c r="P870" i="1"/>
  <c r="O870" i="1"/>
  <c r="O862" i="1"/>
  <c r="P862" i="1" s="1"/>
  <c r="P854" i="1"/>
  <c r="O854" i="1"/>
  <c r="O846" i="1"/>
  <c r="P846" i="1" s="1"/>
  <c r="P838" i="1"/>
  <c r="O838" i="1"/>
  <c r="O830" i="1"/>
  <c r="P830" i="1" s="1"/>
  <c r="P822" i="1"/>
  <c r="O822" i="1"/>
  <c r="O814" i="1"/>
  <c r="P814" i="1" s="1"/>
  <c r="P806" i="1"/>
  <c r="O806" i="1"/>
  <c r="O798" i="1"/>
  <c r="P798" i="1" s="1"/>
  <c r="P790" i="1"/>
  <c r="O790" i="1"/>
  <c r="O782" i="1"/>
  <c r="P782" i="1" s="1"/>
  <c r="P774" i="1"/>
  <c r="O774" i="1"/>
  <c r="O766" i="1"/>
  <c r="P766" i="1" s="1"/>
  <c r="P758" i="1"/>
  <c r="O758" i="1"/>
  <c r="O750" i="1"/>
  <c r="P750" i="1" s="1"/>
  <c r="P742" i="1"/>
  <c r="O742" i="1"/>
  <c r="O734" i="1"/>
  <c r="P734" i="1" s="1"/>
  <c r="O726" i="1"/>
  <c r="P726" i="1" s="1"/>
  <c r="O718" i="1"/>
  <c r="P718" i="1" s="1"/>
  <c r="O711" i="1"/>
  <c r="P711" i="1" s="1"/>
  <c r="O703" i="1"/>
  <c r="P703" i="1" s="1"/>
  <c r="O695" i="1"/>
  <c r="P695" i="1" s="1"/>
  <c r="O687" i="1"/>
  <c r="P687" i="1" s="1"/>
  <c r="O679" i="1"/>
  <c r="P679" i="1" s="1"/>
  <c r="O670" i="1"/>
  <c r="P670" i="1" s="1"/>
  <c r="O662" i="1"/>
  <c r="P662" i="1" s="1"/>
  <c r="O654" i="1"/>
  <c r="P654" i="1" s="1"/>
  <c r="G30" i="3" s="1"/>
  <c r="J30" i="3" s="1"/>
  <c r="O646" i="1"/>
  <c r="P646" i="1" s="1"/>
  <c r="H31" i="3" s="1"/>
  <c r="I31" i="3" s="1"/>
  <c r="O638" i="1"/>
  <c r="P638" i="1" s="1"/>
  <c r="O630" i="1"/>
  <c r="P630" i="1" s="1"/>
  <c r="O622" i="1"/>
  <c r="P622" i="1" s="1"/>
  <c r="O614" i="1"/>
  <c r="P614" i="1" s="1"/>
  <c r="O605" i="1"/>
  <c r="P605" i="1" s="1"/>
  <c r="O574" i="1"/>
  <c r="P574" i="1" s="1"/>
  <c r="O565" i="1"/>
  <c r="P565" i="1" s="1"/>
  <c r="O557" i="1"/>
  <c r="P557" i="1" s="1"/>
  <c r="O549" i="1"/>
  <c r="P549" i="1" s="1"/>
  <c r="O541" i="1"/>
  <c r="P541" i="1" s="1"/>
  <c r="O533" i="1"/>
  <c r="P533" i="1" s="1"/>
  <c r="O525" i="1"/>
  <c r="P525" i="1" s="1"/>
  <c r="O517" i="1"/>
  <c r="P517" i="1" s="1"/>
  <c r="O509" i="1"/>
  <c r="P509" i="1" s="1"/>
  <c r="O501" i="1"/>
  <c r="P501" i="1" s="1"/>
  <c r="O493" i="1"/>
  <c r="P493" i="1" s="1"/>
  <c r="O485" i="1"/>
  <c r="P485" i="1" s="1"/>
  <c r="O473" i="1"/>
  <c r="P473" i="1" s="1"/>
  <c r="O468" i="1"/>
  <c r="P468" i="1" s="1"/>
  <c r="O456" i="1"/>
  <c r="P456" i="1" s="1"/>
  <c r="O440" i="1"/>
  <c r="P440" i="1" s="1"/>
  <c r="O425" i="1"/>
  <c r="P425" i="1" s="1"/>
  <c r="O421" i="1"/>
  <c r="P421" i="1" s="1"/>
  <c r="O409" i="1"/>
  <c r="P409" i="1" s="1"/>
  <c r="O405" i="1"/>
  <c r="P405" i="1" s="1"/>
  <c r="O391" i="1"/>
  <c r="P391" i="1" s="1"/>
  <c r="O387" i="1"/>
  <c r="P387" i="1" s="1"/>
  <c r="O375" i="1"/>
  <c r="P375" i="1" s="1"/>
  <c r="O371" i="1"/>
  <c r="P371" i="1" s="1"/>
  <c r="O359" i="1"/>
  <c r="P359" i="1" s="1"/>
  <c r="O355" i="1"/>
  <c r="P355" i="1" s="1"/>
  <c r="O343" i="1"/>
  <c r="O339" i="1"/>
  <c r="P339" i="1" s="1"/>
  <c r="O327" i="1"/>
  <c r="P327" i="1" s="1"/>
  <c r="O323" i="1"/>
  <c r="P323" i="1" s="1"/>
  <c r="O312" i="1"/>
  <c r="P312" i="1" s="1"/>
  <c r="O308" i="1"/>
  <c r="P308" i="1" s="1"/>
  <c r="O294" i="1"/>
  <c r="P294" i="1" s="1"/>
  <c r="O290" i="1"/>
  <c r="P290" i="1" s="1"/>
  <c r="O278" i="1"/>
  <c r="P278" i="1" s="1"/>
  <c r="P274" i="1"/>
  <c r="O274" i="1"/>
  <c r="O262" i="1"/>
  <c r="P262" i="1" s="1"/>
  <c r="O258" i="1"/>
  <c r="P258" i="1" s="1"/>
  <c r="O244" i="1"/>
  <c r="P244" i="1" s="1"/>
  <c r="O232" i="1"/>
  <c r="P232" i="1" s="1"/>
  <c r="O228" i="1"/>
  <c r="P228" i="1" s="1"/>
  <c r="O216" i="1"/>
  <c r="P216" i="1" s="1"/>
  <c r="O212" i="1"/>
  <c r="O199" i="1"/>
  <c r="P199" i="1" s="1"/>
  <c r="O195" i="1"/>
  <c r="P195" i="1" s="1"/>
  <c r="O183" i="1"/>
  <c r="P183" i="1" s="1"/>
  <c r="O179" i="1"/>
  <c r="P179" i="1" s="1"/>
  <c r="P1405" i="1"/>
  <c r="O1405" i="1"/>
  <c r="P1401" i="1"/>
  <c r="O1401" i="1"/>
  <c r="P1389" i="1"/>
  <c r="O1389" i="1"/>
  <c r="P1385" i="1"/>
  <c r="O1385" i="1"/>
  <c r="P1373" i="1"/>
  <c r="O1373" i="1"/>
  <c r="P1369" i="1"/>
  <c r="O1369" i="1"/>
  <c r="P1357" i="1"/>
  <c r="O1357" i="1"/>
  <c r="P1353" i="1"/>
  <c r="O1353" i="1"/>
  <c r="P1341" i="1"/>
  <c r="O1341" i="1"/>
  <c r="P1337" i="1"/>
  <c r="O1337" i="1"/>
  <c r="P1325" i="1"/>
  <c r="O1325" i="1"/>
  <c r="P1321" i="1"/>
  <c r="O1321" i="1"/>
  <c r="P1309" i="1"/>
  <c r="O1309" i="1"/>
  <c r="P1305" i="1"/>
  <c r="O1305" i="1"/>
  <c r="P1293" i="1"/>
  <c r="O1293" i="1"/>
  <c r="P1289" i="1"/>
  <c r="O1289" i="1"/>
  <c r="P1277" i="1"/>
  <c r="O1277" i="1"/>
  <c r="P1273" i="1"/>
  <c r="O1273" i="1"/>
  <c r="P1261" i="1"/>
  <c r="O1261" i="1"/>
  <c r="P1257" i="1"/>
  <c r="O1257" i="1"/>
  <c r="P1245" i="1"/>
  <c r="O1245" i="1"/>
  <c r="P1241" i="1"/>
  <c r="O1241" i="1"/>
  <c r="P1229" i="1"/>
  <c r="O1229" i="1"/>
  <c r="P1225" i="1"/>
  <c r="O1225" i="1"/>
  <c r="P1213" i="1"/>
  <c r="O1213" i="1"/>
  <c r="P1209" i="1"/>
  <c r="O1209" i="1"/>
  <c r="P1197" i="1"/>
  <c r="O1197" i="1"/>
  <c r="P1193" i="1"/>
  <c r="O1193" i="1"/>
  <c r="P1181" i="1"/>
  <c r="O1181" i="1"/>
  <c r="P1177" i="1"/>
  <c r="O1177" i="1"/>
  <c r="P1165" i="1"/>
  <c r="O1165" i="1"/>
  <c r="P1161" i="1"/>
  <c r="O1161" i="1"/>
  <c r="P1149" i="1"/>
  <c r="O1149" i="1"/>
  <c r="P1145" i="1"/>
  <c r="O1145" i="1"/>
  <c r="P1133" i="1"/>
  <c r="O1133" i="1"/>
  <c r="P1129" i="1"/>
  <c r="O1129" i="1"/>
  <c r="P1117" i="1"/>
  <c r="O1117" i="1"/>
  <c r="P1113" i="1"/>
  <c r="O1113" i="1"/>
  <c r="P1101" i="1"/>
  <c r="O1101" i="1"/>
  <c r="P1097" i="1"/>
  <c r="O1097" i="1"/>
  <c r="P1085" i="1"/>
  <c r="O1085" i="1"/>
  <c r="P1081" i="1"/>
  <c r="O1081" i="1"/>
  <c r="P1069" i="1"/>
  <c r="O1069" i="1"/>
  <c r="P1065" i="1"/>
  <c r="O1065" i="1"/>
  <c r="P1053" i="1"/>
  <c r="O1053" i="1"/>
  <c r="P1049" i="1"/>
  <c r="O1049" i="1"/>
  <c r="P1037" i="1"/>
  <c r="O1037" i="1"/>
  <c r="P1033" i="1"/>
  <c r="O1033" i="1"/>
  <c r="P1021" i="1"/>
  <c r="O1021" i="1"/>
  <c r="P1017" i="1"/>
  <c r="O1017" i="1"/>
  <c r="P1005" i="1"/>
  <c r="O1005" i="1"/>
  <c r="P1001" i="1"/>
  <c r="O1001" i="1"/>
  <c r="P989" i="1"/>
  <c r="O989" i="1"/>
  <c r="P985" i="1"/>
  <c r="O985" i="1"/>
  <c r="P973" i="1"/>
  <c r="O973" i="1"/>
  <c r="P969" i="1"/>
  <c r="O969" i="1"/>
  <c r="P957" i="1"/>
  <c r="O957" i="1"/>
  <c r="P953" i="1"/>
  <c r="O953" i="1"/>
  <c r="P941" i="1"/>
  <c r="O941" i="1"/>
  <c r="P937" i="1"/>
  <c r="O937" i="1"/>
  <c r="P925" i="1"/>
  <c r="O925" i="1"/>
  <c r="P921" i="1"/>
  <c r="O921" i="1"/>
  <c r="P909" i="1"/>
  <c r="O909" i="1"/>
  <c r="P905" i="1"/>
  <c r="O905" i="1"/>
  <c r="P897" i="1"/>
  <c r="O897" i="1"/>
  <c r="P889" i="1"/>
  <c r="O889" i="1"/>
  <c r="P881" i="1"/>
  <c r="O881" i="1"/>
  <c r="P873" i="1"/>
  <c r="O873" i="1"/>
  <c r="P865" i="1"/>
  <c r="O865" i="1"/>
  <c r="P857" i="1"/>
  <c r="O857" i="1"/>
  <c r="P849" i="1"/>
  <c r="O849" i="1"/>
  <c r="P841" i="1"/>
  <c r="O841" i="1"/>
  <c r="P833" i="1"/>
  <c r="O833" i="1"/>
  <c r="P825" i="1"/>
  <c r="O825" i="1"/>
  <c r="P817" i="1"/>
  <c r="O817" i="1"/>
  <c r="P809" i="1"/>
  <c r="O809" i="1"/>
  <c r="P801" i="1"/>
  <c r="O801" i="1"/>
  <c r="P793" i="1"/>
  <c r="O793" i="1"/>
  <c r="P785" i="1"/>
  <c r="O785" i="1"/>
  <c r="P777" i="1"/>
  <c r="O777" i="1"/>
  <c r="P769" i="1"/>
  <c r="O769" i="1"/>
  <c r="P761" i="1"/>
  <c r="O761" i="1"/>
  <c r="P753" i="1"/>
  <c r="O753" i="1"/>
  <c r="P745" i="1"/>
  <c r="O745" i="1"/>
  <c r="P737" i="1"/>
  <c r="O737" i="1"/>
  <c r="P729" i="1"/>
  <c r="O729" i="1"/>
  <c r="O721" i="1"/>
  <c r="P721" i="1" s="1"/>
  <c r="O714" i="1"/>
  <c r="P714" i="1" s="1"/>
  <c r="O706" i="1"/>
  <c r="P706" i="1" s="1"/>
  <c r="O698" i="1"/>
  <c r="P698" i="1" s="1"/>
  <c r="O690" i="1"/>
  <c r="P690" i="1" s="1"/>
  <c r="O682" i="1"/>
  <c r="P682" i="1" s="1"/>
  <c r="O665" i="1"/>
  <c r="P665" i="1" s="1"/>
  <c r="O657" i="1"/>
  <c r="P657" i="1" s="1"/>
  <c r="O649" i="1"/>
  <c r="P649" i="1" s="1"/>
  <c r="O641" i="1"/>
  <c r="P641" i="1" s="1"/>
  <c r="O633" i="1"/>
  <c r="P633" i="1" s="1"/>
  <c r="O625" i="1"/>
  <c r="P625" i="1" s="1"/>
  <c r="O617" i="1"/>
  <c r="P617" i="1" s="1"/>
  <c r="O609" i="1"/>
  <c r="P609" i="1" s="1"/>
  <c r="G20" i="3" s="1"/>
  <c r="J20" i="3" s="1"/>
  <c r="O600" i="1"/>
  <c r="P600" i="1" s="1"/>
  <c r="O577" i="1"/>
  <c r="P577" i="1" s="1"/>
  <c r="O568" i="1"/>
  <c r="P568" i="1" s="1"/>
  <c r="O560" i="1"/>
  <c r="P560" i="1" s="1"/>
  <c r="O552" i="1"/>
  <c r="O544" i="1"/>
  <c r="P544" i="1" s="1"/>
  <c r="O536" i="1"/>
  <c r="P536" i="1" s="1"/>
  <c r="O528" i="1"/>
  <c r="P528" i="1" s="1"/>
  <c r="O520" i="1"/>
  <c r="P520" i="1" s="1"/>
  <c r="O512" i="1"/>
  <c r="P512" i="1" s="1"/>
  <c r="O504" i="1"/>
  <c r="P504" i="1" s="1"/>
  <c r="O496" i="1"/>
  <c r="P496" i="1" s="1"/>
  <c r="O488" i="1"/>
  <c r="P488" i="1" s="1"/>
  <c r="O484" i="1"/>
  <c r="P484" i="1" s="1"/>
  <c r="O480" i="1"/>
  <c r="P480" i="1" s="1"/>
  <c r="O476" i="1"/>
  <c r="P476" i="1" s="1"/>
  <c r="O472" i="1"/>
  <c r="P472" i="1" s="1"/>
  <c r="O467" i="1"/>
  <c r="P467" i="1" s="1"/>
  <c r="O463" i="1"/>
  <c r="P463" i="1" s="1"/>
  <c r="O459" i="1"/>
  <c r="P459" i="1" s="1"/>
  <c r="O455" i="1"/>
  <c r="P455" i="1" s="1"/>
  <c r="O451" i="1"/>
  <c r="P451" i="1" s="1"/>
  <c r="O447" i="1"/>
  <c r="P447" i="1" s="1"/>
  <c r="O443" i="1"/>
  <c r="P443" i="1" s="1"/>
  <c r="O439" i="1"/>
  <c r="P439" i="1" s="1"/>
  <c r="O436" i="1"/>
  <c r="P436" i="1" s="1"/>
  <c r="O432" i="1"/>
  <c r="P432" i="1" s="1"/>
  <c r="O428" i="1"/>
  <c r="P428" i="1" s="1"/>
  <c r="O424" i="1"/>
  <c r="P424" i="1" s="1"/>
  <c r="O420" i="1"/>
  <c r="P420" i="1" s="1"/>
  <c r="O416" i="1"/>
  <c r="P416" i="1" s="1"/>
  <c r="O412" i="1"/>
  <c r="P412" i="1" s="1"/>
  <c r="O408" i="1"/>
  <c r="P408" i="1" s="1"/>
  <c r="O404" i="1"/>
  <c r="P404" i="1" s="1"/>
  <c r="O400" i="1"/>
  <c r="P400" i="1" s="1"/>
  <c r="O396" i="1"/>
  <c r="P396" i="1" s="1"/>
  <c r="O390" i="1"/>
  <c r="P390" i="1" s="1"/>
  <c r="O386" i="1"/>
  <c r="O378" i="1"/>
  <c r="P378" i="1" s="1"/>
  <c r="O374" i="1"/>
  <c r="P374" i="1" s="1"/>
  <c r="O370" i="1"/>
  <c r="P370" i="1" s="1"/>
  <c r="O366" i="1"/>
  <c r="P366" i="1" s="1"/>
  <c r="O362" i="1"/>
  <c r="P362" i="1" s="1"/>
  <c r="O358" i="1"/>
  <c r="P358" i="1" s="1"/>
  <c r="O354" i="1"/>
  <c r="P354" i="1" s="1"/>
  <c r="O350" i="1"/>
  <c r="P350" i="1" s="1"/>
  <c r="O346" i="1"/>
  <c r="P346" i="1" s="1"/>
  <c r="O342" i="1"/>
  <c r="P342" i="1" s="1"/>
  <c r="O338" i="1"/>
  <c r="P338" i="1" s="1"/>
  <c r="O334" i="1"/>
  <c r="P334" i="1" s="1"/>
  <c r="O330" i="1"/>
  <c r="P330" i="1" s="1"/>
  <c r="O326" i="1"/>
  <c r="P326" i="1" s="1"/>
  <c r="O322" i="1"/>
  <c r="P322" i="1" s="1"/>
  <c r="O318" i="1"/>
  <c r="P318" i="1" s="1"/>
  <c r="O314" i="1"/>
  <c r="P314" i="1" s="1"/>
  <c r="O311" i="1"/>
  <c r="P311" i="1" s="1"/>
  <c r="O307" i="1"/>
  <c r="P307" i="1" s="1"/>
  <c r="O303" i="1"/>
  <c r="P303" i="1" s="1"/>
  <c r="O297" i="1"/>
  <c r="P297" i="1" s="1"/>
  <c r="O293" i="1"/>
  <c r="P293" i="1" s="1"/>
  <c r="O289" i="1"/>
  <c r="P289" i="1" s="1"/>
  <c r="G22" i="3" s="1"/>
  <c r="J22" i="3" s="1"/>
  <c r="O285" i="1"/>
  <c r="P285" i="1" s="1"/>
  <c r="O281" i="1"/>
  <c r="P281" i="1" s="1"/>
  <c r="O277" i="1"/>
  <c r="P277" i="1" s="1"/>
  <c r="O273" i="1"/>
  <c r="P273" i="1" s="1"/>
  <c r="O269" i="1"/>
  <c r="P269" i="1" s="1"/>
  <c r="O265" i="1"/>
  <c r="P265" i="1" s="1"/>
  <c r="O261" i="1"/>
  <c r="P261" i="1" s="1"/>
  <c r="O257" i="1"/>
  <c r="P257" i="1" s="1"/>
  <c r="O253" i="1"/>
  <c r="P253" i="1" s="1"/>
  <c r="O249" i="1"/>
  <c r="P249" i="1" s="1"/>
  <c r="O247" i="1"/>
  <c r="P247" i="1" s="1"/>
  <c r="O243" i="1"/>
  <c r="P243" i="1" s="1"/>
  <c r="O239" i="1"/>
  <c r="P239" i="1" s="1"/>
  <c r="O235" i="1"/>
  <c r="P235" i="1" s="1"/>
  <c r="O231" i="1"/>
  <c r="P231" i="1" s="1"/>
  <c r="G19" i="3" s="1"/>
  <c r="J19" i="3" s="1"/>
  <c r="O227" i="1"/>
  <c r="P227" i="1" s="1"/>
  <c r="O223" i="1"/>
  <c r="P223" i="1" s="1"/>
  <c r="O219" i="1"/>
  <c r="P219" i="1" s="1"/>
  <c r="O215" i="1"/>
  <c r="P215" i="1" s="1"/>
  <c r="O211" i="1"/>
  <c r="P211" i="1" s="1"/>
  <c r="O207" i="1"/>
  <c r="P207" i="1" s="1"/>
  <c r="O203" i="1"/>
  <c r="P203" i="1" s="1"/>
  <c r="O198" i="1"/>
  <c r="P198" i="1" s="1"/>
  <c r="O194" i="1"/>
  <c r="P194" i="1" s="1"/>
  <c r="O190" i="1"/>
  <c r="P190" i="1" s="1"/>
  <c r="O186" i="1"/>
  <c r="O182" i="1"/>
  <c r="P182" i="1" s="1"/>
  <c r="O178" i="1"/>
  <c r="P178" i="1" s="1"/>
  <c r="O174" i="1"/>
  <c r="P174" i="1" s="1"/>
  <c r="O170" i="1"/>
  <c r="P170" i="1" s="1"/>
  <c r="G12" i="3" s="1"/>
  <c r="J12" i="3" s="1"/>
  <c r="O166" i="1"/>
  <c r="P166" i="1" s="1"/>
  <c r="O162" i="1"/>
  <c r="P162" i="1" s="1"/>
  <c r="O158" i="1"/>
  <c r="P158" i="1" s="1"/>
  <c r="O154" i="1"/>
  <c r="P154" i="1" s="1"/>
  <c r="O150" i="1"/>
  <c r="P150" i="1" s="1"/>
  <c r="O143" i="1"/>
  <c r="P143" i="1" s="1"/>
  <c r="O139" i="1"/>
  <c r="P139" i="1" s="1"/>
  <c r="O135" i="1"/>
  <c r="P135" i="1" s="1"/>
  <c r="O131" i="1"/>
  <c r="P131" i="1" s="1"/>
  <c r="O127" i="1"/>
  <c r="P127" i="1" s="1"/>
  <c r="O122" i="1"/>
  <c r="P122" i="1" s="1"/>
  <c r="O118" i="1"/>
  <c r="P118" i="1" s="1"/>
  <c r="O113" i="1"/>
  <c r="P113" i="1" s="1"/>
  <c r="O109" i="1"/>
  <c r="P109" i="1" s="1"/>
  <c r="O105" i="1"/>
  <c r="P105" i="1" s="1"/>
  <c r="O99" i="1"/>
  <c r="P99" i="1" s="1"/>
  <c r="O95" i="1"/>
  <c r="P95" i="1" s="1"/>
  <c r="O91" i="1"/>
  <c r="P91" i="1" s="1"/>
  <c r="O87" i="1"/>
  <c r="P87" i="1" s="1"/>
  <c r="O83" i="1"/>
  <c r="P83" i="1" s="1"/>
  <c r="O79" i="1"/>
  <c r="P79" i="1" s="1"/>
  <c r="O75" i="1"/>
  <c r="P75" i="1" s="1"/>
  <c r="O67" i="1"/>
  <c r="P67" i="1" s="1"/>
  <c r="O61" i="1"/>
  <c r="P61" i="1" s="1"/>
  <c r="O56" i="1"/>
  <c r="P56" i="1" s="1"/>
  <c r="O52" i="1"/>
  <c r="P52" i="1" s="1"/>
  <c r="O48" i="1"/>
  <c r="P48" i="1" s="1"/>
  <c r="O44" i="1"/>
  <c r="P44" i="1" s="1"/>
  <c r="O40" i="1"/>
  <c r="P40" i="1" s="1"/>
  <c r="O1826" i="1"/>
  <c r="P1826" i="1" s="1"/>
  <c r="O1822" i="1"/>
  <c r="P1822" i="1" s="1"/>
  <c r="O1818" i="1"/>
  <c r="P1818" i="1" s="1"/>
  <c r="O1814" i="1"/>
  <c r="P1814" i="1" s="1"/>
  <c r="O1810" i="1"/>
  <c r="P1810" i="1" s="1"/>
  <c r="O1806" i="1"/>
  <c r="P1806" i="1" s="1"/>
  <c r="O1802" i="1"/>
  <c r="P1802" i="1" s="1"/>
  <c r="O1798" i="1"/>
  <c r="P1798" i="1" s="1"/>
  <c r="O1794" i="1"/>
  <c r="P1794" i="1" s="1"/>
  <c r="O1790" i="1"/>
  <c r="P1790" i="1" s="1"/>
  <c r="O1786" i="1"/>
  <c r="P1786" i="1" s="1"/>
  <c r="O1782" i="1"/>
  <c r="P1782" i="1" s="1"/>
  <c r="O1778" i="1"/>
  <c r="P1778" i="1" s="1"/>
  <c r="O1774" i="1"/>
  <c r="P1774" i="1" s="1"/>
  <c r="O1770" i="1"/>
  <c r="P1770" i="1" s="1"/>
  <c r="O1766" i="1"/>
  <c r="P1766" i="1" s="1"/>
  <c r="O1762" i="1"/>
  <c r="P1762" i="1" s="1"/>
  <c r="O1758" i="1"/>
  <c r="P1758" i="1" s="1"/>
  <c r="O1754" i="1"/>
  <c r="P1754" i="1" s="1"/>
  <c r="O1750" i="1"/>
  <c r="P1750" i="1" s="1"/>
  <c r="O1746" i="1"/>
  <c r="P1746" i="1" s="1"/>
  <c r="O1742" i="1"/>
  <c r="P1742" i="1" s="1"/>
  <c r="O1738" i="1"/>
  <c r="P1738" i="1" s="1"/>
  <c r="O1734" i="1"/>
  <c r="P1734" i="1" s="1"/>
  <c r="O1730" i="1"/>
  <c r="P1730" i="1" s="1"/>
  <c r="O1726" i="1"/>
  <c r="P1726" i="1" s="1"/>
  <c r="O1722" i="1"/>
  <c r="P1722" i="1" s="1"/>
  <c r="O1718" i="1"/>
  <c r="P1718" i="1" s="1"/>
  <c r="O1714" i="1"/>
  <c r="P1714" i="1" s="1"/>
  <c r="O1710" i="1"/>
  <c r="P1710" i="1" s="1"/>
  <c r="O1706" i="1"/>
  <c r="P1706" i="1" s="1"/>
  <c r="O1702" i="1"/>
  <c r="P1702" i="1" s="1"/>
  <c r="O1698" i="1"/>
  <c r="P1698" i="1" s="1"/>
  <c r="O1694" i="1"/>
  <c r="P1694" i="1" s="1"/>
  <c r="O1690" i="1"/>
  <c r="P1690" i="1" s="1"/>
  <c r="O1686" i="1"/>
  <c r="P1686" i="1" s="1"/>
  <c r="O1682" i="1"/>
  <c r="P1682" i="1" s="1"/>
  <c r="O1678" i="1"/>
  <c r="P1678" i="1" s="1"/>
  <c r="O1674" i="1"/>
  <c r="P1674" i="1" s="1"/>
  <c r="O1670" i="1"/>
  <c r="P1670" i="1" s="1"/>
  <c r="O1666" i="1"/>
  <c r="P1666" i="1" s="1"/>
  <c r="O1662" i="1"/>
  <c r="P1662" i="1" s="1"/>
  <c r="O1658" i="1"/>
  <c r="P1658" i="1" s="1"/>
  <c r="O1654" i="1"/>
  <c r="P1654" i="1" s="1"/>
  <c r="O1650" i="1"/>
  <c r="P1650" i="1" s="1"/>
  <c r="O1646" i="1"/>
  <c r="P1646" i="1" s="1"/>
  <c r="O1642" i="1"/>
  <c r="P1642" i="1" s="1"/>
  <c r="O1638" i="1"/>
  <c r="P1638" i="1" s="1"/>
  <c r="O1634" i="1"/>
  <c r="P1634" i="1" s="1"/>
  <c r="O1630" i="1"/>
  <c r="P1630" i="1" s="1"/>
  <c r="O1626" i="1"/>
  <c r="P1626" i="1" s="1"/>
  <c r="O1622" i="1"/>
  <c r="P1622" i="1" s="1"/>
  <c r="O1618" i="1"/>
  <c r="P1618" i="1" s="1"/>
  <c r="O1614" i="1"/>
  <c r="P1614" i="1" s="1"/>
  <c r="O1610" i="1"/>
  <c r="P1610" i="1" s="1"/>
  <c r="O1606" i="1"/>
  <c r="P1606" i="1" s="1"/>
  <c r="O1602" i="1"/>
  <c r="P1602" i="1" s="1"/>
  <c r="O1598" i="1"/>
  <c r="P1598" i="1" s="1"/>
  <c r="O1594" i="1"/>
  <c r="P1594" i="1" s="1"/>
  <c r="O1590" i="1"/>
  <c r="P1590" i="1" s="1"/>
  <c r="O1586" i="1"/>
  <c r="P1586" i="1" s="1"/>
  <c r="O1582" i="1"/>
  <c r="P1582" i="1" s="1"/>
  <c r="O1578" i="1"/>
  <c r="P1578" i="1" s="1"/>
  <c r="O1574" i="1"/>
  <c r="P1574" i="1" s="1"/>
  <c r="O1570" i="1"/>
  <c r="P1570" i="1" s="1"/>
  <c r="O1566" i="1"/>
  <c r="P1566" i="1" s="1"/>
  <c r="O1562" i="1"/>
  <c r="P1562" i="1" s="1"/>
  <c r="O1558" i="1"/>
  <c r="P1558" i="1" s="1"/>
  <c r="O1554" i="1"/>
  <c r="P1554" i="1" s="1"/>
  <c r="O1550" i="1"/>
  <c r="P1550" i="1" s="1"/>
  <c r="O1546" i="1"/>
  <c r="P1546" i="1" s="1"/>
  <c r="O1542" i="1"/>
  <c r="P1542" i="1" s="1"/>
  <c r="O1538" i="1"/>
  <c r="P1538" i="1" s="1"/>
  <c r="O1534" i="1"/>
  <c r="P1534" i="1" s="1"/>
  <c r="O1530" i="1"/>
  <c r="P1530" i="1" s="1"/>
  <c r="O1526" i="1"/>
  <c r="P1526" i="1" s="1"/>
  <c r="O1522" i="1"/>
  <c r="P1522" i="1" s="1"/>
  <c r="O1518" i="1"/>
  <c r="P1518" i="1" s="1"/>
  <c r="O1514" i="1"/>
  <c r="P1514" i="1" s="1"/>
  <c r="O1510" i="1"/>
  <c r="P1510" i="1" s="1"/>
  <c r="O1506" i="1"/>
  <c r="P1506" i="1" s="1"/>
  <c r="O1502" i="1"/>
  <c r="P1502" i="1" s="1"/>
  <c r="O1498" i="1"/>
  <c r="P1498" i="1" s="1"/>
  <c r="O1494" i="1"/>
  <c r="P1494" i="1" s="1"/>
  <c r="O1490" i="1"/>
  <c r="P1490" i="1" s="1"/>
  <c r="O1486" i="1"/>
  <c r="P1486" i="1" s="1"/>
  <c r="O1482" i="1"/>
  <c r="P1482" i="1" s="1"/>
  <c r="O1478" i="1"/>
  <c r="P1478" i="1" s="1"/>
  <c r="O1474" i="1"/>
  <c r="P1474" i="1" s="1"/>
  <c r="O1470" i="1"/>
  <c r="P1470" i="1" s="1"/>
  <c r="O1466" i="1"/>
  <c r="P1466" i="1" s="1"/>
  <c r="O1462" i="1"/>
  <c r="P1462" i="1" s="1"/>
  <c r="O1458" i="1"/>
  <c r="P1458" i="1" s="1"/>
  <c r="O1454" i="1"/>
  <c r="P1454" i="1" s="1"/>
  <c r="O1449" i="1"/>
  <c r="P1449" i="1" s="1"/>
  <c r="O1443" i="1"/>
  <c r="P1443" i="1" s="1"/>
  <c r="O1438" i="1"/>
  <c r="P1438" i="1" s="1"/>
  <c r="O1433" i="1"/>
  <c r="P1433" i="1" s="1"/>
  <c r="O1427" i="1"/>
  <c r="P1427" i="1" s="1"/>
  <c r="O1422" i="1"/>
  <c r="P1422" i="1" s="1"/>
  <c r="O1417" i="1"/>
  <c r="P1417" i="1" s="1"/>
  <c r="O1411" i="1"/>
  <c r="P1411" i="1" s="1"/>
  <c r="O1406" i="1"/>
  <c r="P1406" i="1" s="1"/>
  <c r="O1397" i="1"/>
  <c r="P1397" i="1" s="1"/>
  <c r="O1386" i="1"/>
  <c r="P1386" i="1" s="1"/>
  <c r="O1375" i="1"/>
  <c r="P1375" i="1" s="1"/>
  <c r="O1365" i="1"/>
  <c r="P1365" i="1" s="1"/>
  <c r="O1354" i="1"/>
  <c r="P1354" i="1" s="1"/>
  <c r="O1343" i="1"/>
  <c r="P1343" i="1" s="1"/>
  <c r="O1333" i="1"/>
  <c r="P1333" i="1" s="1"/>
  <c r="O1322" i="1"/>
  <c r="P1322" i="1" s="1"/>
  <c r="O1311" i="1"/>
  <c r="P1311" i="1" s="1"/>
  <c r="O1301" i="1"/>
  <c r="P1301" i="1" s="1"/>
  <c r="O1290" i="1"/>
  <c r="P1290" i="1" s="1"/>
  <c r="O1279" i="1"/>
  <c r="P1279" i="1" s="1"/>
  <c r="O1269" i="1"/>
  <c r="P1269" i="1" s="1"/>
  <c r="O1258" i="1"/>
  <c r="P1258" i="1" s="1"/>
  <c r="O1247" i="1"/>
  <c r="P1247" i="1" s="1"/>
  <c r="O1237" i="1"/>
  <c r="P1237" i="1" s="1"/>
  <c r="O1226" i="1"/>
  <c r="P1226" i="1" s="1"/>
  <c r="O1215" i="1"/>
  <c r="P1215" i="1" s="1"/>
  <c r="O1205" i="1"/>
  <c r="P1205" i="1" s="1"/>
  <c r="O1194" i="1"/>
  <c r="P1194" i="1" s="1"/>
  <c r="O1183" i="1"/>
  <c r="P1183" i="1" s="1"/>
  <c r="O1173" i="1"/>
  <c r="P1173" i="1" s="1"/>
  <c r="O1162" i="1"/>
  <c r="P1162" i="1" s="1"/>
  <c r="O1151" i="1"/>
  <c r="P1151" i="1" s="1"/>
  <c r="O1141" i="1"/>
  <c r="P1141" i="1" s="1"/>
  <c r="O1130" i="1"/>
  <c r="P1130" i="1" s="1"/>
  <c r="O1119" i="1"/>
  <c r="P1119" i="1" s="1"/>
  <c r="O1109" i="1"/>
  <c r="P1109" i="1" s="1"/>
  <c r="O1098" i="1"/>
  <c r="P1098" i="1" s="1"/>
  <c r="O1087" i="1"/>
  <c r="P1087" i="1" s="1"/>
  <c r="O1077" i="1"/>
  <c r="P1077" i="1" s="1"/>
  <c r="O1066" i="1"/>
  <c r="P1066" i="1" s="1"/>
  <c r="O1055" i="1"/>
  <c r="P1055" i="1" s="1"/>
  <c r="O1045" i="1"/>
  <c r="P1045" i="1" s="1"/>
  <c r="O1034" i="1"/>
  <c r="P1034" i="1" s="1"/>
  <c r="O1023" i="1"/>
  <c r="P1023" i="1" s="1"/>
  <c r="O1013" i="1"/>
  <c r="P1013" i="1" s="1"/>
  <c r="O1002" i="1"/>
  <c r="P1002" i="1" s="1"/>
  <c r="O991" i="1"/>
  <c r="P991" i="1" s="1"/>
  <c r="O981" i="1"/>
  <c r="P981" i="1" s="1"/>
  <c r="O970" i="1"/>
  <c r="P970" i="1" s="1"/>
  <c r="O959" i="1"/>
  <c r="P959" i="1" s="1"/>
  <c r="O949" i="1"/>
  <c r="P949" i="1" s="1"/>
  <c r="O938" i="1"/>
  <c r="P938" i="1" s="1"/>
  <c r="O927" i="1"/>
  <c r="P927" i="1" s="1"/>
  <c r="O917" i="1"/>
  <c r="P917" i="1" s="1"/>
  <c r="O906" i="1"/>
  <c r="P906" i="1" s="1"/>
  <c r="O890" i="1"/>
  <c r="P890" i="1" s="1"/>
  <c r="O874" i="1"/>
  <c r="P874" i="1" s="1"/>
  <c r="O858" i="1"/>
  <c r="P858" i="1" s="1"/>
  <c r="O842" i="1"/>
  <c r="P842" i="1" s="1"/>
  <c r="O826" i="1"/>
  <c r="P826" i="1" s="1"/>
  <c r="O810" i="1"/>
  <c r="P810" i="1" s="1"/>
  <c r="O794" i="1"/>
  <c r="P794" i="1" s="1"/>
  <c r="O778" i="1"/>
  <c r="P778" i="1" s="1"/>
  <c r="O762" i="1"/>
  <c r="P762" i="1" s="1"/>
  <c r="O746" i="1"/>
  <c r="P746" i="1" s="1"/>
  <c r="O730" i="1"/>
  <c r="P730" i="1" s="1"/>
  <c r="O715" i="1"/>
  <c r="P715" i="1" s="1"/>
  <c r="O699" i="1"/>
  <c r="P699" i="1" s="1"/>
  <c r="O683" i="1"/>
  <c r="P683" i="1" s="1"/>
  <c r="O666" i="1"/>
  <c r="P666" i="1" s="1"/>
  <c r="O650" i="1"/>
  <c r="P650" i="1" s="1"/>
  <c r="O634" i="1"/>
  <c r="P634" i="1" s="1"/>
  <c r="O601" i="1"/>
  <c r="P601" i="1" s="1"/>
  <c r="O569" i="1"/>
  <c r="P569" i="1" s="1"/>
  <c r="O553" i="1"/>
  <c r="P553" i="1" s="1"/>
  <c r="O537" i="1"/>
  <c r="P537" i="1" s="1"/>
  <c r="O521" i="1"/>
  <c r="P521" i="1" s="1"/>
  <c r="O505" i="1"/>
  <c r="P505" i="1" s="1"/>
  <c r="O489" i="1"/>
  <c r="P489" i="1" s="1"/>
  <c r="O460" i="1"/>
  <c r="P460" i="1" s="1"/>
  <c r="O429" i="1"/>
  <c r="P429" i="1" s="1"/>
  <c r="O397" i="1"/>
  <c r="P397" i="1" s="1"/>
  <c r="O363" i="1"/>
  <c r="P363" i="1" s="1"/>
  <c r="O331" i="1"/>
  <c r="P331" i="1" s="1"/>
  <c r="O298" i="1"/>
  <c r="P298" i="1" s="1"/>
  <c r="O266" i="1"/>
  <c r="P266" i="1" s="1"/>
  <c r="O236" i="1"/>
  <c r="P236" i="1" s="1"/>
  <c r="O204" i="1"/>
  <c r="P204" i="1" s="1"/>
  <c r="O171" i="1"/>
  <c r="P171" i="1" s="1"/>
  <c r="G17" i="3" s="1"/>
  <c r="J17" i="3" s="1"/>
  <c r="O140" i="1"/>
  <c r="P140" i="1" s="1"/>
  <c r="O93" i="1"/>
  <c r="P93" i="1" s="1"/>
  <c r="O47" i="1"/>
  <c r="P47" i="1" s="1"/>
  <c r="O1394" i="1"/>
  <c r="P1394" i="1" s="1"/>
  <c r="P1390" i="1"/>
  <c r="O1390" i="1"/>
  <c r="O1378" i="1"/>
  <c r="P1378" i="1" s="1"/>
  <c r="P1362" i="1"/>
  <c r="O1362" i="1"/>
  <c r="O1358" i="1"/>
  <c r="P1358" i="1" s="1"/>
  <c r="P1342" i="1"/>
  <c r="O1342" i="1"/>
  <c r="O1326" i="1"/>
  <c r="P1326" i="1" s="1"/>
  <c r="P1310" i="1"/>
  <c r="O1310" i="1"/>
  <c r="O1298" i="1"/>
  <c r="P1298" i="1" s="1"/>
  <c r="P1282" i="1"/>
  <c r="O1282" i="1"/>
  <c r="O1262" i="1"/>
  <c r="P1262" i="1" s="1"/>
  <c r="P1250" i="1"/>
  <c r="O1250" i="1"/>
  <c r="O1246" i="1"/>
  <c r="P1246" i="1" s="1"/>
  <c r="P1234" i="1"/>
  <c r="O1234" i="1"/>
  <c r="O1230" i="1"/>
  <c r="P1230" i="1" s="1"/>
  <c r="P1218" i="1"/>
  <c r="O1218" i="1"/>
  <c r="O1214" i="1"/>
  <c r="P1214" i="1" s="1"/>
  <c r="P1202" i="1"/>
  <c r="O1202" i="1"/>
  <c r="O1198" i="1"/>
  <c r="P1198" i="1" s="1"/>
  <c r="P1186" i="1"/>
  <c r="O1186" i="1"/>
  <c r="O1182" i="1"/>
  <c r="P1182" i="1" s="1"/>
  <c r="P1170" i="1"/>
  <c r="O1170" i="1"/>
  <c r="O1166" i="1"/>
  <c r="P1166" i="1" s="1"/>
  <c r="P1154" i="1"/>
  <c r="O1154" i="1"/>
  <c r="O1138" i="1"/>
  <c r="P1138" i="1" s="1"/>
  <c r="P1122" i="1"/>
  <c r="O1122" i="1"/>
  <c r="O1106" i="1"/>
  <c r="P1106" i="1" s="1"/>
  <c r="P1102" i="1"/>
  <c r="O1102" i="1"/>
  <c r="O1452" i="1"/>
  <c r="P1452" i="1" s="1"/>
  <c r="P1448" i="1"/>
  <c r="O1448" i="1"/>
  <c r="O1444" i="1"/>
  <c r="P1444" i="1" s="1"/>
  <c r="P1440" i="1"/>
  <c r="O1440" i="1"/>
  <c r="O1436" i="1"/>
  <c r="P1436" i="1" s="1"/>
  <c r="P1432" i="1"/>
  <c r="O1432" i="1"/>
  <c r="O1428" i="1"/>
  <c r="P1428" i="1" s="1"/>
  <c r="P1424" i="1"/>
  <c r="O1424" i="1"/>
  <c r="O1420" i="1"/>
  <c r="P1420" i="1" s="1"/>
  <c r="P1416" i="1"/>
  <c r="O1416" i="1"/>
  <c r="O1412" i="1"/>
  <c r="P1412" i="1" s="1"/>
  <c r="P1408" i="1"/>
  <c r="O1408" i="1"/>
  <c r="O1404" i="1"/>
  <c r="P1404" i="1" s="1"/>
  <c r="P1400" i="1"/>
  <c r="O1400" i="1"/>
  <c r="O1396" i="1"/>
  <c r="P1396" i="1" s="1"/>
  <c r="P1392" i="1"/>
  <c r="O1392" i="1"/>
  <c r="O1388" i="1"/>
  <c r="P1388" i="1" s="1"/>
  <c r="P1384" i="1"/>
  <c r="O1384" i="1"/>
  <c r="O1380" i="1"/>
  <c r="P1380" i="1" s="1"/>
  <c r="P1376" i="1"/>
  <c r="O1376" i="1"/>
  <c r="O1372" i="1"/>
  <c r="P1372" i="1" s="1"/>
  <c r="P1368" i="1"/>
  <c r="O1368" i="1"/>
  <c r="O1364" i="1"/>
  <c r="P1364" i="1" s="1"/>
  <c r="P1360" i="1"/>
  <c r="O1360" i="1"/>
  <c r="O1356" i="1"/>
  <c r="P1356" i="1" s="1"/>
  <c r="P1352" i="1"/>
  <c r="O1352" i="1"/>
  <c r="O1348" i="1"/>
  <c r="P1348" i="1" s="1"/>
  <c r="P1344" i="1"/>
  <c r="O1344" i="1"/>
  <c r="O1340" i="1"/>
  <c r="P1340" i="1" s="1"/>
  <c r="P1336" i="1"/>
  <c r="O1336" i="1"/>
  <c r="O1332" i="1"/>
  <c r="P1332" i="1" s="1"/>
  <c r="P1328" i="1"/>
  <c r="O1328" i="1"/>
  <c r="O1324" i="1"/>
  <c r="P1324" i="1" s="1"/>
  <c r="P1320" i="1"/>
  <c r="O1320" i="1"/>
  <c r="O1316" i="1"/>
  <c r="P1316" i="1" s="1"/>
  <c r="P1312" i="1"/>
  <c r="O1312" i="1"/>
  <c r="O1308" i="1"/>
  <c r="P1308" i="1" s="1"/>
  <c r="P1304" i="1"/>
  <c r="O1304" i="1"/>
  <c r="O1300" i="1"/>
  <c r="P1300" i="1" s="1"/>
  <c r="P1296" i="1"/>
  <c r="O1296" i="1"/>
  <c r="O1292" i="1"/>
  <c r="P1292" i="1" s="1"/>
  <c r="P1288" i="1"/>
  <c r="O1288" i="1"/>
  <c r="O1284" i="1"/>
  <c r="P1284" i="1" s="1"/>
  <c r="P1280" i="1"/>
  <c r="O1280" i="1"/>
  <c r="O1276" i="1"/>
  <c r="P1276" i="1" s="1"/>
  <c r="P1272" i="1"/>
  <c r="O1272" i="1"/>
  <c r="O1268" i="1"/>
  <c r="P1268" i="1" s="1"/>
  <c r="P1264" i="1"/>
  <c r="O1264" i="1"/>
  <c r="O1260" i="1"/>
  <c r="P1260" i="1" s="1"/>
  <c r="P1256" i="1"/>
  <c r="O1256" i="1"/>
  <c r="O1252" i="1"/>
  <c r="P1252" i="1" s="1"/>
  <c r="P1248" i="1"/>
  <c r="O1248" i="1"/>
  <c r="O1244" i="1"/>
  <c r="P1244" i="1" s="1"/>
  <c r="P1240" i="1"/>
  <c r="O1240" i="1"/>
  <c r="O1236" i="1"/>
  <c r="P1236" i="1" s="1"/>
  <c r="P1232" i="1"/>
  <c r="O1232" i="1"/>
  <c r="O1228" i="1"/>
  <c r="P1228" i="1" s="1"/>
  <c r="P1224" i="1"/>
  <c r="O1224" i="1"/>
  <c r="O1220" i="1"/>
  <c r="P1220" i="1" s="1"/>
  <c r="P1216" i="1"/>
  <c r="O1216" i="1"/>
  <c r="O1212" i="1"/>
  <c r="P1212" i="1" s="1"/>
  <c r="P1208" i="1"/>
  <c r="O1208" i="1"/>
  <c r="O1204" i="1"/>
  <c r="P1204" i="1" s="1"/>
  <c r="P1200" i="1"/>
  <c r="O1200" i="1"/>
  <c r="O1196" i="1"/>
  <c r="P1196" i="1" s="1"/>
  <c r="P1192" i="1"/>
  <c r="O1192" i="1"/>
  <c r="O1188" i="1"/>
  <c r="P1188" i="1" s="1"/>
  <c r="P1184" i="1"/>
  <c r="O1184" i="1"/>
  <c r="O1180" i="1"/>
  <c r="P1180" i="1" s="1"/>
  <c r="P1176" i="1"/>
  <c r="O1176" i="1"/>
  <c r="O1172" i="1"/>
  <c r="P1172" i="1" s="1"/>
  <c r="P1168" i="1"/>
  <c r="O1168" i="1"/>
  <c r="O1164" i="1"/>
  <c r="P1164" i="1" s="1"/>
  <c r="P1160" i="1"/>
  <c r="O1160" i="1"/>
  <c r="O1156" i="1"/>
  <c r="P1156" i="1" s="1"/>
  <c r="P1152" i="1"/>
  <c r="O1152" i="1"/>
  <c r="O1148" i="1"/>
  <c r="P1148" i="1" s="1"/>
  <c r="P1144" i="1"/>
  <c r="O1144" i="1"/>
  <c r="O1140" i="1"/>
  <c r="P1140" i="1" s="1"/>
  <c r="P1136" i="1"/>
  <c r="O1136" i="1"/>
  <c r="O1132" i="1"/>
  <c r="P1132" i="1" s="1"/>
  <c r="P1128" i="1"/>
  <c r="O1128" i="1"/>
  <c r="O1124" i="1"/>
  <c r="P1124" i="1" s="1"/>
  <c r="P1120" i="1"/>
  <c r="O1120" i="1"/>
  <c r="O1116" i="1"/>
  <c r="P1116" i="1" s="1"/>
  <c r="P1112" i="1"/>
  <c r="O1112" i="1"/>
  <c r="O1108" i="1"/>
  <c r="P1108" i="1" s="1"/>
  <c r="P1104" i="1"/>
  <c r="O1104" i="1"/>
  <c r="O1100" i="1"/>
  <c r="P1100" i="1" s="1"/>
  <c r="P1096" i="1"/>
  <c r="O1096" i="1"/>
  <c r="O1092" i="1"/>
  <c r="P1092" i="1" s="1"/>
  <c r="P1088" i="1"/>
  <c r="O1088" i="1"/>
  <c r="O1084" i="1"/>
  <c r="P1084" i="1" s="1"/>
  <c r="P1080" i="1"/>
  <c r="O1080" i="1"/>
  <c r="O1076" i="1"/>
  <c r="P1076" i="1" s="1"/>
  <c r="P1072" i="1"/>
  <c r="O1072" i="1"/>
  <c r="O1068" i="1"/>
  <c r="P1068" i="1" s="1"/>
  <c r="P1064" i="1"/>
  <c r="O1064" i="1"/>
  <c r="O1060" i="1"/>
  <c r="P1060" i="1" s="1"/>
  <c r="P1056" i="1"/>
  <c r="O1056" i="1"/>
  <c r="O1052" i="1"/>
  <c r="P1052" i="1" s="1"/>
  <c r="P1048" i="1"/>
  <c r="O1048" i="1"/>
  <c r="O1044" i="1"/>
  <c r="P1044" i="1" s="1"/>
  <c r="P1040" i="1"/>
  <c r="O1040" i="1"/>
  <c r="O1036" i="1"/>
  <c r="P1036" i="1" s="1"/>
  <c r="P1032" i="1"/>
  <c r="O1032" i="1"/>
  <c r="O1028" i="1"/>
  <c r="P1028" i="1" s="1"/>
  <c r="P1024" i="1"/>
  <c r="O1024" i="1"/>
  <c r="O1020" i="1"/>
  <c r="P1020" i="1" s="1"/>
  <c r="P1016" i="1"/>
  <c r="O1016" i="1"/>
  <c r="O1012" i="1"/>
  <c r="P1012" i="1" s="1"/>
  <c r="P1008" i="1"/>
  <c r="O1008" i="1"/>
  <c r="O1004" i="1"/>
  <c r="P1004" i="1" s="1"/>
  <c r="P1000" i="1"/>
  <c r="O1000" i="1"/>
  <c r="O996" i="1"/>
  <c r="P996" i="1" s="1"/>
  <c r="P992" i="1"/>
  <c r="O992" i="1"/>
  <c r="O988" i="1"/>
  <c r="P988" i="1" s="1"/>
  <c r="P984" i="1"/>
  <c r="O984" i="1"/>
  <c r="O980" i="1"/>
  <c r="P980" i="1" s="1"/>
  <c r="P976" i="1"/>
  <c r="O976" i="1"/>
  <c r="O972" i="1"/>
  <c r="P972" i="1" s="1"/>
  <c r="P968" i="1"/>
  <c r="O968" i="1"/>
  <c r="O964" i="1"/>
  <c r="P964" i="1" s="1"/>
  <c r="P960" i="1"/>
  <c r="O960" i="1"/>
  <c r="O956" i="1"/>
  <c r="P956" i="1" s="1"/>
  <c r="P952" i="1"/>
  <c r="O952" i="1"/>
  <c r="O948" i="1"/>
  <c r="P948" i="1" s="1"/>
  <c r="P944" i="1"/>
  <c r="O944" i="1"/>
  <c r="O940" i="1"/>
  <c r="P940" i="1" s="1"/>
  <c r="P936" i="1"/>
  <c r="O936" i="1"/>
  <c r="O932" i="1"/>
  <c r="P932" i="1" s="1"/>
  <c r="P928" i="1"/>
  <c r="O928" i="1"/>
  <c r="O924" i="1"/>
  <c r="P924" i="1" s="1"/>
  <c r="P920" i="1"/>
  <c r="O920" i="1"/>
  <c r="O916" i="1"/>
  <c r="P916" i="1" s="1"/>
  <c r="P912" i="1"/>
  <c r="O912" i="1"/>
  <c r="O908" i="1"/>
  <c r="P908" i="1" s="1"/>
  <c r="P904" i="1"/>
  <c r="O904" i="1"/>
  <c r="O900" i="1"/>
  <c r="P900" i="1" s="1"/>
  <c r="P896" i="1"/>
  <c r="O896" i="1"/>
  <c r="O892" i="1"/>
  <c r="P892" i="1" s="1"/>
  <c r="P888" i="1"/>
  <c r="O888" i="1"/>
  <c r="O884" i="1"/>
  <c r="P884" i="1" s="1"/>
  <c r="P880" i="1"/>
  <c r="O880" i="1"/>
  <c r="O876" i="1"/>
  <c r="P876" i="1" s="1"/>
  <c r="P872" i="1"/>
  <c r="O872" i="1"/>
  <c r="O868" i="1"/>
  <c r="P868" i="1" s="1"/>
  <c r="P864" i="1"/>
  <c r="O864" i="1"/>
  <c r="O860" i="1"/>
  <c r="P860" i="1" s="1"/>
  <c r="P856" i="1"/>
  <c r="O856" i="1"/>
  <c r="O852" i="1"/>
  <c r="P852" i="1" s="1"/>
  <c r="P848" i="1"/>
  <c r="O848" i="1"/>
  <c r="O844" i="1"/>
  <c r="P844" i="1" s="1"/>
  <c r="P840" i="1"/>
  <c r="O840" i="1"/>
  <c r="O836" i="1"/>
  <c r="P836" i="1" s="1"/>
  <c r="P832" i="1"/>
  <c r="O832" i="1"/>
  <c r="O828" i="1"/>
  <c r="P828" i="1" s="1"/>
  <c r="P824" i="1"/>
  <c r="O824" i="1"/>
  <c r="O820" i="1"/>
  <c r="P820" i="1" s="1"/>
  <c r="P816" i="1"/>
  <c r="O816" i="1"/>
  <c r="O812" i="1"/>
  <c r="P812" i="1" s="1"/>
  <c r="P808" i="1"/>
  <c r="O808" i="1"/>
  <c r="O804" i="1"/>
  <c r="P804" i="1" s="1"/>
  <c r="P800" i="1"/>
  <c r="O800" i="1"/>
  <c r="O796" i="1"/>
  <c r="P796" i="1" s="1"/>
  <c r="P792" i="1"/>
  <c r="O792" i="1"/>
  <c r="O788" i="1"/>
  <c r="P788" i="1" s="1"/>
  <c r="P784" i="1"/>
  <c r="O784" i="1"/>
  <c r="O780" i="1"/>
  <c r="P780" i="1" s="1"/>
  <c r="P776" i="1"/>
  <c r="O776" i="1"/>
  <c r="O772" i="1"/>
  <c r="P772" i="1" s="1"/>
  <c r="P768" i="1"/>
  <c r="O768" i="1"/>
  <c r="O764" i="1"/>
  <c r="P764" i="1" s="1"/>
  <c r="P760" i="1"/>
  <c r="O760" i="1"/>
  <c r="O756" i="1"/>
  <c r="P756" i="1" s="1"/>
  <c r="P752" i="1"/>
  <c r="O752" i="1"/>
  <c r="O748" i="1"/>
  <c r="P748" i="1" s="1"/>
  <c r="P744" i="1"/>
  <c r="O744" i="1"/>
  <c r="O740" i="1"/>
  <c r="P740" i="1" s="1"/>
  <c r="P736" i="1"/>
  <c r="O736" i="1"/>
  <c r="O732" i="1"/>
  <c r="P732" i="1" s="1"/>
  <c r="P728" i="1"/>
  <c r="O728" i="1"/>
  <c r="O724" i="1"/>
  <c r="P724" i="1" s="1"/>
  <c r="O720" i="1"/>
  <c r="P720" i="1" s="1"/>
  <c r="O717" i="1"/>
  <c r="P717" i="1" s="1"/>
  <c r="O713" i="1"/>
  <c r="P713" i="1" s="1"/>
  <c r="O709" i="1"/>
  <c r="P709" i="1" s="1"/>
  <c r="O701" i="1"/>
  <c r="P701" i="1" s="1"/>
  <c r="O697" i="1"/>
  <c r="P697" i="1" s="1"/>
  <c r="O693" i="1"/>
  <c r="P693" i="1" s="1"/>
  <c r="O689" i="1"/>
  <c r="P689" i="1" s="1"/>
  <c r="O685" i="1"/>
  <c r="P685" i="1" s="1"/>
  <c r="O681" i="1"/>
  <c r="P681" i="1" s="1"/>
  <c r="O676" i="1"/>
  <c r="P676" i="1" s="1"/>
  <c r="O672" i="1"/>
  <c r="P672" i="1" s="1"/>
  <c r="O668" i="1"/>
  <c r="P668" i="1" s="1"/>
  <c r="O664" i="1"/>
  <c r="P664" i="1" s="1"/>
  <c r="O660" i="1"/>
  <c r="P660" i="1" s="1"/>
  <c r="O656" i="1"/>
  <c r="P656" i="1" s="1"/>
  <c r="O652" i="1"/>
  <c r="P652" i="1" s="1"/>
  <c r="O648" i="1"/>
  <c r="P648" i="1" s="1"/>
  <c r="O644" i="1"/>
  <c r="P644" i="1" s="1"/>
  <c r="O640" i="1"/>
  <c r="P640" i="1" s="1"/>
  <c r="O636" i="1"/>
  <c r="O632" i="1"/>
  <c r="P632" i="1" s="1"/>
  <c r="O628" i="1"/>
  <c r="P628" i="1" s="1"/>
  <c r="O624" i="1"/>
  <c r="P624" i="1" s="1"/>
  <c r="O620" i="1"/>
  <c r="P620" i="1" s="1"/>
  <c r="O616" i="1"/>
  <c r="P616" i="1" s="1"/>
  <c r="O612" i="1"/>
  <c r="P612" i="1" s="1"/>
  <c r="O608" i="1"/>
  <c r="P608" i="1" s="1"/>
  <c r="O603" i="1"/>
  <c r="P603" i="1" s="1"/>
  <c r="O599" i="1"/>
  <c r="P599" i="1" s="1"/>
  <c r="O580" i="1"/>
  <c r="P580" i="1" s="1"/>
  <c r="O576" i="1"/>
  <c r="P576" i="1" s="1"/>
  <c r="O571" i="1"/>
  <c r="P571" i="1" s="1"/>
  <c r="O567" i="1"/>
  <c r="P567" i="1" s="1"/>
  <c r="O563" i="1"/>
  <c r="P563" i="1" s="1"/>
  <c r="O559" i="1"/>
  <c r="P559" i="1" s="1"/>
  <c r="O555" i="1"/>
  <c r="P555" i="1" s="1"/>
  <c r="O551" i="1"/>
  <c r="P551" i="1" s="1"/>
  <c r="O547" i="1"/>
  <c r="P547" i="1" s="1"/>
  <c r="O543" i="1"/>
  <c r="P543" i="1" s="1"/>
  <c r="O539" i="1"/>
  <c r="P539" i="1" s="1"/>
  <c r="O535" i="1"/>
  <c r="P535" i="1" s="1"/>
  <c r="O531" i="1"/>
  <c r="P531" i="1" s="1"/>
  <c r="O527" i="1"/>
  <c r="P527" i="1" s="1"/>
  <c r="O523" i="1"/>
  <c r="P523" i="1" s="1"/>
  <c r="O519" i="1"/>
  <c r="P519" i="1" s="1"/>
  <c r="O515" i="1"/>
  <c r="P515" i="1" s="1"/>
  <c r="O511" i="1"/>
  <c r="P511" i="1" s="1"/>
  <c r="O507" i="1"/>
  <c r="P507" i="1" s="1"/>
  <c r="O503" i="1"/>
  <c r="P503" i="1" s="1"/>
  <c r="O499" i="1"/>
  <c r="P499" i="1" s="1"/>
  <c r="O495" i="1"/>
  <c r="P495" i="1" s="1"/>
  <c r="O491" i="1"/>
  <c r="P491" i="1" s="1"/>
  <c r="O487" i="1"/>
  <c r="P487" i="1" s="1"/>
  <c r="O483" i="1"/>
  <c r="P483" i="1" s="1"/>
  <c r="O479" i="1"/>
  <c r="P479" i="1" s="1"/>
  <c r="O475" i="1"/>
  <c r="P475" i="1" s="1"/>
  <c r="O471" i="1"/>
  <c r="P471" i="1" s="1"/>
  <c r="O466" i="1"/>
  <c r="P466" i="1" s="1"/>
  <c r="O462" i="1"/>
  <c r="P462" i="1" s="1"/>
  <c r="O458" i="1"/>
  <c r="P458" i="1" s="1"/>
  <c r="O454" i="1"/>
  <c r="P454" i="1" s="1"/>
  <c r="O450" i="1"/>
  <c r="P450" i="1" s="1"/>
  <c r="O446" i="1"/>
  <c r="P446" i="1" s="1"/>
  <c r="O442" i="1"/>
  <c r="P442" i="1" s="1"/>
  <c r="O438" i="1"/>
  <c r="P438" i="1" s="1"/>
  <c r="O435" i="1"/>
  <c r="P435" i="1" s="1"/>
  <c r="O431" i="1"/>
  <c r="P431" i="1" s="1"/>
  <c r="O427" i="1"/>
  <c r="P427" i="1" s="1"/>
  <c r="O423" i="1"/>
  <c r="P423" i="1" s="1"/>
  <c r="O419" i="1"/>
  <c r="P419" i="1" s="1"/>
  <c r="O415" i="1"/>
  <c r="P415" i="1" s="1"/>
  <c r="O411" i="1"/>
  <c r="P411" i="1" s="1"/>
  <c r="O407" i="1"/>
  <c r="P407" i="1" s="1"/>
  <c r="O403" i="1"/>
  <c r="P403" i="1" s="1"/>
  <c r="O399" i="1"/>
  <c r="P399" i="1" s="1"/>
  <c r="O389" i="1"/>
  <c r="P389" i="1" s="1"/>
  <c r="O385" i="1"/>
  <c r="P385" i="1" s="1"/>
  <c r="O381" i="1"/>
  <c r="P381" i="1" s="1"/>
  <c r="O377" i="1"/>
  <c r="P377" i="1" s="1"/>
  <c r="O373" i="1"/>
  <c r="P373" i="1" s="1"/>
  <c r="O369" i="1"/>
  <c r="P369" i="1" s="1"/>
  <c r="O365" i="1"/>
  <c r="P365" i="1" s="1"/>
  <c r="O361" i="1"/>
  <c r="P361" i="1" s="1"/>
  <c r="O357" i="1"/>
  <c r="P357" i="1" s="1"/>
  <c r="O353" i="1"/>
  <c r="P353" i="1" s="1"/>
  <c r="O349" i="1"/>
  <c r="P349" i="1" s="1"/>
  <c r="O345" i="1"/>
  <c r="P345" i="1" s="1"/>
  <c r="O341" i="1"/>
  <c r="P341" i="1" s="1"/>
  <c r="O337" i="1"/>
  <c r="P337" i="1" s="1"/>
  <c r="O333" i="1"/>
  <c r="P333" i="1" s="1"/>
  <c r="O329" i="1"/>
  <c r="P329" i="1" s="1"/>
  <c r="O325" i="1"/>
  <c r="P325" i="1" s="1"/>
  <c r="O321" i="1"/>
  <c r="P321" i="1" s="1"/>
  <c r="O317" i="1"/>
  <c r="P317" i="1" s="1"/>
  <c r="O300" i="1"/>
  <c r="P300" i="1" s="1"/>
  <c r="G23" i="3" s="1"/>
  <c r="J23" i="3" s="1"/>
  <c r="O310" i="1"/>
  <c r="P310" i="1" s="1"/>
  <c r="O306" i="1"/>
  <c r="P306" i="1" s="1"/>
  <c r="O302" i="1"/>
  <c r="P302" i="1" s="1"/>
  <c r="O296" i="1"/>
  <c r="P296" i="1" s="1"/>
  <c r="O292" i="1"/>
  <c r="P292" i="1" s="1"/>
  <c r="O288" i="1"/>
  <c r="P288" i="1" s="1"/>
  <c r="O284" i="1"/>
  <c r="P284" i="1" s="1"/>
  <c r="G21" i="3" s="1"/>
  <c r="J21" i="3" s="1"/>
  <c r="O280" i="1"/>
  <c r="P280" i="1" s="1"/>
  <c r="O276" i="1"/>
  <c r="P276" i="1" s="1"/>
  <c r="O272" i="1"/>
  <c r="P272" i="1" s="1"/>
  <c r="O268" i="1"/>
  <c r="P268" i="1" s="1"/>
  <c r="O264" i="1"/>
  <c r="P264" i="1" s="1"/>
  <c r="O260" i="1"/>
  <c r="P260" i="1" s="1"/>
  <c r="O256" i="1"/>
  <c r="P256" i="1" s="1"/>
  <c r="O252" i="1"/>
  <c r="P252" i="1" s="1"/>
  <c r="O248" i="1"/>
  <c r="P248" i="1" s="1"/>
  <c r="O246" i="1"/>
  <c r="P246" i="1" s="1"/>
  <c r="O242" i="1"/>
  <c r="P242" i="1" s="1"/>
  <c r="O238" i="1"/>
  <c r="P238" i="1" s="1"/>
  <c r="O234" i="1"/>
  <c r="P234" i="1" s="1"/>
  <c r="O230" i="1"/>
  <c r="P230" i="1" s="1"/>
  <c r="G6" i="3" s="1"/>
  <c r="J6" i="3" s="1"/>
  <c r="O226" i="1"/>
  <c r="P226" i="1" s="1"/>
  <c r="O222" i="1"/>
  <c r="P222" i="1" s="1"/>
  <c r="O218" i="1"/>
  <c r="P218" i="1" s="1"/>
  <c r="O214" i="1"/>
  <c r="P214" i="1" s="1"/>
  <c r="O210" i="1"/>
  <c r="P210" i="1" s="1"/>
  <c r="O206" i="1"/>
  <c r="P206" i="1" s="1"/>
  <c r="O202" i="1"/>
  <c r="P202" i="1" s="1"/>
  <c r="O197" i="1"/>
  <c r="P197" i="1" s="1"/>
  <c r="O193" i="1"/>
  <c r="P193" i="1" s="1"/>
  <c r="O189" i="1"/>
  <c r="P189" i="1" s="1"/>
  <c r="O185" i="1"/>
  <c r="P185" i="1" s="1"/>
  <c r="O181" i="1"/>
  <c r="P181" i="1" s="1"/>
  <c r="O177" i="1"/>
  <c r="P177" i="1" s="1"/>
  <c r="O173" i="1"/>
  <c r="P173" i="1" s="1"/>
  <c r="O169" i="1"/>
  <c r="P169" i="1" s="1"/>
  <c r="O165" i="1"/>
  <c r="P165" i="1" s="1"/>
  <c r="O161" i="1"/>
  <c r="P161" i="1" s="1"/>
  <c r="O157" i="1"/>
  <c r="P157" i="1" s="1"/>
  <c r="O153" i="1"/>
  <c r="P153" i="1" s="1"/>
  <c r="G16" i="3" s="1"/>
  <c r="J16" i="3" s="1"/>
  <c r="O149" i="1"/>
  <c r="P149" i="1" s="1"/>
  <c r="O146" i="1"/>
  <c r="P146" i="1" s="1"/>
  <c r="H13" i="3" s="1"/>
  <c r="I13" i="3" s="1"/>
  <c r="O142" i="1"/>
  <c r="P142" i="1" s="1"/>
  <c r="O138" i="1"/>
  <c r="P138" i="1" s="1"/>
  <c r="O134" i="1"/>
  <c r="P134" i="1" s="1"/>
  <c r="O130" i="1"/>
  <c r="P130" i="1" s="1"/>
  <c r="O126" i="1"/>
  <c r="P126" i="1" s="1"/>
  <c r="O121" i="1"/>
  <c r="P121" i="1" s="1"/>
  <c r="O112" i="1"/>
  <c r="P112" i="1" s="1"/>
  <c r="O108" i="1"/>
  <c r="P108" i="1" s="1"/>
  <c r="O104" i="1"/>
  <c r="P104" i="1" s="1"/>
  <c r="O94" i="1"/>
  <c r="P94" i="1" s="1"/>
  <c r="O90" i="1"/>
  <c r="P90" i="1" s="1"/>
  <c r="O86" i="1"/>
  <c r="P86" i="1" s="1"/>
  <c r="O82" i="1"/>
  <c r="P82" i="1" s="1"/>
  <c r="O78" i="1"/>
  <c r="P78" i="1" s="1"/>
  <c r="O74" i="1"/>
  <c r="P74" i="1" s="1"/>
  <c r="O66" i="1"/>
  <c r="P66" i="1" s="1"/>
  <c r="O60" i="1"/>
  <c r="O55" i="1"/>
  <c r="P55" i="1" s="1"/>
  <c r="O51" i="1"/>
  <c r="P51" i="1" s="1"/>
  <c r="O43" i="1"/>
  <c r="P43" i="1" s="1"/>
  <c r="O1829" i="1"/>
  <c r="P1829" i="1" s="1"/>
  <c r="O1825" i="1"/>
  <c r="P1825" i="1" s="1"/>
  <c r="O1821" i="1"/>
  <c r="P1821" i="1" s="1"/>
  <c r="O1817" i="1"/>
  <c r="P1817" i="1" s="1"/>
  <c r="O1813" i="1"/>
  <c r="P1813" i="1" s="1"/>
  <c r="O1809" i="1"/>
  <c r="P1809" i="1" s="1"/>
  <c r="O1805" i="1"/>
  <c r="P1805" i="1" s="1"/>
  <c r="O1801" i="1"/>
  <c r="P1801" i="1" s="1"/>
  <c r="O1797" i="1"/>
  <c r="P1797" i="1" s="1"/>
  <c r="O1793" i="1"/>
  <c r="P1793" i="1" s="1"/>
  <c r="O1789" i="1"/>
  <c r="P1789" i="1" s="1"/>
  <c r="O1785" i="1"/>
  <c r="P1785" i="1" s="1"/>
  <c r="O1781" i="1"/>
  <c r="P1781" i="1" s="1"/>
  <c r="O1777" i="1"/>
  <c r="P1777" i="1" s="1"/>
  <c r="O1773" i="1"/>
  <c r="P1773" i="1" s="1"/>
  <c r="O1769" i="1"/>
  <c r="P1769" i="1" s="1"/>
  <c r="O1765" i="1"/>
  <c r="P1765" i="1" s="1"/>
  <c r="O1761" i="1"/>
  <c r="P1761" i="1" s="1"/>
  <c r="O1757" i="1"/>
  <c r="P1757" i="1" s="1"/>
  <c r="O1753" i="1"/>
  <c r="P1753" i="1" s="1"/>
  <c r="O1749" i="1"/>
  <c r="P1749" i="1" s="1"/>
  <c r="O1745" i="1"/>
  <c r="P1745" i="1" s="1"/>
  <c r="O1741" i="1"/>
  <c r="P1741" i="1" s="1"/>
  <c r="O1737" i="1"/>
  <c r="P1737" i="1" s="1"/>
  <c r="O1733" i="1"/>
  <c r="P1733" i="1" s="1"/>
  <c r="O1729" i="1"/>
  <c r="P1729" i="1" s="1"/>
  <c r="O1725" i="1"/>
  <c r="P1725" i="1" s="1"/>
  <c r="O1721" i="1"/>
  <c r="P1721" i="1" s="1"/>
  <c r="O1717" i="1"/>
  <c r="P1717" i="1" s="1"/>
  <c r="O1713" i="1"/>
  <c r="P1713" i="1" s="1"/>
  <c r="O1709" i="1"/>
  <c r="P1709" i="1" s="1"/>
  <c r="O1705" i="1"/>
  <c r="P1705" i="1" s="1"/>
  <c r="O1701" i="1"/>
  <c r="P1701" i="1" s="1"/>
  <c r="O1697" i="1"/>
  <c r="P1697" i="1" s="1"/>
  <c r="O1693" i="1"/>
  <c r="P1693" i="1" s="1"/>
  <c r="O1689" i="1"/>
  <c r="P1689" i="1" s="1"/>
  <c r="O1685" i="1"/>
  <c r="P1685" i="1" s="1"/>
  <c r="O1681" i="1"/>
  <c r="P1681" i="1" s="1"/>
  <c r="O1677" i="1"/>
  <c r="P1677" i="1" s="1"/>
  <c r="O1673" i="1"/>
  <c r="P1673" i="1" s="1"/>
  <c r="O1669" i="1"/>
  <c r="P1669" i="1" s="1"/>
  <c r="O1665" i="1"/>
  <c r="P1665" i="1" s="1"/>
  <c r="O1661" i="1"/>
  <c r="P1661" i="1" s="1"/>
  <c r="O1657" i="1"/>
  <c r="P1657" i="1" s="1"/>
  <c r="O1653" i="1"/>
  <c r="P1653" i="1" s="1"/>
  <c r="O1649" i="1"/>
  <c r="P1649" i="1" s="1"/>
  <c r="O1645" i="1"/>
  <c r="P1645" i="1" s="1"/>
  <c r="O1641" i="1"/>
  <c r="P1641" i="1" s="1"/>
  <c r="O1637" i="1"/>
  <c r="P1637" i="1" s="1"/>
  <c r="O1633" i="1"/>
  <c r="P1633" i="1" s="1"/>
  <c r="O1629" i="1"/>
  <c r="P1629" i="1" s="1"/>
  <c r="O1625" i="1"/>
  <c r="P1625" i="1" s="1"/>
  <c r="O1621" i="1"/>
  <c r="P1621" i="1" s="1"/>
  <c r="O1617" i="1"/>
  <c r="P1617" i="1" s="1"/>
  <c r="O1613" i="1"/>
  <c r="P1613" i="1" s="1"/>
  <c r="O1609" i="1"/>
  <c r="P1609" i="1" s="1"/>
  <c r="O1605" i="1"/>
  <c r="P1605" i="1" s="1"/>
  <c r="O1601" i="1"/>
  <c r="P1601" i="1" s="1"/>
  <c r="O1597" i="1"/>
  <c r="P1597" i="1" s="1"/>
  <c r="O1593" i="1"/>
  <c r="P1593" i="1" s="1"/>
  <c r="O1589" i="1"/>
  <c r="P1589" i="1" s="1"/>
  <c r="O1585" i="1"/>
  <c r="P1585" i="1" s="1"/>
  <c r="O1581" i="1"/>
  <c r="P1581" i="1" s="1"/>
  <c r="O1577" i="1"/>
  <c r="P1577" i="1" s="1"/>
  <c r="O1573" i="1"/>
  <c r="P1573" i="1" s="1"/>
  <c r="O1569" i="1"/>
  <c r="P1569" i="1" s="1"/>
  <c r="O1565" i="1"/>
  <c r="P1565" i="1" s="1"/>
  <c r="O1561" i="1"/>
  <c r="P1561" i="1" s="1"/>
  <c r="O1557" i="1"/>
  <c r="P1557" i="1" s="1"/>
  <c r="O1553" i="1"/>
  <c r="P1553" i="1" s="1"/>
  <c r="O1549" i="1"/>
  <c r="P1549" i="1" s="1"/>
  <c r="O1545" i="1"/>
  <c r="P1545" i="1" s="1"/>
  <c r="O1541" i="1"/>
  <c r="P1541" i="1" s="1"/>
  <c r="O1537" i="1"/>
  <c r="P1537" i="1" s="1"/>
  <c r="O1533" i="1"/>
  <c r="P1533" i="1" s="1"/>
  <c r="O1529" i="1"/>
  <c r="P1529" i="1" s="1"/>
  <c r="O1525" i="1"/>
  <c r="P1525" i="1" s="1"/>
  <c r="O1521" i="1"/>
  <c r="P1521" i="1" s="1"/>
  <c r="O1517" i="1"/>
  <c r="P1517" i="1" s="1"/>
  <c r="O1513" i="1"/>
  <c r="P1513" i="1" s="1"/>
  <c r="O1509" i="1"/>
  <c r="P1509" i="1" s="1"/>
  <c r="O1505" i="1"/>
  <c r="P1505" i="1" s="1"/>
  <c r="O1501" i="1"/>
  <c r="P1501" i="1" s="1"/>
  <c r="O1497" i="1"/>
  <c r="P1497" i="1" s="1"/>
  <c r="O1493" i="1"/>
  <c r="P1493" i="1" s="1"/>
  <c r="O1489" i="1"/>
  <c r="P1489" i="1" s="1"/>
  <c r="O1485" i="1"/>
  <c r="P1485" i="1" s="1"/>
  <c r="O1481" i="1"/>
  <c r="P1481" i="1" s="1"/>
  <c r="O1477" i="1"/>
  <c r="P1477" i="1" s="1"/>
  <c r="O1473" i="1"/>
  <c r="P1473" i="1" s="1"/>
  <c r="O1469" i="1"/>
  <c r="P1469" i="1" s="1"/>
  <c r="O1465" i="1"/>
  <c r="P1465" i="1" s="1"/>
  <c r="O1461" i="1"/>
  <c r="P1461" i="1" s="1"/>
  <c r="O1457" i="1"/>
  <c r="P1457" i="1" s="1"/>
  <c r="O1453" i="1"/>
  <c r="P1453" i="1" s="1"/>
  <c r="O1447" i="1"/>
  <c r="P1447" i="1" s="1"/>
  <c r="O1442" i="1"/>
  <c r="P1442" i="1" s="1"/>
  <c r="O1437" i="1"/>
  <c r="P1437" i="1" s="1"/>
  <c r="O1431" i="1"/>
  <c r="P1431" i="1" s="1"/>
  <c r="O1426" i="1"/>
  <c r="P1426" i="1" s="1"/>
  <c r="O1421" i="1"/>
  <c r="P1421" i="1" s="1"/>
  <c r="O1415" i="1"/>
  <c r="P1415" i="1" s="1"/>
  <c r="O1410" i="1"/>
  <c r="P1410" i="1" s="1"/>
  <c r="O1403" i="1"/>
  <c r="P1403" i="1" s="1"/>
  <c r="O1393" i="1"/>
  <c r="P1393" i="1" s="1"/>
  <c r="O1382" i="1"/>
  <c r="P1382" i="1" s="1"/>
  <c r="O1371" i="1"/>
  <c r="P1371" i="1" s="1"/>
  <c r="O1361" i="1"/>
  <c r="P1361" i="1" s="1"/>
  <c r="O1350" i="1"/>
  <c r="P1350" i="1" s="1"/>
  <c r="O1339" i="1"/>
  <c r="P1339" i="1" s="1"/>
  <c r="O1329" i="1"/>
  <c r="P1329" i="1" s="1"/>
  <c r="O1318" i="1"/>
  <c r="P1318" i="1" s="1"/>
  <c r="O1307" i="1"/>
  <c r="P1307" i="1" s="1"/>
  <c r="O1297" i="1"/>
  <c r="P1297" i="1" s="1"/>
  <c r="O1286" i="1"/>
  <c r="P1286" i="1" s="1"/>
  <c r="O1275" i="1"/>
  <c r="P1275" i="1" s="1"/>
  <c r="O1265" i="1"/>
  <c r="P1265" i="1" s="1"/>
  <c r="O1254" i="1"/>
  <c r="P1254" i="1" s="1"/>
  <c r="O1243" i="1"/>
  <c r="P1243" i="1" s="1"/>
  <c r="O1233" i="1"/>
  <c r="P1233" i="1" s="1"/>
  <c r="O1222" i="1"/>
  <c r="P1222" i="1" s="1"/>
  <c r="O1211" i="1"/>
  <c r="P1211" i="1" s="1"/>
  <c r="O1201" i="1"/>
  <c r="P1201" i="1" s="1"/>
  <c r="O1190" i="1"/>
  <c r="P1190" i="1" s="1"/>
  <c r="O1179" i="1"/>
  <c r="P1179" i="1" s="1"/>
  <c r="O1169" i="1"/>
  <c r="P1169" i="1" s="1"/>
  <c r="O1158" i="1"/>
  <c r="P1158" i="1" s="1"/>
  <c r="O1147" i="1"/>
  <c r="P1147" i="1" s="1"/>
  <c r="O1137" i="1"/>
  <c r="P1137" i="1" s="1"/>
  <c r="O1126" i="1"/>
  <c r="P1126" i="1" s="1"/>
  <c r="O1115" i="1"/>
  <c r="P1115" i="1" s="1"/>
  <c r="O1105" i="1"/>
  <c r="P1105" i="1" s="1"/>
  <c r="O1094" i="1"/>
  <c r="P1094" i="1" s="1"/>
  <c r="O1083" i="1"/>
  <c r="P1083" i="1" s="1"/>
  <c r="O1073" i="1"/>
  <c r="P1073" i="1" s="1"/>
  <c r="O1062" i="1"/>
  <c r="P1062" i="1" s="1"/>
  <c r="O1051" i="1"/>
  <c r="P1051" i="1" s="1"/>
  <c r="O1041" i="1"/>
  <c r="P1041" i="1" s="1"/>
  <c r="O1030" i="1"/>
  <c r="P1030" i="1" s="1"/>
  <c r="O1019" i="1"/>
  <c r="P1019" i="1" s="1"/>
  <c r="O1009" i="1"/>
  <c r="P1009" i="1" s="1"/>
  <c r="O998" i="1"/>
  <c r="P998" i="1" s="1"/>
  <c r="O987" i="1"/>
  <c r="P987" i="1" s="1"/>
  <c r="O977" i="1"/>
  <c r="P977" i="1" s="1"/>
  <c r="O966" i="1"/>
  <c r="P966" i="1" s="1"/>
  <c r="O955" i="1"/>
  <c r="P955" i="1" s="1"/>
  <c r="O945" i="1"/>
  <c r="P945" i="1" s="1"/>
  <c r="O934" i="1"/>
  <c r="P934" i="1" s="1"/>
  <c r="O923" i="1"/>
  <c r="P923" i="1" s="1"/>
  <c r="O913" i="1"/>
  <c r="P913" i="1" s="1"/>
  <c r="O901" i="1"/>
  <c r="P901" i="1" s="1"/>
  <c r="O885" i="1"/>
  <c r="P885" i="1" s="1"/>
  <c r="O869" i="1"/>
  <c r="P869" i="1" s="1"/>
  <c r="O853" i="1"/>
  <c r="P853" i="1" s="1"/>
  <c r="O837" i="1"/>
  <c r="P837" i="1" s="1"/>
  <c r="O821" i="1"/>
  <c r="P821" i="1" s="1"/>
  <c r="O805" i="1"/>
  <c r="P805" i="1" s="1"/>
  <c r="O789" i="1"/>
  <c r="P789" i="1" s="1"/>
  <c r="O773" i="1"/>
  <c r="P773" i="1" s="1"/>
  <c r="O757" i="1"/>
  <c r="P757" i="1" s="1"/>
  <c r="O741" i="1"/>
  <c r="P741" i="1" s="1"/>
  <c r="O725" i="1"/>
  <c r="P725" i="1" s="1"/>
  <c r="O710" i="1"/>
  <c r="P710" i="1" s="1"/>
  <c r="O694" i="1"/>
  <c r="P694" i="1" s="1"/>
  <c r="O678" i="1"/>
  <c r="P678" i="1" s="1"/>
  <c r="O661" i="1"/>
  <c r="P661" i="1" s="1"/>
  <c r="O645" i="1"/>
  <c r="P645" i="1" s="1"/>
  <c r="O629" i="1"/>
  <c r="P629" i="1" s="1"/>
  <c r="O613" i="1"/>
  <c r="P613" i="1" s="1"/>
  <c r="O564" i="1"/>
  <c r="P564" i="1" s="1"/>
  <c r="O548" i="1"/>
  <c r="P548" i="1" s="1"/>
  <c r="O532" i="1"/>
  <c r="P532" i="1" s="1"/>
  <c r="O516" i="1"/>
  <c r="P516" i="1" s="1"/>
  <c r="O500" i="1"/>
  <c r="P500" i="1" s="1"/>
  <c r="O481" i="1"/>
  <c r="P481" i="1" s="1"/>
  <c r="O448" i="1"/>
  <c r="P448" i="1" s="1"/>
  <c r="O417" i="1"/>
  <c r="P417" i="1" s="1"/>
  <c r="O383" i="1"/>
  <c r="P383" i="1" s="1"/>
  <c r="O351" i="1"/>
  <c r="P351" i="1" s="1"/>
  <c r="O319" i="1"/>
  <c r="P319" i="1" s="1"/>
  <c r="O286" i="1"/>
  <c r="P286" i="1" s="1"/>
  <c r="O254" i="1"/>
  <c r="P254" i="1" s="1"/>
  <c r="O224" i="1"/>
  <c r="P224" i="1" s="1"/>
  <c r="O191" i="1"/>
  <c r="P191" i="1" s="1"/>
  <c r="O159" i="1"/>
  <c r="P159" i="1" s="1"/>
  <c r="O123" i="1"/>
  <c r="P123" i="1" s="1"/>
  <c r="O77" i="1"/>
  <c r="P77" i="1" s="1"/>
  <c r="G9" i="3" s="1"/>
  <c r="J9" i="3" s="1"/>
  <c r="P1399" i="1"/>
  <c r="O1399" i="1"/>
  <c r="P1395" i="1"/>
  <c r="O1395" i="1"/>
  <c r="P1383" i="1"/>
  <c r="O1383" i="1"/>
  <c r="P1379" i="1"/>
  <c r="O1379" i="1"/>
  <c r="P1367" i="1"/>
  <c r="O1367" i="1"/>
  <c r="P1363" i="1"/>
  <c r="O1363" i="1"/>
  <c r="P1351" i="1"/>
  <c r="O1351" i="1"/>
  <c r="P1347" i="1"/>
  <c r="O1347" i="1"/>
  <c r="P1335" i="1"/>
  <c r="O1335" i="1"/>
  <c r="P1331" i="1"/>
  <c r="O1331" i="1"/>
  <c r="P1319" i="1"/>
  <c r="O1319" i="1"/>
  <c r="P1315" i="1"/>
  <c r="O1315" i="1"/>
  <c r="P1303" i="1"/>
  <c r="O1303" i="1"/>
  <c r="P1299" i="1"/>
  <c r="O1299" i="1"/>
  <c r="P1287" i="1"/>
  <c r="O1287" i="1"/>
  <c r="P1283" i="1"/>
  <c r="O1283" i="1"/>
  <c r="P1271" i="1"/>
  <c r="O1271" i="1"/>
  <c r="P1267" i="1"/>
  <c r="O1267" i="1"/>
  <c r="P1255" i="1"/>
  <c r="O1255" i="1"/>
  <c r="P1251" i="1"/>
  <c r="O1251" i="1"/>
  <c r="P1239" i="1"/>
  <c r="O1239" i="1"/>
  <c r="P1235" i="1"/>
  <c r="O1235" i="1"/>
  <c r="P1223" i="1"/>
  <c r="O1223" i="1"/>
  <c r="P1219" i="1"/>
  <c r="O1219" i="1"/>
  <c r="P1207" i="1"/>
  <c r="O1207" i="1"/>
  <c r="P1203" i="1"/>
  <c r="O1203" i="1"/>
  <c r="P1191" i="1"/>
  <c r="O1191" i="1"/>
  <c r="P1187" i="1"/>
  <c r="O1187" i="1"/>
  <c r="P1175" i="1"/>
  <c r="O1175" i="1"/>
  <c r="P1171" i="1"/>
  <c r="O1171" i="1"/>
  <c r="P1159" i="1"/>
  <c r="O1159" i="1"/>
  <c r="P1155" i="1"/>
  <c r="O1155" i="1"/>
  <c r="P1143" i="1"/>
  <c r="O1143" i="1"/>
  <c r="P1139" i="1"/>
  <c r="O1139" i="1"/>
  <c r="P1127" i="1"/>
  <c r="O1127" i="1"/>
  <c r="P1123" i="1"/>
  <c r="O1123" i="1"/>
  <c r="P1111" i="1"/>
  <c r="O1111" i="1"/>
  <c r="P1107" i="1"/>
  <c r="O1107" i="1"/>
  <c r="P1095" i="1"/>
  <c r="O1095" i="1"/>
  <c r="P1091" i="1"/>
  <c r="O1091" i="1"/>
  <c r="P1079" i="1"/>
  <c r="O1079" i="1"/>
  <c r="P1075" i="1"/>
  <c r="O1075" i="1"/>
  <c r="P1063" i="1"/>
  <c r="O1063" i="1"/>
  <c r="P1059" i="1"/>
  <c r="O1059" i="1"/>
  <c r="P1047" i="1"/>
  <c r="O1047" i="1"/>
  <c r="P1043" i="1"/>
  <c r="O1043" i="1"/>
  <c r="P1031" i="1"/>
  <c r="O1031" i="1"/>
  <c r="P1027" i="1"/>
  <c r="O1027" i="1"/>
  <c r="P1015" i="1"/>
  <c r="O1015" i="1"/>
  <c r="P1011" i="1"/>
  <c r="O1011" i="1"/>
  <c r="P999" i="1"/>
  <c r="O999" i="1"/>
  <c r="P995" i="1"/>
  <c r="O995" i="1"/>
  <c r="P983" i="1"/>
  <c r="O983" i="1"/>
  <c r="P979" i="1"/>
  <c r="O979" i="1"/>
  <c r="P967" i="1"/>
  <c r="O967" i="1"/>
  <c r="P963" i="1"/>
  <c r="O963" i="1"/>
  <c r="P951" i="1"/>
  <c r="O951" i="1"/>
  <c r="P947" i="1"/>
  <c r="O947" i="1"/>
  <c r="P935" i="1"/>
  <c r="O935" i="1"/>
  <c r="P931" i="1"/>
  <c r="O931" i="1"/>
  <c r="P919" i="1"/>
  <c r="O919" i="1"/>
  <c r="P915" i="1"/>
  <c r="O915" i="1"/>
  <c r="P903" i="1"/>
  <c r="O903" i="1"/>
  <c r="P899" i="1"/>
  <c r="O899" i="1"/>
  <c r="P895" i="1"/>
  <c r="O895" i="1"/>
  <c r="P891" i="1"/>
  <c r="O891" i="1"/>
  <c r="P887" i="1"/>
  <c r="O887" i="1"/>
  <c r="P883" i="1"/>
  <c r="O883" i="1"/>
  <c r="P879" i="1"/>
  <c r="O879" i="1"/>
  <c r="P875" i="1"/>
  <c r="O875" i="1"/>
  <c r="P871" i="1"/>
  <c r="O871" i="1"/>
  <c r="P867" i="1"/>
  <c r="O867" i="1"/>
  <c r="P863" i="1"/>
  <c r="O863" i="1"/>
  <c r="P859" i="1"/>
  <c r="O859" i="1"/>
  <c r="P855" i="1"/>
  <c r="O855" i="1"/>
  <c r="P851" i="1"/>
  <c r="O851" i="1"/>
  <c r="P847" i="1"/>
  <c r="O847" i="1"/>
  <c r="P843" i="1"/>
  <c r="O843" i="1"/>
  <c r="P839" i="1"/>
  <c r="O839" i="1"/>
  <c r="P835" i="1"/>
  <c r="O835" i="1"/>
  <c r="P831" i="1"/>
  <c r="O831" i="1"/>
  <c r="P827" i="1"/>
  <c r="O827" i="1"/>
  <c r="P823" i="1"/>
  <c r="O823" i="1"/>
  <c r="P819" i="1"/>
  <c r="O819" i="1"/>
  <c r="P815" i="1"/>
  <c r="O815" i="1"/>
  <c r="P811" i="1"/>
  <c r="O811" i="1"/>
  <c r="P807" i="1"/>
  <c r="O807" i="1"/>
  <c r="P803" i="1"/>
  <c r="O803" i="1"/>
  <c r="P799" i="1"/>
  <c r="O799" i="1"/>
  <c r="P795" i="1"/>
  <c r="O795" i="1"/>
  <c r="P791" i="1"/>
  <c r="O791" i="1"/>
  <c r="P787" i="1"/>
  <c r="O787" i="1"/>
  <c r="P783" i="1"/>
  <c r="O783" i="1"/>
  <c r="P779" i="1"/>
  <c r="O779" i="1"/>
  <c r="P775" i="1"/>
  <c r="O775" i="1"/>
  <c r="P771" i="1"/>
  <c r="O771" i="1"/>
  <c r="P767" i="1"/>
  <c r="O767" i="1"/>
  <c r="P763" i="1"/>
  <c r="O763" i="1"/>
  <c r="P759" i="1"/>
  <c r="O759" i="1"/>
  <c r="P755" i="1"/>
  <c r="O755" i="1"/>
  <c r="P751" i="1"/>
  <c r="O751" i="1"/>
  <c r="P747" i="1"/>
  <c r="O747" i="1"/>
  <c r="P743" i="1"/>
  <c r="O743" i="1"/>
  <c r="P739" i="1"/>
  <c r="O739" i="1"/>
  <c r="P735" i="1"/>
  <c r="O735" i="1"/>
  <c r="P731" i="1"/>
  <c r="O731" i="1"/>
  <c r="O727" i="1"/>
  <c r="P727" i="1" s="1"/>
  <c r="O723" i="1"/>
  <c r="P723" i="1" s="1"/>
  <c r="O719" i="1"/>
  <c r="P719" i="1" s="1"/>
  <c r="O716" i="1"/>
  <c r="P716" i="1" s="1"/>
  <c r="O712" i="1"/>
  <c r="P712" i="1" s="1"/>
  <c r="O708" i="1"/>
  <c r="P708" i="1" s="1"/>
  <c r="O700" i="1"/>
  <c r="P700" i="1" s="1"/>
  <c r="O696" i="1"/>
  <c r="P696" i="1" s="1"/>
  <c r="O692" i="1"/>
  <c r="P692" i="1" s="1"/>
  <c r="O688" i="1"/>
  <c r="P688" i="1" s="1"/>
  <c r="O684" i="1"/>
  <c r="P684" i="1" s="1"/>
  <c r="O680" i="1"/>
  <c r="P680" i="1" s="1"/>
  <c r="O675" i="1"/>
  <c r="P675" i="1" s="1"/>
  <c r="O671" i="1"/>
  <c r="P671" i="1" s="1"/>
  <c r="O667" i="1"/>
  <c r="P667" i="1" s="1"/>
  <c r="O663" i="1"/>
  <c r="P663" i="1" s="1"/>
  <c r="O659" i="1"/>
  <c r="P659" i="1" s="1"/>
  <c r="O655" i="1"/>
  <c r="P655" i="1" s="1"/>
  <c r="G31" i="3" s="1"/>
  <c r="J31" i="3" s="1"/>
  <c r="O651" i="1"/>
  <c r="P651" i="1" s="1"/>
  <c r="O647" i="1"/>
  <c r="P647" i="1" s="1"/>
  <c r="O643" i="1"/>
  <c r="P643" i="1" s="1"/>
  <c r="O639" i="1"/>
  <c r="P639" i="1" s="1"/>
  <c r="O635" i="1"/>
  <c r="P635" i="1" s="1"/>
  <c r="G8" i="3" s="1"/>
  <c r="J8" i="3" s="1"/>
  <c r="O631" i="1"/>
  <c r="P631" i="1" s="1"/>
  <c r="O627" i="1"/>
  <c r="P627" i="1" s="1"/>
  <c r="O623" i="1"/>
  <c r="P623" i="1" s="1"/>
  <c r="O619" i="1"/>
  <c r="P619" i="1" s="1"/>
  <c r="O615" i="1"/>
  <c r="P615" i="1" s="1"/>
  <c r="O611" i="1"/>
  <c r="P611" i="1" s="1"/>
  <c r="O606" i="1"/>
  <c r="P606" i="1" s="1"/>
  <c r="O602" i="1"/>
  <c r="P602" i="1" s="1"/>
  <c r="O598" i="1"/>
  <c r="P598" i="1" s="1"/>
  <c r="O579" i="1"/>
  <c r="P579" i="1" s="1"/>
  <c r="O575" i="1"/>
  <c r="P575" i="1" s="1"/>
  <c r="O570" i="1"/>
  <c r="P570" i="1" s="1"/>
  <c r="O566" i="1"/>
  <c r="P566" i="1" s="1"/>
  <c r="O562" i="1"/>
  <c r="P562" i="1" s="1"/>
  <c r="O558" i="1"/>
  <c r="P558" i="1" s="1"/>
  <c r="O554" i="1"/>
  <c r="P554" i="1" s="1"/>
  <c r="O550" i="1"/>
  <c r="P550" i="1" s="1"/>
  <c r="O546" i="1"/>
  <c r="P546" i="1" s="1"/>
  <c r="O542" i="1"/>
  <c r="P542" i="1" s="1"/>
  <c r="O538" i="1"/>
  <c r="P538" i="1" s="1"/>
  <c r="O534" i="1"/>
  <c r="P534" i="1" s="1"/>
  <c r="O530" i="1"/>
  <c r="P530" i="1" s="1"/>
  <c r="O526" i="1"/>
  <c r="P526" i="1" s="1"/>
  <c r="O522" i="1"/>
  <c r="P522" i="1" s="1"/>
  <c r="O518" i="1"/>
  <c r="P518" i="1" s="1"/>
  <c r="O514" i="1"/>
  <c r="P514" i="1" s="1"/>
  <c r="O510" i="1"/>
  <c r="P510" i="1" s="1"/>
  <c r="O506" i="1"/>
  <c r="P506" i="1" s="1"/>
  <c r="O502" i="1"/>
  <c r="P502" i="1" s="1"/>
  <c r="O498" i="1"/>
  <c r="P498" i="1" s="1"/>
  <c r="O494" i="1"/>
  <c r="P494" i="1" s="1"/>
  <c r="O490" i="1"/>
  <c r="P490" i="1" s="1"/>
  <c r="O486" i="1"/>
  <c r="P486" i="1" s="1"/>
  <c r="O482" i="1"/>
  <c r="P482" i="1" s="1"/>
  <c r="O478" i="1"/>
  <c r="P478" i="1" s="1"/>
  <c r="O474" i="1"/>
  <c r="P474" i="1" s="1"/>
  <c r="O470" i="1"/>
  <c r="P470" i="1" s="1"/>
  <c r="O465" i="1"/>
  <c r="P465" i="1" s="1"/>
  <c r="O461" i="1"/>
  <c r="P461" i="1" s="1"/>
  <c r="O457" i="1"/>
  <c r="P457" i="1" s="1"/>
  <c r="O453" i="1"/>
  <c r="P453" i="1" s="1"/>
  <c r="O449" i="1"/>
  <c r="P449" i="1" s="1"/>
  <c r="O445" i="1"/>
  <c r="P445" i="1" s="1"/>
  <c r="O441" i="1"/>
  <c r="P441" i="1" s="1"/>
  <c r="O437" i="1"/>
  <c r="P437" i="1" s="1"/>
  <c r="O434" i="1"/>
  <c r="P434" i="1" s="1"/>
  <c r="O430" i="1"/>
  <c r="P430" i="1" s="1"/>
  <c r="O426" i="1"/>
  <c r="P426" i="1" s="1"/>
  <c r="O422" i="1"/>
  <c r="P422" i="1" s="1"/>
  <c r="O418" i="1"/>
  <c r="P418" i="1" s="1"/>
  <c r="O414" i="1"/>
  <c r="P414" i="1" s="1"/>
  <c r="O410" i="1"/>
  <c r="P410" i="1" s="1"/>
  <c r="O406" i="1"/>
  <c r="P406" i="1" s="1"/>
  <c r="O402" i="1"/>
  <c r="P402" i="1" s="1"/>
  <c r="O398" i="1"/>
  <c r="P398" i="1" s="1"/>
  <c r="O393" i="1"/>
  <c r="P393" i="1" s="1"/>
  <c r="O388" i="1"/>
  <c r="P388" i="1" s="1"/>
  <c r="O384" i="1"/>
  <c r="P384" i="1" s="1"/>
  <c r="O380" i="1"/>
  <c r="P380" i="1" s="1"/>
  <c r="O376" i="1"/>
  <c r="P376" i="1" s="1"/>
  <c r="O372" i="1"/>
  <c r="P372" i="1" s="1"/>
  <c r="O368" i="1"/>
  <c r="P368" i="1" s="1"/>
  <c r="O364" i="1"/>
  <c r="P364" i="1" s="1"/>
  <c r="O360" i="1"/>
  <c r="P360" i="1" s="1"/>
  <c r="O356" i="1"/>
  <c r="P356" i="1" s="1"/>
  <c r="O352" i="1"/>
  <c r="P352" i="1" s="1"/>
  <c r="O348" i="1"/>
  <c r="P348" i="1" s="1"/>
  <c r="O344" i="1"/>
  <c r="P344" i="1" s="1"/>
  <c r="O340" i="1"/>
  <c r="P340" i="1" s="1"/>
  <c r="O336" i="1"/>
  <c r="P336" i="1" s="1"/>
  <c r="O332" i="1"/>
  <c r="P332" i="1" s="1"/>
  <c r="O328" i="1"/>
  <c r="P328" i="1" s="1"/>
  <c r="O324" i="1"/>
  <c r="P324" i="1" s="1"/>
  <c r="O320" i="1"/>
  <c r="P320" i="1" s="1"/>
  <c r="O316" i="1"/>
  <c r="P316" i="1" s="1"/>
  <c r="O313" i="1"/>
  <c r="P313" i="1" s="1"/>
  <c r="O309" i="1"/>
  <c r="P309" i="1" s="1"/>
  <c r="O305" i="1"/>
  <c r="P305" i="1" s="1"/>
  <c r="O299" i="1"/>
  <c r="P299" i="1" s="1"/>
  <c r="O295" i="1"/>
  <c r="P295" i="1" s="1"/>
  <c r="O291" i="1"/>
  <c r="P291" i="1" s="1"/>
  <c r="O287" i="1"/>
  <c r="P287" i="1" s="1"/>
  <c r="O283" i="1"/>
  <c r="P283" i="1" s="1"/>
  <c r="O279" i="1"/>
  <c r="P279" i="1" s="1"/>
  <c r="O275" i="1"/>
  <c r="P275" i="1" s="1"/>
  <c r="O271" i="1"/>
  <c r="P271" i="1" s="1"/>
  <c r="O267" i="1"/>
  <c r="P267" i="1" s="1"/>
  <c r="O263" i="1"/>
  <c r="P263" i="1" s="1"/>
  <c r="O259" i="1"/>
  <c r="P259" i="1" s="1"/>
  <c r="O255" i="1"/>
  <c r="P255" i="1" s="1"/>
  <c r="O251" i="1"/>
  <c r="P251" i="1" s="1"/>
  <c r="O245" i="1"/>
  <c r="P245" i="1" s="1"/>
  <c r="O241" i="1"/>
  <c r="P241" i="1" s="1"/>
  <c r="O237" i="1"/>
  <c r="P237" i="1" s="1"/>
  <c r="O233" i="1"/>
  <c r="P233" i="1" s="1"/>
  <c r="O225" i="1"/>
  <c r="P225" i="1" s="1"/>
  <c r="O221" i="1"/>
  <c r="P221" i="1" s="1"/>
  <c r="O217" i="1"/>
  <c r="P217" i="1" s="1"/>
  <c r="O213" i="1"/>
  <c r="P213" i="1" s="1"/>
  <c r="O209" i="1"/>
  <c r="P209" i="1" s="1"/>
  <c r="O205" i="1"/>
  <c r="P205" i="1" s="1"/>
  <c r="O201" i="1"/>
  <c r="P201" i="1" s="1"/>
  <c r="O196" i="1"/>
  <c r="P196" i="1" s="1"/>
  <c r="O192" i="1"/>
  <c r="P192" i="1" s="1"/>
  <c r="O188" i="1"/>
  <c r="P188" i="1" s="1"/>
  <c r="O184" i="1"/>
  <c r="P184" i="1" s="1"/>
  <c r="O180" i="1"/>
  <c r="P180" i="1" s="1"/>
  <c r="O176" i="1"/>
  <c r="P176" i="1" s="1"/>
  <c r="O172" i="1"/>
  <c r="P172" i="1" s="1"/>
  <c r="O168" i="1"/>
  <c r="P168" i="1" s="1"/>
  <c r="O164" i="1"/>
  <c r="P164" i="1" s="1"/>
  <c r="O160" i="1"/>
  <c r="P160" i="1" s="1"/>
  <c r="O156" i="1"/>
  <c r="P156" i="1" s="1"/>
  <c r="O152" i="1"/>
  <c r="P152" i="1" s="1"/>
  <c r="O148" i="1"/>
  <c r="P148" i="1" s="1"/>
  <c r="O145" i="1"/>
  <c r="P145" i="1" s="1"/>
  <c r="G13" i="3" s="1"/>
  <c r="J13" i="3" s="1"/>
  <c r="O141" i="1"/>
  <c r="P141" i="1" s="1"/>
  <c r="O137" i="1"/>
  <c r="P137" i="1" s="1"/>
  <c r="O133" i="1"/>
  <c r="P133" i="1" s="1"/>
  <c r="O129" i="1"/>
  <c r="P129" i="1" s="1"/>
  <c r="O125" i="1"/>
  <c r="P125" i="1" s="1"/>
  <c r="O120" i="1"/>
  <c r="P120" i="1" s="1"/>
  <c r="O115" i="1"/>
  <c r="P115" i="1" s="1"/>
  <c r="O111" i="1"/>
  <c r="P111" i="1" s="1"/>
  <c r="O107" i="1"/>
  <c r="P107" i="1" s="1"/>
  <c r="O103" i="1"/>
  <c r="P103" i="1" s="1"/>
  <c r="O97" i="1"/>
  <c r="P97" i="1" s="1"/>
  <c r="O89" i="1"/>
  <c r="P89" i="1" s="1"/>
  <c r="H10" i="3" s="1"/>
  <c r="I10" i="3" s="1"/>
  <c r="O85" i="1"/>
  <c r="P85" i="1" s="1"/>
  <c r="O81" i="1"/>
  <c r="P81" i="1" s="1"/>
  <c r="O72" i="1"/>
  <c r="P72" i="1" s="1"/>
  <c r="O63" i="1"/>
  <c r="P63" i="1" s="1"/>
  <c r="O59" i="1"/>
  <c r="P59" i="1" s="1"/>
  <c r="O54" i="1"/>
  <c r="P54" i="1" s="1"/>
  <c r="O50" i="1"/>
  <c r="P50" i="1" s="1"/>
  <c r="O46" i="1"/>
  <c r="P46" i="1" s="1"/>
  <c r="O42" i="1"/>
  <c r="P42" i="1" s="1"/>
  <c r="O1828" i="1"/>
  <c r="P1828" i="1" s="1"/>
  <c r="O1824" i="1"/>
  <c r="P1824" i="1" s="1"/>
  <c r="O1820" i="1"/>
  <c r="P1820" i="1" s="1"/>
  <c r="O1816" i="1"/>
  <c r="P1816" i="1" s="1"/>
  <c r="O1812" i="1"/>
  <c r="P1812" i="1" s="1"/>
  <c r="O1808" i="1"/>
  <c r="P1808" i="1" s="1"/>
  <c r="O1804" i="1"/>
  <c r="P1804" i="1" s="1"/>
  <c r="O1800" i="1"/>
  <c r="P1800" i="1" s="1"/>
  <c r="O1796" i="1"/>
  <c r="P1796" i="1" s="1"/>
  <c r="O1792" i="1"/>
  <c r="P1792" i="1" s="1"/>
  <c r="O1788" i="1"/>
  <c r="P1788" i="1" s="1"/>
  <c r="O1784" i="1"/>
  <c r="P1784" i="1" s="1"/>
  <c r="O1780" i="1"/>
  <c r="P1780" i="1" s="1"/>
  <c r="O1776" i="1"/>
  <c r="P1776" i="1" s="1"/>
  <c r="O1772" i="1"/>
  <c r="P1772" i="1" s="1"/>
  <c r="O1768" i="1"/>
  <c r="P1768" i="1" s="1"/>
  <c r="O1764" i="1"/>
  <c r="P1764" i="1" s="1"/>
  <c r="O1760" i="1"/>
  <c r="P1760" i="1" s="1"/>
  <c r="O1756" i="1"/>
  <c r="P1756" i="1" s="1"/>
  <c r="O1752" i="1"/>
  <c r="P1752" i="1" s="1"/>
  <c r="O1748" i="1"/>
  <c r="P1748" i="1" s="1"/>
  <c r="O1744" i="1"/>
  <c r="P1744" i="1" s="1"/>
  <c r="O1740" i="1"/>
  <c r="P1740" i="1" s="1"/>
  <c r="O1736" i="1"/>
  <c r="P1736" i="1" s="1"/>
  <c r="O1732" i="1"/>
  <c r="P1732" i="1" s="1"/>
  <c r="O1728" i="1"/>
  <c r="P1728" i="1" s="1"/>
  <c r="O1724" i="1"/>
  <c r="P1724" i="1" s="1"/>
  <c r="O1720" i="1"/>
  <c r="P1720" i="1" s="1"/>
  <c r="O1716" i="1"/>
  <c r="P1716" i="1" s="1"/>
  <c r="O1712" i="1"/>
  <c r="P1712" i="1" s="1"/>
  <c r="O1708" i="1"/>
  <c r="P1708" i="1" s="1"/>
  <c r="O1704" i="1"/>
  <c r="P1704" i="1" s="1"/>
  <c r="O1700" i="1"/>
  <c r="P1700" i="1" s="1"/>
  <c r="O1696" i="1"/>
  <c r="P1696" i="1" s="1"/>
  <c r="O1692" i="1"/>
  <c r="P1692" i="1" s="1"/>
  <c r="O1688" i="1"/>
  <c r="P1688" i="1" s="1"/>
  <c r="O1684" i="1"/>
  <c r="P1684" i="1" s="1"/>
  <c r="O1680" i="1"/>
  <c r="P1680" i="1" s="1"/>
  <c r="O1676" i="1"/>
  <c r="P1676" i="1" s="1"/>
  <c r="O1672" i="1"/>
  <c r="P1672" i="1" s="1"/>
  <c r="O1668" i="1"/>
  <c r="P1668" i="1" s="1"/>
  <c r="O1664" i="1"/>
  <c r="P1664" i="1" s="1"/>
  <c r="O1660" i="1"/>
  <c r="P1660" i="1" s="1"/>
  <c r="O1656" i="1"/>
  <c r="P1656" i="1" s="1"/>
  <c r="O1652" i="1"/>
  <c r="P1652" i="1" s="1"/>
  <c r="O1648" i="1"/>
  <c r="P1648" i="1" s="1"/>
  <c r="O1644" i="1"/>
  <c r="P1644" i="1" s="1"/>
  <c r="O1640" i="1"/>
  <c r="P1640" i="1" s="1"/>
  <c r="O1636" i="1"/>
  <c r="P1636" i="1" s="1"/>
  <c r="O1632" i="1"/>
  <c r="P1632" i="1" s="1"/>
  <c r="O1628" i="1"/>
  <c r="P1628" i="1" s="1"/>
  <c r="O1624" i="1"/>
  <c r="P1624" i="1" s="1"/>
  <c r="O1620" i="1"/>
  <c r="P1620" i="1" s="1"/>
  <c r="O1616" i="1"/>
  <c r="P1616" i="1" s="1"/>
  <c r="O1612" i="1"/>
  <c r="P1612" i="1" s="1"/>
  <c r="O1608" i="1"/>
  <c r="P1608" i="1" s="1"/>
  <c r="O1604" i="1"/>
  <c r="P1604" i="1" s="1"/>
  <c r="O1600" i="1"/>
  <c r="P1600" i="1" s="1"/>
  <c r="O1596" i="1"/>
  <c r="P1596" i="1" s="1"/>
  <c r="O1592" i="1"/>
  <c r="P1592" i="1" s="1"/>
  <c r="O1588" i="1"/>
  <c r="P1588" i="1" s="1"/>
  <c r="O1584" i="1"/>
  <c r="P1584" i="1" s="1"/>
  <c r="O1580" i="1"/>
  <c r="P1580" i="1" s="1"/>
  <c r="O1576" i="1"/>
  <c r="P1576" i="1" s="1"/>
  <c r="O1572" i="1"/>
  <c r="P1572" i="1" s="1"/>
  <c r="O1568" i="1"/>
  <c r="P1568" i="1" s="1"/>
  <c r="O1564" i="1"/>
  <c r="P1564" i="1" s="1"/>
  <c r="O1560" i="1"/>
  <c r="P1560" i="1" s="1"/>
  <c r="O1556" i="1"/>
  <c r="P1556" i="1" s="1"/>
  <c r="O1552" i="1"/>
  <c r="P1552" i="1" s="1"/>
  <c r="O1548" i="1"/>
  <c r="P1548" i="1" s="1"/>
  <c r="O1544" i="1"/>
  <c r="P1544" i="1" s="1"/>
  <c r="O1540" i="1"/>
  <c r="P1540" i="1" s="1"/>
  <c r="O1536" i="1"/>
  <c r="P1536" i="1" s="1"/>
  <c r="O1532" i="1"/>
  <c r="P1532" i="1" s="1"/>
  <c r="O1528" i="1"/>
  <c r="P1528" i="1" s="1"/>
  <c r="O1524" i="1"/>
  <c r="P1524" i="1" s="1"/>
  <c r="O1520" i="1"/>
  <c r="P1520" i="1" s="1"/>
  <c r="O1516" i="1"/>
  <c r="P1516" i="1" s="1"/>
  <c r="O1512" i="1"/>
  <c r="P1512" i="1" s="1"/>
  <c r="O1508" i="1"/>
  <c r="P1508" i="1" s="1"/>
  <c r="O1504" i="1"/>
  <c r="P1504" i="1" s="1"/>
  <c r="O1500" i="1"/>
  <c r="P1500" i="1" s="1"/>
  <c r="O1496" i="1"/>
  <c r="P1496" i="1" s="1"/>
  <c r="O1492" i="1"/>
  <c r="P1492" i="1" s="1"/>
  <c r="O1488" i="1"/>
  <c r="P1488" i="1" s="1"/>
  <c r="O1484" i="1"/>
  <c r="P1484" i="1" s="1"/>
  <c r="O1480" i="1"/>
  <c r="P1480" i="1" s="1"/>
  <c r="O1476" i="1"/>
  <c r="P1476" i="1" s="1"/>
  <c r="O1472" i="1"/>
  <c r="P1472" i="1" s="1"/>
  <c r="O1468" i="1"/>
  <c r="P1468" i="1" s="1"/>
  <c r="O1464" i="1"/>
  <c r="P1464" i="1" s="1"/>
  <c r="O1460" i="1"/>
  <c r="P1460" i="1" s="1"/>
  <c r="O1456" i="1"/>
  <c r="P1456" i="1" s="1"/>
  <c r="O1451" i="1"/>
  <c r="P1451" i="1" s="1"/>
  <c r="O1446" i="1"/>
  <c r="P1446" i="1" s="1"/>
  <c r="O1441" i="1"/>
  <c r="P1441" i="1" s="1"/>
  <c r="O1435" i="1"/>
  <c r="P1435" i="1" s="1"/>
  <c r="O1430" i="1"/>
  <c r="P1430" i="1" s="1"/>
  <c r="O1425" i="1"/>
  <c r="P1425" i="1" s="1"/>
  <c r="O1419" i="1"/>
  <c r="P1419" i="1" s="1"/>
  <c r="O1414" i="1"/>
  <c r="P1414" i="1" s="1"/>
  <c r="O1409" i="1"/>
  <c r="P1409" i="1" s="1"/>
  <c r="O1402" i="1"/>
  <c r="P1402" i="1" s="1"/>
  <c r="O1391" i="1"/>
  <c r="P1391" i="1" s="1"/>
  <c r="O1381" i="1"/>
  <c r="P1381" i="1" s="1"/>
  <c r="O1370" i="1"/>
  <c r="P1370" i="1" s="1"/>
  <c r="O1359" i="1"/>
  <c r="P1359" i="1" s="1"/>
  <c r="O1349" i="1"/>
  <c r="P1349" i="1" s="1"/>
  <c r="O1338" i="1"/>
  <c r="P1338" i="1" s="1"/>
  <c r="O1327" i="1"/>
  <c r="P1327" i="1" s="1"/>
  <c r="O1317" i="1"/>
  <c r="P1317" i="1" s="1"/>
  <c r="O1306" i="1"/>
  <c r="P1306" i="1" s="1"/>
  <c r="O1295" i="1"/>
  <c r="P1295" i="1" s="1"/>
  <c r="O1285" i="1"/>
  <c r="P1285" i="1" s="1"/>
  <c r="O1274" i="1"/>
  <c r="P1274" i="1" s="1"/>
  <c r="O1263" i="1"/>
  <c r="P1263" i="1" s="1"/>
  <c r="O1253" i="1"/>
  <c r="P1253" i="1" s="1"/>
  <c r="O1242" i="1"/>
  <c r="P1242" i="1" s="1"/>
  <c r="O1231" i="1"/>
  <c r="P1231" i="1" s="1"/>
  <c r="O1221" i="1"/>
  <c r="P1221" i="1" s="1"/>
  <c r="O1210" i="1"/>
  <c r="P1210" i="1" s="1"/>
  <c r="O1199" i="1"/>
  <c r="P1199" i="1" s="1"/>
  <c r="O1189" i="1"/>
  <c r="P1189" i="1" s="1"/>
  <c r="O1178" i="1"/>
  <c r="P1178" i="1" s="1"/>
  <c r="O1167" i="1"/>
  <c r="P1167" i="1" s="1"/>
  <c r="O1157" i="1"/>
  <c r="P1157" i="1" s="1"/>
  <c r="O1146" i="1"/>
  <c r="P1146" i="1" s="1"/>
  <c r="O1135" i="1"/>
  <c r="P1135" i="1" s="1"/>
  <c r="O1125" i="1"/>
  <c r="P1125" i="1" s="1"/>
  <c r="O1114" i="1"/>
  <c r="P1114" i="1" s="1"/>
  <c r="O1103" i="1"/>
  <c r="P1103" i="1" s="1"/>
  <c r="O1093" i="1"/>
  <c r="P1093" i="1" s="1"/>
  <c r="O1082" i="1"/>
  <c r="P1082" i="1" s="1"/>
  <c r="O1071" i="1"/>
  <c r="P1071" i="1" s="1"/>
  <c r="O1061" i="1"/>
  <c r="P1061" i="1" s="1"/>
  <c r="O1050" i="1"/>
  <c r="P1050" i="1" s="1"/>
  <c r="O1039" i="1"/>
  <c r="P1039" i="1" s="1"/>
  <c r="O1029" i="1"/>
  <c r="P1029" i="1" s="1"/>
  <c r="O1018" i="1"/>
  <c r="P1018" i="1" s="1"/>
  <c r="O1007" i="1"/>
  <c r="P1007" i="1" s="1"/>
  <c r="O997" i="1"/>
  <c r="P997" i="1" s="1"/>
  <c r="O986" i="1"/>
  <c r="P986" i="1" s="1"/>
  <c r="O975" i="1"/>
  <c r="P975" i="1" s="1"/>
  <c r="O965" i="1"/>
  <c r="P965" i="1" s="1"/>
  <c r="O954" i="1"/>
  <c r="P954" i="1" s="1"/>
  <c r="O943" i="1"/>
  <c r="P943" i="1" s="1"/>
  <c r="O933" i="1"/>
  <c r="P933" i="1" s="1"/>
  <c r="O922" i="1"/>
  <c r="P922" i="1" s="1"/>
  <c r="O911" i="1"/>
  <c r="P911" i="1" s="1"/>
  <c r="O898" i="1"/>
  <c r="P898" i="1" s="1"/>
  <c r="O882" i="1"/>
  <c r="P882" i="1" s="1"/>
  <c r="O866" i="1"/>
  <c r="P866" i="1" s="1"/>
  <c r="O850" i="1"/>
  <c r="P850" i="1" s="1"/>
  <c r="O834" i="1"/>
  <c r="P834" i="1" s="1"/>
  <c r="O818" i="1"/>
  <c r="P818" i="1" s="1"/>
  <c r="O802" i="1"/>
  <c r="P802" i="1" s="1"/>
  <c r="O786" i="1"/>
  <c r="P786" i="1" s="1"/>
  <c r="O770" i="1"/>
  <c r="P770" i="1" s="1"/>
  <c r="O754" i="1"/>
  <c r="P754" i="1" s="1"/>
  <c r="O738" i="1"/>
  <c r="P738" i="1" s="1"/>
  <c r="O722" i="1"/>
  <c r="P722" i="1" s="1"/>
  <c r="O707" i="1"/>
  <c r="P707" i="1" s="1"/>
  <c r="O691" i="1"/>
  <c r="P691" i="1" s="1"/>
  <c r="O674" i="1"/>
  <c r="P674" i="1" s="1"/>
  <c r="O658" i="1"/>
  <c r="P658" i="1" s="1"/>
  <c r="O642" i="1"/>
  <c r="P642" i="1" s="1"/>
  <c r="O626" i="1"/>
  <c r="P626" i="1" s="1"/>
  <c r="O610" i="1"/>
  <c r="P610" i="1" s="1"/>
  <c r="O578" i="1"/>
  <c r="P578" i="1" s="1"/>
  <c r="O561" i="1"/>
  <c r="P561" i="1" s="1"/>
  <c r="O545" i="1"/>
  <c r="P545" i="1" s="1"/>
  <c r="O529" i="1"/>
  <c r="P529" i="1" s="1"/>
  <c r="O513" i="1"/>
  <c r="P513" i="1" s="1"/>
  <c r="O497" i="1"/>
  <c r="P497" i="1" s="1"/>
  <c r="O477" i="1"/>
  <c r="P477" i="1" s="1"/>
  <c r="O444" i="1"/>
  <c r="P444" i="1" s="1"/>
  <c r="O413" i="1"/>
  <c r="P413" i="1" s="1"/>
  <c r="O379" i="1"/>
  <c r="P379" i="1" s="1"/>
  <c r="O347" i="1"/>
  <c r="P347" i="1" s="1"/>
  <c r="O315" i="1"/>
  <c r="P315" i="1" s="1"/>
  <c r="O282" i="1"/>
  <c r="P282" i="1" s="1"/>
  <c r="O250" i="1"/>
  <c r="P250" i="1" s="1"/>
  <c r="O220" i="1"/>
  <c r="P220" i="1" s="1"/>
  <c r="O187" i="1"/>
  <c r="P187" i="1" s="1"/>
  <c r="O155" i="1"/>
  <c r="P155" i="1" s="1"/>
  <c r="O116" i="1"/>
  <c r="P116" i="1" s="1"/>
  <c r="O68" i="1"/>
  <c r="P68" i="1" s="1"/>
  <c r="P12" i="1"/>
  <c r="G3" i="3" s="1"/>
  <c r="J3" i="3" s="1"/>
  <c r="D2" i="4"/>
  <c r="H5" i="3"/>
  <c r="I5" i="3" s="1"/>
  <c r="H3" i="3"/>
  <c r="I3" i="3" s="1"/>
  <c r="J50" i="3"/>
  <c r="J36" i="3"/>
  <c r="J35" i="3"/>
  <c r="J44" i="3"/>
  <c r="J32" i="3"/>
  <c r="J15" i="3"/>
  <c r="J5" i="3"/>
  <c r="J47" i="3"/>
  <c r="J43" i="3"/>
  <c r="J39" i="3"/>
  <c r="F1553" i="3"/>
  <c r="J1553" i="3"/>
  <c r="F1549" i="3"/>
  <c r="J1549" i="3"/>
  <c r="F1545" i="3"/>
  <c r="J1545" i="3"/>
  <c r="F1541" i="3"/>
  <c r="J1541" i="3"/>
  <c r="F1537" i="3"/>
  <c r="J1537" i="3"/>
  <c r="F1529" i="3"/>
  <c r="J1529" i="3"/>
  <c r="F1497" i="3"/>
  <c r="J1497" i="3"/>
  <c r="F1481" i="3"/>
  <c r="J1481" i="3"/>
  <c r="F1473" i="3"/>
  <c r="J1473" i="3"/>
  <c r="F1260" i="3"/>
  <c r="J1260" i="3"/>
  <c r="F1255" i="3"/>
  <c r="J1255" i="3"/>
  <c r="F1244" i="3"/>
  <c r="J1244" i="3"/>
  <c r="F1239" i="3"/>
  <c r="J1239" i="3"/>
  <c r="F1174" i="3"/>
  <c r="J1174" i="3"/>
  <c r="F1166" i="3"/>
  <c r="J1166" i="3"/>
  <c r="F1142" i="3"/>
  <c r="J1142" i="3"/>
  <c r="F1126" i="3"/>
  <c r="J1126" i="3"/>
  <c r="F1110" i="3"/>
  <c r="J1110" i="3"/>
  <c r="F1094" i="3"/>
  <c r="J1094" i="3"/>
  <c r="F1086" i="3"/>
  <c r="J1086" i="3"/>
  <c r="F1070" i="3"/>
  <c r="J1070" i="3"/>
  <c r="F1054" i="3"/>
  <c r="J1054" i="3"/>
  <c r="F1030" i="3"/>
  <c r="J1030" i="3"/>
  <c r="F1014" i="3"/>
  <c r="J1014" i="3"/>
  <c r="F990" i="3"/>
  <c r="J990" i="3"/>
  <c r="F953" i="3"/>
  <c r="J953" i="3"/>
  <c r="F948" i="3"/>
  <c r="J948" i="3"/>
  <c r="F884" i="3"/>
  <c r="J884" i="3"/>
  <c r="F860" i="3"/>
  <c r="J860" i="3"/>
  <c r="F844" i="3"/>
  <c r="J844" i="3"/>
  <c r="F836" i="3"/>
  <c r="J836" i="3"/>
  <c r="F828" i="3"/>
  <c r="J828" i="3"/>
  <c r="F447" i="3"/>
  <c r="J447" i="3"/>
  <c r="F339" i="3"/>
  <c r="J339" i="3"/>
  <c r="F228" i="3"/>
  <c r="J228" i="3"/>
  <c r="F161" i="3"/>
  <c r="J161" i="3"/>
  <c r="F145" i="3"/>
  <c r="J145" i="3"/>
  <c r="F129" i="3"/>
  <c r="J129" i="3"/>
  <c r="F113" i="3"/>
  <c r="J113" i="3"/>
  <c r="F1535" i="3"/>
  <c r="J1535" i="3"/>
  <c r="F1527" i="3"/>
  <c r="J1527" i="3"/>
  <c r="F1519" i="3"/>
  <c r="J1519" i="3"/>
  <c r="F1511" i="3"/>
  <c r="J1511" i="3"/>
  <c r="F1503" i="3"/>
  <c r="J1503" i="3"/>
  <c r="F1495" i="3"/>
  <c r="J1495" i="3"/>
  <c r="F1487" i="3"/>
  <c r="J1487" i="3"/>
  <c r="F1479" i="3"/>
  <c r="J1479" i="3"/>
  <c r="F1471" i="3"/>
  <c r="J1471" i="3"/>
  <c r="F1463" i="3"/>
  <c r="J1463" i="3"/>
  <c r="F1455" i="3"/>
  <c r="J1455" i="3"/>
  <c r="F1447" i="3"/>
  <c r="J1447" i="3"/>
  <c r="F1439" i="3"/>
  <c r="J1439" i="3"/>
  <c r="F1267" i="3"/>
  <c r="J1267" i="3"/>
  <c r="F1256" i="3"/>
  <c r="J1256" i="3"/>
  <c r="F1251" i="3"/>
  <c r="J1251" i="3"/>
  <c r="F1240" i="3"/>
  <c r="J1240" i="3"/>
  <c r="F1235" i="3"/>
  <c r="J1235" i="3"/>
  <c r="F1573" i="3"/>
  <c r="J1573" i="3"/>
  <c r="F1569" i="3"/>
  <c r="J1569" i="3"/>
  <c r="F1565" i="3"/>
  <c r="J1565" i="3"/>
  <c r="F1561" i="3"/>
  <c r="J1561" i="3"/>
  <c r="F1557" i="3"/>
  <c r="J1557" i="3"/>
  <c r="F1521" i="3"/>
  <c r="J1521" i="3"/>
  <c r="F1513" i="3"/>
  <c r="J1513" i="3"/>
  <c r="F1505" i="3"/>
  <c r="J1505" i="3"/>
  <c r="F1489" i="3"/>
  <c r="J1489" i="3"/>
  <c r="F1465" i="3"/>
  <c r="J1465" i="3"/>
  <c r="F1457" i="3"/>
  <c r="J1457" i="3"/>
  <c r="F1449" i="3"/>
  <c r="J1449" i="3"/>
  <c r="F1441" i="3"/>
  <c r="J1441" i="3"/>
  <c r="F1190" i="3"/>
  <c r="J1190" i="3"/>
  <c r="F1182" i="3"/>
  <c r="J1182" i="3"/>
  <c r="F1158" i="3"/>
  <c r="J1158" i="3"/>
  <c r="F1150" i="3"/>
  <c r="J1150" i="3"/>
  <c r="F1134" i="3"/>
  <c r="J1134" i="3"/>
  <c r="F1118" i="3"/>
  <c r="J1118" i="3"/>
  <c r="F1102" i="3"/>
  <c r="J1102" i="3"/>
  <c r="F1078" i="3"/>
  <c r="J1078" i="3"/>
  <c r="F1062" i="3"/>
  <c r="J1062" i="3"/>
  <c r="F1046" i="3"/>
  <c r="J1046" i="3"/>
  <c r="F1038" i="3"/>
  <c r="J1038" i="3"/>
  <c r="F1022" i="3"/>
  <c r="J1022" i="3"/>
  <c r="F1006" i="3"/>
  <c r="J1006" i="3"/>
  <c r="F998" i="3"/>
  <c r="J998" i="3"/>
  <c r="F982" i="3"/>
  <c r="J982" i="3"/>
  <c r="F969" i="3"/>
  <c r="J969" i="3"/>
  <c r="F964" i="3"/>
  <c r="J964" i="3"/>
  <c r="F937" i="3"/>
  <c r="J937" i="3"/>
  <c r="F932" i="3"/>
  <c r="J932" i="3"/>
  <c r="F908" i="3"/>
  <c r="J908" i="3"/>
  <c r="F876" i="3"/>
  <c r="J876" i="3"/>
  <c r="F868" i="3"/>
  <c r="J868" i="3"/>
  <c r="F852" i="3"/>
  <c r="J852" i="3"/>
  <c r="F774" i="3"/>
  <c r="J774" i="3"/>
  <c r="F742" i="3"/>
  <c r="J742" i="3"/>
  <c r="F431" i="3"/>
  <c r="J431" i="3"/>
  <c r="F276" i="3"/>
  <c r="J276" i="3"/>
  <c r="F260" i="3"/>
  <c r="J260" i="3"/>
  <c r="F244" i="3"/>
  <c r="J244" i="3"/>
  <c r="F212" i="3"/>
  <c r="J212" i="3"/>
  <c r="F196" i="3"/>
  <c r="J196" i="3"/>
  <c r="F176" i="3"/>
  <c r="J176" i="3"/>
  <c r="J1999" i="3"/>
  <c r="J1997" i="3"/>
  <c r="J1995" i="3"/>
  <c r="J1993" i="3"/>
  <c r="J1991" i="3"/>
  <c r="J1989" i="3"/>
  <c r="J1987" i="3"/>
  <c r="J1985" i="3"/>
  <c r="J1983" i="3"/>
  <c r="J1981" i="3"/>
  <c r="J1979" i="3"/>
  <c r="J1977" i="3"/>
  <c r="J1975" i="3"/>
  <c r="J1973" i="3"/>
  <c r="J1971" i="3"/>
  <c r="J1969" i="3"/>
  <c r="J1967" i="3"/>
  <c r="J1965" i="3"/>
  <c r="J1963" i="3"/>
  <c r="J1961" i="3"/>
  <c r="J1959" i="3"/>
  <c r="J1957" i="3"/>
  <c r="J1955" i="3"/>
  <c r="J1953" i="3"/>
  <c r="J1951" i="3"/>
  <c r="J1949" i="3"/>
  <c r="J1947" i="3"/>
  <c r="J1945" i="3"/>
  <c r="J1943" i="3"/>
  <c r="J1941" i="3"/>
  <c r="J1939" i="3"/>
  <c r="J1937" i="3"/>
  <c r="J1935" i="3"/>
  <c r="J1933" i="3"/>
  <c r="J1931" i="3"/>
  <c r="J1929" i="3"/>
  <c r="J1927" i="3"/>
  <c r="J1925" i="3"/>
  <c r="J1923" i="3"/>
  <c r="J1921" i="3"/>
  <c r="J1919" i="3"/>
  <c r="J1917" i="3"/>
  <c r="J1915" i="3"/>
  <c r="J1913" i="3"/>
  <c r="J1911" i="3"/>
  <c r="J1909" i="3"/>
  <c r="J1907" i="3"/>
  <c r="J1905" i="3"/>
  <c r="J1903" i="3"/>
  <c r="J1901" i="3"/>
  <c r="J1899" i="3"/>
  <c r="J1897" i="3"/>
  <c r="J1895" i="3"/>
  <c r="J1893" i="3"/>
  <c r="J1891" i="3"/>
  <c r="J1889" i="3"/>
  <c r="J1887" i="3"/>
  <c r="J1885" i="3"/>
  <c r="J1883" i="3"/>
  <c r="J1881" i="3"/>
  <c r="J1879" i="3"/>
  <c r="J1877" i="3"/>
  <c r="J1875" i="3"/>
  <c r="J1873" i="3"/>
  <c r="J1871" i="3"/>
  <c r="J1869" i="3"/>
  <c r="J1867" i="3"/>
  <c r="J1865" i="3"/>
  <c r="J1863" i="3"/>
  <c r="J1861" i="3"/>
  <c r="J1859" i="3"/>
  <c r="J1857" i="3"/>
  <c r="J1855" i="3"/>
  <c r="J1853" i="3"/>
  <c r="J1851" i="3"/>
  <c r="J1849" i="3"/>
  <c r="J1847" i="3"/>
  <c r="J1845" i="3"/>
  <c r="J1843" i="3"/>
  <c r="J1841" i="3"/>
  <c r="J1839" i="3"/>
  <c r="J1837" i="3"/>
  <c r="J1835" i="3"/>
  <c r="J1833" i="3"/>
  <c r="J1831" i="3"/>
  <c r="J1829" i="3"/>
  <c r="J1827" i="3"/>
  <c r="J1825" i="3"/>
  <c r="J1823" i="3"/>
  <c r="J1821" i="3"/>
  <c r="J1819" i="3"/>
  <c r="J1817" i="3"/>
  <c r="J1815" i="3"/>
  <c r="J1813" i="3"/>
  <c r="J1811" i="3"/>
  <c r="J1809" i="3"/>
  <c r="J1807" i="3"/>
  <c r="J1805" i="3"/>
  <c r="J1803" i="3"/>
  <c r="J1801" i="3"/>
  <c r="J1799" i="3"/>
  <c r="J1797" i="3"/>
  <c r="J1795" i="3"/>
  <c r="J1793" i="3"/>
  <c r="J1791" i="3"/>
  <c r="J1789" i="3"/>
  <c r="J1787" i="3"/>
  <c r="J1785" i="3"/>
  <c r="J1783" i="3"/>
  <c r="J1781" i="3"/>
  <c r="J1779" i="3"/>
  <c r="J1777" i="3"/>
  <c r="J1775" i="3"/>
  <c r="J1773" i="3"/>
  <c r="J1771" i="3"/>
  <c r="J1769" i="3"/>
  <c r="J1767" i="3"/>
  <c r="J1765" i="3"/>
  <c r="J1763" i="3"/>
  <c r="J1761" i="3"/>
  <c r="J1759" i="3"/>
  <c r="J1757" i="3"/>
  <c r="J1755" i="3"/>
  <c r="J1753" i="3"/>
  <c r="J1751" i="3"/>
  <c r="J1749" i="3"/>
  <c r="J1747" i="3"/>
  <c r="J1745" i="3"/>
  <c r="J1743" i="3"/>
  <c r="J1741" i="3"/>
  <c r="J1739" i="3"/>
  <c r="J1737" i="3"/>
  <c r="J1735" i="3"/>
  <c r="J1733" i="3"/>
  <c r="J1731" i="3"/>
  <c r="J1729" i="3"/>
  <c r="J1727" i="3"/>
  <c r="J1725" i="3"/>
  <c r="J1723" i="3"/>
  <c r="J1721" i="3"/>
  <c r="J1719" i="3"/>
  <c r="J1717" i="3"/>
  <c r="J1715" i="3"/>
  <c r="J1713" i="3"/>
  <c r="J1711" i="3"/>
  <c r="J1709" i="3"/>
  <c r="J1707" i="3"/>
  <c r="J1705" i="3"/>
  <c r="J1703" i="3"/>
  <c r="J1701" i="3"/>
  <c r="J1699" i="3"/>
  <c r="J1697" i="3"/>
  <c r="J1695" i="3"/>
  <c r="J1693" i="3"/>
  <c r="J1691" i="3"/>
  <c r="J1689" i="3"/>
  <c r="J1687" i="3"/>
  <c r="J1685" i="3"/>
  <c r="J1683" i="3"/>
  <c r="J1681" i="3"/>
  <c r="J1679" i="3"/>
  <c r="J1677" i="3"/>
  <c r="J1675" i="3"/>
  <c r="J1673" i="3"/>
  <c r="J1671" i="3"/>
  <c r="J1669" i="3"/>
  <c r="J1667" i="3"/>
  <c r="J1665" i="3"/>
  <c r="J1663" i="3"/>
  <c r="J1661" i="3"/>
  <c r="J1659" i="3"/>
  <c r="J1657" i="3"/>
  <c r="J1655" i="3"/>
  <c r="J1653" i="3"/>
  <c r="J1651" i="3"/>
  <c r="J1649" i="3"/>
  <c r="J1647" i="3"/>
  <c r="J1645" i="3"/>
  <c r="J1643" i="3"/>
  <c r="J1641" i="3"/>
  <c r="J1639" i="3"/>
  <c r="J1637" i="3"/>
  <c r="J1635" i="3"/>
  <c r="J1633" i="3"/>
  <c r="J1631" i="3"/>
  <c r="J1629" i="3"/>
  <c r="J1627" i="3"/>
  <c r="J1625" i="3"/>
  <c r="J1623" i="3"/>
  <c r="J1621" i="3"/>
  <c r="J1619" i="3"/>
  <c r="J1617" i="3"/>
  <c r="J1615" i="3"/>
  <c r="J1613" i="3"/>
  <c r="J1611" i="3"/>
  <c r="J1609" i="3"/>
  <c r="J1607" i="3"/>
  <c r="J1605" i="3"/>
  <c r="J1603" i="3"/>
  <c r="J1601" i="3"/>
  <c r="J1599" i="3"/>
  <c r="J1597" i="3"/>
  <c r="J1595" i="3"/>
  <c r="J1593" i="3"/>
  <c r="J1591" i="3"/>
  <c r="J1589" i="3"/>
  <c r="J1587" i="3"/>
  <c r="J1585" i="3"/>
  <c r="J1583" i="3"/>
  <c r="J1581" i="3"/>
  <c r="J1579" i="3"/>
  <c r="J1577" i="3"/>
  <c r="F1571" i="3"/>
  <c r="J1571" i="3"/>
  <c r="F1567" i="3"/>
  <c r="J1567" i="3"/>
  <c r="F1563" i="3"/>
  <c r="J1563" i="3"/>
  <c r="F1559" i="3"/>
  <c r="J1559" i="3"/>
  <c r="F1555" i="3"/>
  <c r="J1555" i="3"/>
  <c r="F1551" i="3"/>
  <c r="J1551" i="3"/>
  <c r="F1547" i="3"/>
  <c r="J1547" i="3"/>
  <c r="F1543" i="3"/>
  <c r="J1543" i="3"/>
  <c r="F1539" i="3"/>
  <c r="J1539" i="3"/>
  <c r="F1533" i="3"/>
  <c r="J1533" i="3"/>
  <c r="F1525" i="3"/>
  <c r="J1525" i="3"/>
  <c r="F1517" i="3"/>
  <c r="J1517" i="3"/>
  <c r="F1509" i="3"/>
  <c r="J1509" i="3"/>
  <c r="F1501" i="3"/>
  <c r="J1501" i="3"/>
  <c r="F1493" i="3"/>
  <c r="J1493" i="3"/>
  <c r="F1485" i="3"/>
  <c r="J1485" i="3"/>
  <c r="F1477" i="3"/>
  <c r="J1477" i="3"/>
  <c r="F1469" i="3"/>
  <c r="J1469" i="3"/>
  <c r="F1461" i="3"/>
  <c r="J1461" i="3"/>
  <c r="F1453" i="3"/>
  <c r="J1453" i="3"/>
  <c r="F1445" i="3"/>
  <c r="J1445" i="3"/>
  <c r="F1268" i="3"/>
  <c r="J1268" i="3"/>
  <c r="F1263" i="3"/>
  <c r="J1263" i="3"/>
  <c r="F1252" i="3"/>
  <c r="J1252" i="3"/>
  <c r="F1247" i="3"/>
  <c r="J1247" i="3"/>
  <c r="F1236" i="3"/>
  <c r="J1236" i="3"/>
  <c r="J1574" i="3"/>
  <c r="J1570" i="3"/>
  <c r="J1566" i="3"/>
  <c r="J1562" i="3"/>
  <c r="J1558" i="3"/>
  <c r="J1554" i="3"/>
  <c r="J1550" i="3"/>
  <c r="J1546" i="3"/>
  <c r="J1542" i="3"/>
  <c r="F1531" i="3"/>
  <c r="J1531" i="3"/>
  <c r="F1523" i="3"/>
  <c r="J1523" i="3"/>
  <c r="F1515" i="3"/>
  <c r="J1515" i="3"/>
  <c r="F1507" i="3"/>
  <c r="J1507" i="3"/>
  <c r="F1499" i="3"/>
  <c r="J1499" i="3"/>
  <c r="F1491" i="3"/>
  <c r="J1491" i="3"/>
  <c r="F1483" i="3"/>
  <c r="J1483" i="3"/>
  <c r="F1475" i="3"/>
  <c r="J1475" i="3"/>
  <c r="F1467" i="3"/>
  <c r="J1467" i="3"/>
  <c r="F1459" i="3"/>
  <c r="J1459" i="3"/>
  <c r="F1451" i="3"/>
  <c r="J1451" i="3"/>
  <c r="F1443" i="3"/>
  <c r="J1443" i="3"/>
  <c r="F1264" i="3"/>
  <c r="J1264" i="3"/>
  <c r="F1259" i="3"/>
  <c r="J1259" i="3"/>
  <c r="F1248" i="3"/>
  <c r="J1248" i="3"/>
  <c r="F1243" i="3"/>
  <c r="J1243" i="3"/>
  <c r="J1266" i="3"/>
  <c r="J1262" i="3"/>
  <c r="J1258" i="3"/>
  <c r="J1254" i="3"/>
  <c r="J1250" i="3"/>
  <c r="J1246" i="3"/>
  <c r="J1242" i="3"/>
  <c r="J1238" i="3"/>
  <c r="F1192" i="3"/>
  <c r="J1192" i="3"/>
  <c r="F1184" i="3"/>
  <c r="J1184" i="3"/>
  <c r="F1176" i="3"/>
  <c r="J1176" i="3"/>
  <c r="F1168" i="3"/>
  <c r="J1168" i="3"/>
  <c r="F1160" i="3"/>
  <c r="J1160" i="3"/>
  <c r="F1152" i="3"/>
  <c r="J1152" i="3"/>
  <c r="F1144" i="3"/>
  <c r="J1144" i="3"/>
  <c r="F1136" i="3"/>
  <c r="J1136" i="3"/>
  <c r="F1128" i="3"/>
  <c r="J1128" i="3"/>
  <c r="F1120" i="3"/>
  <c r="J1120" i="3"/>
  <c r="F1112" i="3"/>
  <c r="J1112" i="3"/>
  <c r="F1104" i="3"/>
  <c r="J1104" i="3"/>
  <c r="F1096" i="3"/>
  <c r="J1096" i="3"/>
  <c r="F1088" i="3"/>
  <c r="J1088" i="3"/>
  <c r="F1080" i="3"/>
  <c r="J1080" i="3"/>
  <c r="F1072" i="3"/>
  <c r="J1072" i="3"/>
  <c r="F1064" i="3"/>
  <c r="J1064" i="3"/>
  <c r="F1056" i="3"/>
  <c r="J1056" i="3"/>
  <c r="F1048" i="3"/>
  <c r="J1048" i="3"/>
  <c r="F1040" i="3"/>
  <c r="J1040" i="3"/>
  <c r="F1032" i="3"/>
  <c r="J1032" i="3"/>
  <c r="F1024" i="3"/>
  <c r="J1024" i="3"/>
  <c r="F1016" i="3"/>
  <c r="J1016" i="3"/>
  <c r="F1008" i="3"/>
  <c r="J1008" i="3"/>
  <c r="F1000" i="3"/>
  <c r="J1000" i="3"/>
  <c r="F992" i="3"/>
  <c r="J992" i="3"/>
  <c r="F984" i="3"/>
  <c r="J984" i="3"/>
  <c r="F976" i="3"/>
  <c r="J976" i="3"/>
  <c r="F965" i="3"/>
  <c r="J965" i="3"/>
  <c r="F960" i="3"/>
  <c r="J960" i="3"/>
  <c r="F949" i="3"/>
  <c r="J949" i="3"/>
  <c r="F944" i="3"/>
  <c r="J944" i="3"/>
  <c r="F933" i="3"/>
  <c r="J933" i="3"/>
  <c r="F928" i="3"/>
  <c r="J928" i="3"/>
  <c r="F900" i="3"/>
  <c r="J900" i="3"/>
  <c r="J1437" i="3"/>
  <c r="J1435" i="3"/>
  <c r="J1433" i="3"/>
  <c r="J1431" i="3"/>
  <c r="J1429" i="3"/>
  <c r="J1427" i="3"/>
  <c r="J1425" i="3"/>
  <c r="J1423" i="3"/>
  <c r="J1421" i="3"/>
  <c r="J1419" i="3"/>
  <c r="J1417" i="3"/>
  <c r="J1415" i="3"/>
  <c r="J1413" i="3"/>
  <c r="J1411" i="3"/>
  <c r="J1409" i="3"/>
  <c r="J1407" i="3"/>
  <c r="J1405" i="3"/>
  <c r="J1403" i="3"/>
  <c r="J1401" i="3"/>
  <c r="J1399" i="3"/>
  <c r="J1397" i="3"/>
  <c r="J1395" i="3"/>
  <c r="J1393" i="3"/>
  <c r="J1391" i="3"/>
  <c r="J1389" i="3"/>
  <c r="J1387" i="3"/>
  <c r="J1385" i="3"/>
  <c r="J1383" i="3"/>
  <c r="J1381" i="3"/>
  <c r="J1379" i="3"/>
  <c r="J1377" i="3"/>
  <c r="J1375" i="3"/>
  <c r="J1373" i="3"/>
  <c r="J1371" i="3"/>
  <c r="J1369" i="3"/>
  <c r="J1367" i="3"/>
  <c r="J1365" i="3"/>
  <c r="J1363" i="3"/>
  <c r="J1361" i="3"/>
  <c r="J1359" i="3"/>
  <c r="J1357" i="3"/>
  <c r="J1355" i="3"/>
  <c r="J1353" i="3"/>
  <c r="J1351" i="3"/>
  <c r="J1349" i="3"/>
  <c r="J1347" i="3"/>
  <c r="J1345" i="3"/>
  <c r="J1343" i="3"/>
  <c r="J1341" i="3"/>
  <c r="J1339" i="3"/>
  <c r="J1337" i="3"/>
  <c r="J1335" i="3"/>
  <c r="J1333" i="3"/>
  <c r="J1331" i="3"/>
  <c r="J1329" i="3"/>
  <c r="J1327" i="3"/>
  <c r="J1325" i="3"/>
  <c r="J1323" i="3"/>
  <c r="J1321" i="3"/>
  <c r="J1319" i="3"/>
  <c r="J1317" i="3"/>
  <c r="J1315" i="3"/>
  <c r="J1313" i="3"/>
  <c r="J1311" i="3"/>
  <c r="J1309" i="3"/>
  <c r="J1307" i="3"/>
  <c r="J1305" i="3"/>
  <c r="J1303" i="3"/>
  <c r="J1301" i="3"/>
  <c r="J1299" i="3"/>
  <c r="J1297" i="3"/>
  <c r="J1295" i="3"/>
  <c r="J1293" i="3"/>
  <c r="J1291" i="3"/>
  <c r="J1289" i="3"/>
  <c r="J1287" i="3"/>
  <c r="J1285" i="3"/>
  <c r="J1283" i="3"/>
  <c r="J1281" i="3"/>
  <c r="J1279" i="3"/>
  <c r="J1277" i="3"/>
  <c r="J1275" i="3"/>
  <c r="J1273" i="3"/>
  <c r="J1271" i="3"/>
  <c r="F1265" i="3"/>
  <c r="J1265" i="3"/>
  <c r="F1261" i="3"/>
  <c r="J1261" i="3"/>
  <c r="F1257" i="3"/>
  <c r="J1257" i="3"/>
  <c r="F1253" i="3"/>
  <c r="J1253" i="3"/>
  <c r="F1249" i="3"/>
  <c r="J1249" i="3"/>
  <c r="F1245" i="3"/>
  <c r="J1245" i="3"/>
  <c r="F1241" i="3"/>
  <c r="J1241" i="3"/>
  <c r="F1237" i="3"/>
  <c r="J1237" i="3"/>
  <c r="F1233" i="3"/>
  <c r="J1233" i="3"/>
  <c r="F1232" i="3"/>
  <c r="J1232" i="3"/>
  <c r="F1231" i="3"/>
  <c r="J1231" i="3"/>
  <c r="F1230" i="3"/>
  <c r="J1230" i="3"/>
  <c r="F1229" i="3"/>
  <c r="J1229" i="3"/>
  <c r="F1228" i="3"/>
  <c r="J1228" i="3"/>
  <c r="F1227" i="3"/>
  <c r="J1227" i="3"/>
  <c r="F1226" i="3"/>
  <c r="J1226" i="3"/>
  <c r="F1225" i="3"/>
  <c r="J1225" i="3"/>
  <c r="F1224" i="3"/>
  <c r="J1224" i="3"/>
  <c r="F1223" i="3"/>
  <c r="J1223" i="3"/>
  <c r="F1222" i="3"/>
  <c r="J1222" i="3"/>
  <c r="F1221" i="3"/>
  <c r="J1221" i="3"/>
  <c r="F1220" i="3"/>
  <c r="J1220" i="3"/>
  <c r="F1219" i="3"/>
  <c r="J1219" i="3"/>
  <c r="F1218" i="3"/>
  <c r="J1218" i="3"/>
  <c r="F1217" i="3"/>
  <c r="J1217" i="3"/>
  <c r="F1216" i="3"/>
  <c r="J1216" i="3"/>
  <c r="F1215" i="3"/>
  <c r="J1215" i="3"/>
  <c r="F1214" i="3"/>
  <c r="J1214" i="3"/>
  <c r="F1213" i="3"/>
  <c r="J1213" i="3"/>
  <c r="F1212" i="3"/>
  <c r="J1212" i="3"/>
  <c r="F1211" i="3"/>
  <c r="J1211" i="3"/>
  <c r="F1210" i="3"/>
  <c r="J1210" i="3"/>
  <c r="F1209" i="3"/>
  <c r="J1209" i="3"/>
  <c r="F1208" i="3"/>
  <c r="J1208" i="3"/>
  <c r="F1207" i="3"/>
  <c r="J1207" i="3"/>
  <c r="F1206" i="3"/>
  <c r="J1206" i="3"/>
  <c r="F1205" i="3"/>
  <c r="J1205" i="3"/>
  <c r="F1204" i="3"/>
  <c r="J1204" i="3"/>
  <c r="F1203" i="3"/>
  <c r="J1203" i="3"/>
  <c r="F1202" i="3"/>
  <c r="J1202" i="3"/>
  <c r="F1201" i="3"/>
  <c r="J1201" i="3"/>
  <c r="F1200" i="3"/>
  <c r="J1200" i="3"/>
  <c r="F1199" i="3"/>
  <c r="J1199" i="3"/>
  <c r="F1198" i="3"/>
  <c r="J1198" i="3"/>
  <c r="F1197" i="3"/>
  <c r="J1197" i="3"/>
  <c r="F1196" i="3"/>
  <c r="J1196" i="3"/>
  <c r="F1194" i="3"/>
  <c r="J1194" i="3"/>
  <c r="F1186" i="3"/>
  <c r="J1186" i="3"/>
  <c r="F1178" i="3"/>
  <c r="J1178" i="3"/>
  <c r="F1170" i="3"/>
  <c r="J1170" i="3"/>
  <c r="F1162" i="3"/>
  <c r="J1162" i="3"/>
  <c r="F1154" i="3"/>
  <c r="J1154" i="3"/>
  <c r="F1146" i="3"/>
  <c r="J1146" i="3"/>
  <c r="F1138" i="3"/>
  <c r="J1138" i="3"/>
  <c r="F1130" i="3"/>
  <c r="J1130" i="3"/>
  <c r="F1122" i="3"/>
  <c r="J1122" i="3"/>
  <c r="F1114" i="3"/>
  <c r="J1114" i="3"/>
  <c r="F1106" i="3"/>
  <c r="J1106" i="3"/>
  <c r="F1098" i="3"/>
  <c r="J1098" i="3"/>
  <c r="F1090" i="3"/>
  <c r="J1090" i="3"/>
  <c r="F1082" i="3"/>
  <c r="J1082" i="3"/>
  <c r="F1074" i="3"/>
  <c r="J1074" i="3"/>
  <c r="F1066" i="3"/>
  <c r="J1066" i="3"/>
  <c r="F1058" i="3"/>
  <c r="J1058" i="3"/>
  <c r="F1050" i="3"/>
  <c r="J1050" i="3"/>
  <c r="F1042" i="3"/>
  <c r="J1042" i="3"/>
  <c r="F1034" i="3"/>
  <c r="J1034" i="3"/>
  <c r="F1026" i="3"/>
  <c r="J1026" i="3"/>
  <c r="F1018" i="3"/>
  <c r="J1018" i="3"/>
  <c r="F1010" i="3"/>
  <c r="J1010" i="3"/>
  <c r="F1002" i="3"/>
  <c r="J1002" i="3"/>
  <c r="F994" i="3"/>
  <c r="J994" i="3"/>
  <c r="F986" i="3"/>
  <c r="J986" i="3"/>
  <c r="F978" i="3"/>
  <c r="J978" i="3"/>
  <c r="F972" i="3"/>
  <c r="J972" i="3"/>
  <c r="F961" i="3"/>
  <c r="J961" i="3"/>
  <c r="F956" i="3"/>
  <c r="J956" i="3"/>
  <c r="F945" i="3"/>
  <c r="J945" i="3"/>
  <c r="F940" i="3"/>
  <c r="J940" i="3"/>
  <c r="F929" i="3"/>
  <c r="J929" i="3"/>
  <c r="F924" i="3"/>
  <c r="J924" i="3"/>
  <c r="F892" i="3"/>
  <c r="J892" i="3"/>
  <c r="F1188" i="3"/>
  <c r="J1188" i="3"/>
  <c r="F1180" i="3"/>
  <c r="J1180" i="3"/>
  <c r="F1172" i="3"/>
  <c r="J1172" i="3"/>
  <c r="F1164" i="3"/>
  <c r="J1164" i="3"/>
  <c r="F1156" i="3"/>
  <c r="J1156" i="3"/>
  <c r="F1148" i="3"/>
  <c r="J1148" i="3"/>
  <c r="F1140" i="3"/>
  <c r="J1140" i="3"/>
  <c r="F1132" i="3"/>
  <c r="J1132" i="3"/>
  <c r="F1124" i="3"/>
  <c r="J1124" i="3"/>
  <c r="F1116" i="3"/>
  <c r="J1116" i="3"/>
  <c r="F1108" i="3"/>
  <c r="J1108" i="3"/>
  <c r="F1100" i="3"/>
  <c r="J1100" i="3"/>
  <c r="F1092" i="3"/>
  <c r="J1092" i="3"/>
  <c r="F1084" i="3"/>
  <c r="J1084" i="3"/>
  <c r="F1076" i="3"/>
  <c r="J1076" i="3"/>
  <c r="F1068" i="3"/>
  <c r="J1068" i="3"/>
  <c r="F1060" i="3"/>
  <c r="J1060" i="3"/>
  <c r="F1052" i="3"/>
  <c r="J1052" i="3"/>
  <c r="F1044" i="3"/>
  <c r="J1044" i="3"/>
  <c r="F1036" i="3"/>
  <c r="J1036" i="3"/>
  <c r="F1028" i="3"/>
  <c r="J1028" i="3"/>
  <c r="F1020" i="3"/>
  <c r="J1020" i="3"/>
  <c r="F1012" i="3"/>
  <c r="J1012" i="3"/>
  <c r="F1004" i="3"/>
  <c r="J1004" i="3"/>
  <c r="F996" i="3"/>
  <c r="J996" i="3"/>
  <c r="F988" i="3"/>
  <c r="J988" i="3"/>
  <c r="F980" i="3"/>
  <c r="J980" i="3"/>
  <c r="F973" i="3"/>
  <c r="J973" i="3"/>
  <c r="F968" i="3"/>
  <c r="J968" i="3"/>
  <c r="F957" i="3"/>
  <c r="J957" i="3"/>
  <c r="F952" i="3"/>
  <c r="J952" i="3"/>
  <c r="F941" i="3"/>
  <c r="J941" i="3"/>
  <c r="F936" i="3"/>
  <c r="J936" i="3"/>
  <c r="F925" i="3"/>
  <c r="J925" i="3"/>
  <c r="F916" i="3"/>
  <c r="J916" i="3"/>
  <c r="J1195" i="3"/>
  <c r="J1193" i="3"/>
  <c r="J1191" i="3"/>
  <c r="J1189" i="3"/>
  <c r="J1187" i="3"/>
  <c r="J1185" i="3"/>
  <c r="J1183" i="3"/>
  <c r="J1181" i="3"/>
  <c r="J1179" i="3"/>
  <c r="J1177" i="3"/>
  <c r="J1175" i="3"/>
  <c r="J1173" i="3"/>
  <c r="J1171" i="3"/>
  <c r="J1169" i="3"/>
  <c r="J1167" i="3"/>
  <c r="J1165" i="3"/>
  <c r="J1163" i="3"/>
  <c r="J1161" i="3"/>
  <c r="J1159" i="3"/>
  <c r="J1157" i="3"/>
  <c r="J1155" i="3"/>
  <c r="J1153" i="3"/>
  <c r="J1151" i="3"/>
  <c r="J1149" i="3"/>
  <c r="J1147" i="3"/>
  <c r="J1145" i="3"/>
  <c r="J1143" i="3"/>
  <c r="J1141" i="3"/>
  <c r="J1139" i="3"/>
  <c r="J1137" i="3"/>
  <c r="J1135" i="3"/>
  <c r="J1133" i="3"/>
  <c r="J1131" i="3"/>
  <c r="J1129" i="3"/>
  <c r="J1127" i="3"/>
  <c r="J1125" i="3"/>
  <c r="J1123" i="3"/>
  <c r="J1121" i="3"/>
  <c r="J1119" i="3"/>
  <c r="J1117" i="3"/>
  <c r="J1115" i="3"/>
  <c r="J1113" i="3"/>
  <c r="J1111" i="3"/>
  <c r="J1109" i="3"/>
  <c r="J1107" i="3"/>
  <c r="J1105" i="3"/>
  <c r="J1103" i="3"/>
  <c r="J1101" i="3"/>
  <c r="J1099" i="3"/>
  <c r="J1097" i="3"/>
  <c r="J1095" i="3"/>
  <c r="J1093" i="3"/>
  <c r="J1091" i="3"/>
  <c r="J1089" i="3"/>
  <c r="J1087" i="3"/>
  <c r="J1085" i="3"/>
  <c r="J1083" i="3"/>
  <c r="J1081" i="3"/>
  <c r="J1079" i="3"/>
  <c r="J1077" i="3"/>
  <c r="J1075" i="3"/>
  <c r="J1073" i="3"/>
  <c r="J1071" i="3"/>
  <c r="J1069" i="3"/>
  <c r="J1067" i="3"/>
  <c r="J1065" i="3"/>
  <c r="J1063" i="3"/>
  <c r="J1061" i="3"/>
  <c r="J1059" i="3"/>
  <c r="J1057" i="3"/>
  <c r="J1055" i="3"/>
  <c r="J1053" i="3"/>
  <c r="J1051" i="3"/>
  <c r="J1049" i="3"/>
  <c r="J1047" i="3"/>
  <c r="J1045" i="3"/>
  <c r="J1043" i="3"/>
  <c r="J1041" i="3"/>
  <c r="J1039" i="3"/>
  <c r="J1037" i="3"/>
  <c r="J1035" i="3"/>
  <c r="J1033" i="3"/>
  <c r="J1031" i="3"/>
  <c r="J1029" i="3"/>
  <c r="J1027" i="3"/>
  <c r="J1025" i="3"/>
  <c r="J1023" i="3"/>
  <c r="J1021" i="3"/>
  <c r="J1019" i="3"/>
  <c r="J1017" i="3"/>
  <c r="J1015" i="3"/>
  <c r="J1013" i="3"/>
  <c r="J1011" i="3"/>
  <c r="J1009" i="3"/>
  <c r="J1007" i="3"/>
  <c r="J1005" i="3"/>
  <c r="J1003" i="3"/>
  <c r="J1001" i="3"/>
  <c r="J999" i="3"/>
  <c r="J997" i="3"/>
  <c r="J995" i="3"/>
  <c r="J993" i="3"/>
  <c r="J991" i="3"/>
  <c r="J989" i="3"/>
  <c r="J987" i="3"/>
  <c r="J985" i="3"/>
  <c r="J983" i="3"/>
  <c r="J981" i="3"/>
  <c r="J979" i="3"/>
  <c r="J977" i="3"/>
  <c r="J975" i="3"/>
  <c r="J971" i="3"/>
  <c r="J967" i="3"/>
  <c r="J963" i="3"/>
  <c r="J959" i="3"/>
  <c r="J955" i="3"/>
  <c r="J951" i="3"/>
  <c r="J947" i="3"/>
  <c r="J943" i="3"/>
  <c r="J939" i="3"/>
  <c r="J935" i="3"/>
  <c r="J931" i="3"/>
  <c r="J927" i="3"/>
  <c r="F922" i="3"/>
  <c r="J922" i="3"/>
  <c r="F914" i="3"/>
  <c r="J914" i="3"/>
  <c r="F906" i="3"/>
  <c r="J906" i="3"/>
  <c r="F898" i="3"/>
  <c r="J898" i="3"/>
  <c r="F890" i="3"/>
  <c r="J890" i="3"/>
  <c r="F882" i="3"/>
  <c r="J882" i="3"/>
  <c r="F874" i="3"/>
  <c r="J874" i="3"/>
  <c r="F866" i="3"/>
  <c r="J866" i="3"/>
  <c r="F858" i="3"/>
  <c r="J858" i="3"/>
  <c r="F850" i="3"/>
  <c r="J850" i="3"/>
  <c r="F842" i="3"/>
  <c r="J842" i="3"/>
  <c r="F834" i="3"/>
  <c r="J834" i="3"/>
  <c r="F782" i="3"/>
  <c r="J782" i="3"/>
  <c r="F750" i="3"/>
  <c r="J750" i="3"/>
  <c r="F718" i="3"/>
  <c r="J718" i="3"/>
  <c r="F974" i="3"/>
  <c r="J974" i="3"/>
  <c r="F970" i="3"/>
  <c r="J970" i="3"/>
  <c r="F966" i="3"/>
  <c r="J966" i="3"/>
  <c r="F962" i="3"/>
  <c r="J962" i="3"/>
  <c r="F958" i="3"/>
  <c r="J958" i="3"/>
  <c r="F954" i="3"/>
  <c r="J954" i="3"/>
  <c r="F950" i="3"/>
  <c r="J950" i="3"/>
  <c r="F946" i="3"/>
  <c r="J946" i="3"/>
  <c r="F942" i="3"/>
  <c r="J942" i="3"/>
  <c r="F938" i="3"/>
  <c r="J938" i="3"/>
  <c r="F934" i="3"/>
  <c r="J934" i="3"/>
  <c r="F930" i="3"/>
  <c r="J930" i="3"/>
  <c r="F926" i="3"/>
  <c r="J926" i="3"/>
  <c r="F920" i="3"/>
  <c r="J920" i="3"/>
  <c r="F912" i="3"/>
  <c r="J912" i="3"/>
  <c r="F904" i="3"/>
  <c r="J904" i="3"/>
  <c r="F896" i="3"/>
  <c r="J896" i="3"/>
  <c r="F888" i="3"/>
  <c r="J888" i="3"/>
  <c r="F880" i="3"/>
  <c r="J880" i="3"/>
  <c r="F872" i="3"/>
  <c r="J872" i="3"/>
  <c r="F864" i="3"/>
  <c r="J864" i="3"/>
  <c r="F856" i="3"/>
  <c r="J856" i="3"/>
  <c r="F848" i="3"/>
  <c r="J848" i="3"/>
  <c r="F840" i="3"/>
  <c r="J840" i="3"/>
  <c r="F832" i="3"/>
  <c r="J832" i="3"/>
  <c r="F790" i="3"/>
  <c r="J790" i="3"/>
  <c r="F758" i="3"/>
  <c r="J758" i="3"/>
  <c r="F726" i="3"/>
  <c r="J726" i="3"/>
  <c r="F918" i="3"/>
  <c r="J918" i="3"/>
  <c r="F910" i="3"/>
  <c r="J910" i="3"/>
  <c r="F902" i="3"/>
  <c r="J902" i="3"/>
  <c r="F894" i="3"/>
  <c r="J894" i="3"/>
  <c r="F886" i="3"/>
  <c r="J886" i="3"/>
  <c r="F878" i="3"/>
  <c r="J878" i="3"/>
  <c r="F870" i="3"/>
  <c r="J870" i="3"/>
  <c r="F862" i="3"/>
  <c r="J862" i="3"/>
  <c r="F854" i="3"/>
  <c r="J854" i="3"/>
  <c r="F846" i="3"/>
  <c r="J846" i="3"/>
  <c r="F838" i="3"/>
  <c r="J838" i="3"/>
  <c r="F830" i="3"/>
  <c r="J830" i="3"/>
  <c r="F798" i="3"/>
  <c r="J798" i="3"/>
  <c r="F766" i="3"/>
  <c r="J766" i="3"/>
  <c r="F734" i="3"/>
  <c r="J734" i="3"/>
  <c r="F824" i="3"/>
  <c r="J824" i="3"/>
  <c r="F820" i="3"/>
  <c r="J820" i="3"/>
  <c r="F816" i="3"/>
  <c r="J816" i="3"/>
  <c r="F812" i="3"/>
  <c r="J812" i="3"/>
  <c r="F808" i="3"/>
  <c r="J808" i="3"/>
  <c r="F804" i="3"/>
  <c r="J804" i="3"/>
  <c r="F796" i="3"/>
  <c r="J796" i="3"/>
  <c r="F788" i="3"/>
  <c r="J788" i="3"/>
  <c r="F780" i="3"/>
  <c r="J780" i="3"/>
  <c r="F772" i="3"/>
  <c r="J772" i="3"/>
  <c r="F764" i="3"/>
  <c r="J764" i="3"/>
  <c r="F756" i="3"/>
  <c r="J756" i="3"/>
  <c r="F748" i="3"/>
  <c r="J748" i="3"/>
  <c r="F740" i="3"/>
  <c r="J740" i="3"/>
  <c r="F732" i="3"/>
  <c r="J732" i="3"/>
  <c r="F724" i="3"/>
  <c r="J724" i="3"/>
  <c r="F716" i="3"/>
  <c r="J716" i="3"/>
  <c r="F802" i="3"/>
  <c r="J802" i="3"/>
  <c r="F794" i="3"/>
  <c r="J794" i="3"/>
  <c r="F786" i="3"/>
  <c r="J786" i="3"/>
  <c r="F778" i="3"/>
  <c r="J778" i="3"/>
  <c r="F770" i="3"/>
  <c r="J770" i="3"/>
  <c r="F762" i="3"/>
  <c r="J762" i="3"/>
  <c r="F754" i="3"/>
  <c r="J754" i="3"/>
  <c r="F746" i="3"/>
  <c r="J746" i="3"/>
  <c r="F738" i="3"/>
  <c r="J738" i="3"/>
  <c r="F730" i="3"/>
  <c r="J730" i="3"/>
  <c r="F722" i="3"/>
  <c r="J722" i="3"/>
  <c r="F714" i="3"/>
  <c r="J714" i="3"/>
  <c r="F439" i="3"/>
  <c r="J439" i="3"/>
  <c r="F822" i="3"/>
  <c r="J822" i="3"/>
  <c r="F818" i="3"/>
  <c r="J818" i="3"/>
  <c r="F814" i="3"/>
  <c r="J814" i="3"/>
  <c r="F810" i="3"/>
  <c r="J810" i="3"/>
  <c r="F806" i="3"/>
  <c r="J806" i="3"/>
  <c r="F800" i="3"/>
  <c r="J800" i="3"/>
  <c r="F792" i="3"/>
  <c r="J792" i="3"/>
  <c r="F784" i="3"/>
  <c r="J784" i="3"/>
  <c r="F776" i="3"/>
  <c r="J776" i="3"/>
  <c r="F768" i="3"/>
  <c r="J768" i="3"/>
  <c r="F760" i="3"/>
  <c r="J760" i="3"/>
  <c r="F752" i="3"/>
  <c r="J752" i="3"/>
  <c r="F744" i="3"/>
  <c r="J744" i="3"/>
  <c r="F736" i="3"/>
  <c r="J736" i="3"/>
  <c r="F728" i="3"/>
  <c r="J728" i="3"/>
  <c r="F720" i="3"/>
  <c r="J720" i="3"/>
  <c r="F507" i="3"/>
  <c r="J507" i="3"/>
  <c r="F503" i="3"/>
  <c r="J503" i="3"/>
  <c r="F499" i="3"/>
  <c r="J499" i="3"/>
  <c r="F495" i="3"/>
  <c r="J495" i="3"/>
  <c r="F491" i="3"/>
  <c r="J491" i="3"/>
  <c r="F487" i="3"/>
  <c r="J487" i="3"/>
  <c r="F483" i="3"/>
  <c r="J483" i="3"/>
  <c r="F479" i="3"/>
  <c r="J479" i="3"/>
  <c r="F475" i="3"/>
  <c r="J475" i="3"/>
  <c r="F471" i="3"/>
  <c r="J471" i="3"/>
  <c r="F467" i="3"/>
  <c r="J467" i="3"/>
  <c r="F463" i="3"/>
  <c r="J463" i="3"/>
  <c r="F459" i="3"/>
  <c r="J459" i="3"/>
  <c r="F455" i="3"/>
  <c r="J455" i="3"/>
  <c r="F451" i="3"/>
  <c r="J451" i="3"/>
  <c r="F445" i="3"/>
  <c r="J445" i="3"/>
  <c r="F437" i="3"/>
  <c r="J437" i="3"/>
  <c r="J712" i="3"/>
  <c r="J710" i="3"/>
  <c r="J708" i="3"/>
  <c r="J706" i="3"/>
  <c r="J704" i="3"/>
  <c r="J702" i="3"/>
  <c r="J700" i="3"/>
  <c r="J698" i="3"/>
  <c r="J696" i="3"/>
  <c r="J694" i="3"/>
  <c r="J692" i="3"/>
  <c r="J690" i="3"/>
  <c r="J688" i="3"/>
  <c r="J686" i="3"/>
  <c r="J684" i="3"/>
  <c r="J682" i="3"/>
  <c r="J680" i="3"/>
  <c r="J678" i="3"/>
  <c r="J676" i="3"/>
  <c r="J674" i="3"/>
  <c r="J672" i="3"/>
  <c r="J670" i="3"/>
  <c r="J668" i="3"/>
  <c r="J666" i="3"/>
  <c r="J664" i="3"/>
  <c r="J662" i="3"/>
  <c r="J660" i="3"/>
  <c r="J658" i="3"/>
  <c r="J656" i="3"/>
  <c r="J654" i="3"/>
  <c r="J652" i="3"/>
  <c r="J650" i="3"/>
  <c r="J648" i="3"/>
  <c r="J646" i="3"/>
  <c r="J644" i="3"/>
  <c r="J642" i="3"/>
  <c r="J640" i="3"/>
  <c r="J638" i="3"/>
  <c r="J636" i="3"/>
  <c r="J634" i="3"/>
  <c r="J632" i="3"/>
  <c r="J630" i="3"/>
  <c r="J628" i="3"/>
  <c r="J626" i="3"/>
  <c r="J624" i="3"/>
  <c r="J622" i="3"/>
  <c r="J620" i="3"/>
  <c r="J618" i="3"/>
  <c r="J616" i="3"/>
  <c r="J614" i="3"/>
  <c r="J612" i="3"/>
  <c r="J610" i="3"/>
  <c r="J608" i="3"/>
  <c r="J606" i="3"/>
  <c r="J604" i="3"/>
  <c r="J602" i="3"/>
  <c r="J600" i="3"/>
  <c r="J598" i="3"/>
  <c r="J596" i="3"/>
  <c r="J594" i="3"/>
  <c r="J592" i="3"/>
  <c r="J590" i="3"/>
  <c r="J588" i="3"/>
  <c r="J586" i="3"/>
  <c r="J584" i="3"/>
  <c r="J582" i="3"/>
  <c r="J580" i="3"/>
  <c r="J578" i="3"/>
  <c r="J576" i="3"/>
  <c r="J574" i="3"/>
  <c r="J572" i="3"/>
  <c r="J570" i="3"/>
  <c r="J568" i="3"/>
  <c r="J566" i="3"/>
  <c r="J564" i="3"/>
  <c r="J562" i="3"/>
  <c r="J560" i="3"/>
  <c r="J558" i="3"/>
  <c r="J556" i="3"/>
  <c r="J554" i="3"/>
  <c r="J552" i="3"/>
  <c r="J550" i="3"/>
  <c r="J548" i="3"/>
  <c r="J546" i="3"/>
  <c r="J544" i="3"/>
  <c r="J542" i="3"/>
  <c r="J540" i="3"/>
  <c r="J538" i="3"/>
  <c r="J536" i="3"/>
  <c r="J534" i="3"/>
  <c r="J532" i="3"/>
  <c r="J530" i="3"/>
  <c r="J528" i="3"/>
  <c r="J526" i="3"/>
  <c r="J524" i="3"/>
  <c r="J522" i="3"/>
  <c r="J520" i="3"/>
  <c r="J518" i="3"/>
  <c r="J516" i="3"/>
  <c r="J514" i="3"/>
  <c r="J512" i="3"/>
  <c r="J510" i="3"/>
  <c r="J506" i="3"/>
  <c r="J502" i="3"/>
  <c r="F443" i="3"/>
  <c r="J443" i="3"/>
  <c r="F435" i="3"/>
  <c r="J435" i="3"/>
  <c r="F347" i="3"/>
  <c r="J347" i="3"/>
  <c r="F509" i="3"/>
  <c r="J509" i="3"/>
  <c r="F505" i="3"/>
  <c r="J505" i="3"/>
  <c r="F501" i="3"/>
  <c r="J501" i="3"/>
  <c r="F497" i="3"/>
  <c r="J497" i="3"/>
  <c r="F493" i="3"/>
  <c r="J493" i="3"/>
  <c r="F489" i="3"/>
  <c r="J489" i="3"/>
  <c r="F485" i="3"/>
  <c r="J485" i="3"/>
  <c r="F481" i="3"/>
  <c r="J481" i="3"/>
  <c r="F477" i="3"/>
  <c r="J477" i="3"/>
  <c r="F473" i="3"/>
  <c r="J473" i="3"/>
  <c r="F469" i="3"/>
  <c r="J469" i="3"/>
  <c r="F465" i="3"/>
  <c r="J465" i="3"/>
  <c r="F461" i="3"/>
  <c r="J461" i="3"/>
  <c r="F457" i="3"/>
  <c r="J457" i="3"/>
  <c r="F453" i="3"/>
  <c r="J453" i="3"/>
  <c r="F449" i="3"/>
  <c r="J449" i="3"/>
  <c r="F441" i="3"/>
  <c r="J441" i="3"/>
  <c r="F433" i="3"/>
  <c r="J433" i="3"/>
  <c r="J429" i="3"/>
  <c r="J427" i="3"/>
  <c r="J425" i="3"/>
  <c r="J423" i="3"/>
  <c r="J421" i="3"/>
  <c r="J419" i="3"/>
  <c r="J417" i="3"/>
  <c r="J415" i="3"/>
  <c r="J413" i="3"/>
  <c r="J411" i="3"/>
  <c r="J409" i="3"/>
  <c r="J407" i="3"/>
  <c r="J405" i="3"/>
  <c r="J403" i="3"/>
  <c r="J401" i="3"/>
  <c r="J399" i="3"/>
  <c r="J397" i="3"/>
  <c r="J395" i="3"/>
  <c r="J393" i="3"/>
  <c r="J391" i="3"/>
  <c r="J389" i="3"/>
  <c r="J387" i="3"/>
  <c r="J385" i="3"/>
  <c r="J383" i="3"/>
  <c r="J381" i="3"/>
  <c r="J379" i="3"/>
  <c r="J377" i="3"/>
  <c r="J375" i="3"/>
  <c r="J373" i="3"/>
  <c r="J371" i="3"/>
  <c r="J369" i="3"/>
  <c r="J367" i="3"/>
  <c r="J365" i="3"/>
  <c r="J363" i="3"/>
  <c r="J361" i="3"/>
  <c r="J359" i="3"/>
  <c r="J357" i="3"/>
  <c r="J355" i="3"/>
  <c r="J353" i="3"/>
  <c r="J345" i="3"/>
  <c r="J337" i="3"/>
  <c r="F268" i="3"/>
  <c r="J268" i="3"/>
  <c r="F252" i="3"/>
  <c r="J252" i="3"/>
  <c r="F236" i="3"/>
  <c r="J236" i="3"/>
  <c r="F220" i="3"/>
  <c r="J220" i="3"/>
  <c r="F204" i="3"/>
  <c r="J204" i="3"/>
  <c r="F188" i="3"/>
  <c r="J188" i="3"/>
  <c r="J272" i="3"/>
  <c r="J264" i="3"/>
  <c r="J256" i="3"/>
  <c r="J248" i="3"/>
  <c r="J240" i="3"/>
  <c r="J232" i="3"/>
  <c r="J224" i="3"/>
  <c r="J216" i="3"/>
  <c r="J208" i="3"/>
  <c r="J200" i="3"/>
  <c r="J192" i="3"/>
  <c r="J184" i="3"/>
  <c r="F174" i="3"/>
  <c r="J174" i="3"/>
  <c r="F180" i="3"/>
  <c r="J180" i="3"/>
  <c r="F169" i="3"/>
  <c r="J169" i="3"/>
  <c r="F153" i="3"/>
  <c r="J153" i="3"/>
  <c r="F137" i="3"/>
  <c r="J137" i="3"/>
  <c r="F121" i="3"/>
  <c r="J121" i="3"/>
  <c r="F178" i="3"/>
  <c r="J178" i="3"/>
  <c r="J167" i="3"/>
  <c r="J159" i="3"/>
  <c r="J151" i="3"/>
  <c r="J143" i="3"/>
  <c r="J135" i="3"/>
  <c r="J127" i="3"/>
  <c r="J119" i="3"/>
  <c r="J111" i="3"/>
  <c r="O2" i="1"/>
  <c r="C4" i="2"/>
  <c r="B4" i="2"/>
  <c r="C3" i="2"/>
  <c r="B3" i="2"/>
  <c r="H30" i="3" l="1"/>
  <c r="I30" i="3" s="1"/>
  <c r="P386" i="1"/>
  <c r="G27" i="3" s="1"/>
  <c r="J27" i="3" s="1"/>
  <c r="D5" i="4"/>
  <c r="P343" i="1"/>
  <c r="H26" i="3" s="1"/>
  <c r="I26" i="3" s="1"/>
  <c r="F5" i="4"/>
  <c r="P552" i="1"/>
  <c r="G29" i="3" s="1"/>
  <c r="J29" i="3" s="1"/>
  <c r="D6" i="4"/>
  <c r="P636" i="1"/>
  <c r="F6" i="4"/>
  <c r="H29" i="3"/>
  <c r="I29" i="3" s="1"/>
  <c r="H28" i="3"/>
  <c r="I28" i="3" s="1"/>
  <c r="G28" i="3"/>
  <c r="J28" i="3" s="1"/>
  <c r="H27" i="3"/>
  <c r="I27" i="3" s="1"/>
  <c r="H24" i="3"/>
  <c r="I24" i="3" s="1"/>
  <c r="H25" i="3"/>
  <c r="I25" i="3" s="1"/>
  <c r="H14" i="3"/>
  <c r="I14" i="3" s="1"/>
  <c r="H21" i="3"/>
  <c r="I21" i="3" s="1"/>
  <c r="H20" i="3"/>
  <c r="I20" i="3" s="1"/>
  <c r="H19" i="3"/>
  <c r="I19" i="3" s="1"/>
  <c r="P212" i="1"/>
  <c r="G18" i="3" s="1"/>
  <c r="J18" i="3" s="1"/>
  <c r="D4" i="4"/>
  <c r="H17" i="3"/>
  <c r="I17" i="3" s="1"/>
  <c r="H18" i="3"/>
  <c r="I18" i="3" s="1"/>
  <c r="P186" i="1"/>
  <c r="F4" i="4"/>
  <c r="H15" i="3"/>
  <c r="I15" i="3" s="1"/>
  <c r="H12" i="3"/>
  <c r="I12" i="3" s="1"/>
  <c r="F2" i="4"/>
  <c r="G2" i="4" s="1"/>
  <c r="B10" i="7" s="1"/>
  <c r="F3" i="4"/>
  <c r="H4" i="3"/>
  <c r="I4" i="3" s="1"/>
  <c r="H6" i="3"/>
  <c r="I6" i="3" s="1"/>
  <c r="H8" i="3"/>
  <c r="I8" i="3" s="1"/>
  <c r="H9" i="3"/>
  <c r="I9" i="3" s="1"/>
  <c r="G4" i="3"/>
  <c r="J4" i="3" s="1"/>
  <c r="P60" i="1"/>
  <c r="D3" i="4"/>
  <c r="P2" i="1"/>
  <c r="B8" i="7"/>
  <c r="D4" i="2"/>
  <c r="D3" i="2"/>
  <c r="B3" i="7" s="1"/>
  <c r="B6" i="7"/>
  <c r="B5" i="7"/>
  <c r="B7" i="7"/>
  <c r="G6" i="4" l="1"/>
  <c r="G5" i="4"/>
  <c r="B2" i="2"/>
  <c r="G4" i="4"/>
  <c r="G3" i="4"/>
  <c r="H2" i="3"/>
  <c r="I2" i="3" s="1"/>
  <c r="B9" i="7" s="1"/>
  <c r="C2" i="2"/>
  <c r="B4" i="7"/>
  <c r="D2" i="2" l="1"/>
  <c r="B2" i="7" s="1"/>
</calcChain>
</file>

<file path=xl/sharedStrings.xml><?xml version="1.0" encoding="utf-8"?>
<sst xmlns="http://schemas.openxmlformats.org/spreadsheetml/2006/main" count="7136" uniqueCount="835">
  <si>
    <t>Date</t>
  </si>
  <si>
    <t>Description</t>
  </si>
  <si>
    <t>Type (IN/OUT)</t>
  </si>
  <si>
    <t>Amount (Excl. VAT)</t>
  </si>
  <si>
    <t>Account</t>
  </si>
  <si>
    <t>Category</t>
  </si>
  <si>
    <t>Project</t>
  </si>
  <si>
    <t>Material Item</t>
  </si>
  <si>
    <t>Qty</t>
  </si>
  <si>
    <t>Rate</t>
  </si>
  <si>
    <t>Party Name</t>
  </si>
  <si>
    <t>Party Type</t>
  </si>
  <si>
    <t>Invoice #</t>
  </si>
  <si>
    <t>Tax %</t>
  </si>
  <si>
    <t>Tax Amount</t>
  </si>
  <si>
    <t>Total Amount</t>
  </si>
  <si>
    <t>Payment Status</t>
  </si>
  <si>
    <t>Notes</t>
  </si>
  <si>
    <t>Account Name</t>
  </si>
  <si>
    <t>Total IN</t>
  </si>
  <si>
    <t>Total OUT</t>
  </si>
  <si>
    <t>Balance</t>
  </si>
  <si>
    <t>Cash</t>
  </si>
  <si>
    <t>Bank</t>
  </si>
  <si>
    <t>Owner Contribution</t>
  </si>
  <si>
    <t>Owner Drawings</t>
  </si>
  <si>
    <t>Accounts Receivable</t>
  </si>
  <si>
    <t>Accounts Payable</t>
  </si>
  <si>
    <t>Employee Payable</t>
  </si>
  <si>
    <t>Employee Advance</t>
  </si>
  <si>
    <t>Client Name</t>
  </si>
  <si>
    <t>Contract Value (Excl. VAT)</t>
  </si>
  <si>
    <t>VAT 15%</t>
  </si>
  <si>
    <t>Contract Incl. VAT</t>
  </si>
  <si>
    <t>Required 50% Advance (Incl. VAT)</t>
  </si>
  <si>
    <t>Net Profit / Loss</t>
  </si>
  <si>
    <t>Month</t>
  </si>
  <si>
    <t>Year</t>
  </si>
  <si>
    <t>Total Sales (Excl. VAT)</t>
  </si>
  <si>
    <t>Output VAT 15%</t>
  </si>
  <si>
    <t>Total Purchases (Excl. VAT)</t>
  </si>
  <si>
    <t>Input VAT 15%</t>
  </si>
  <si>
    <t>Net VAT Payable</t>
  </si>
  <si>
    <t>Employee Name</t>
  </si>
  <si>
    <t>Type (Monthly/Daily)</t>
  </si>
  <si>
    <t>Monthly Salary</t>
  </si>
  <si>
    <t>Daily Rate</t>
  </si>
  <si>
    <t>Days Worked (This Month)</t>
  </si>
  <si>
    <t>Salary Due This Month</t>
  </si>
  <si>
    <t>Total Salary Paid This Month</t>
  </si>
  <si>
    <t>Pending Salary This Month</t>
  </si>
  <si>
    <t>Total Advance Taken</t>
  </si>
  <si>
    <t>Total Advance Adjusted</t>
  </si>
  <si>
    <t>Advance Balance</t>
  </si>
  <si>
    <t>Total Income (Excl. VAT)</t>
  </si>
  <si>
    <t>Total Expense (Excl. VAT)</t>
  </si>
  <si>
    <t>Material Expense</t>
  </si>
  <si>
    <t>Food Expense</t>
  </si>
  <si>
    <t>Labour Expense</t>
  </si>
  <si>
    <t>Transport Expense</t>
  </si>
  <si>
    <t>Metric</t>
  </si>
  <si>
    <t>Value</t>
  </si>
  <si>
    <t>Total Cash Balance</t>
  </si>
  <si>
    <t>Total Bank Balance</t>
  </si>
  <si>
    <t>Total Accounts Receivable</t>
  </si>
  <si>
    <t>Total Accounts Payable (Suppliers)</t>
  </si>
  <si>
    <t>Total Employee Payable</t>
  </si>
  <si>
    <t>Total Employee Advance</t>
  </si>
  <si>
    <t>Total Net Profit (All Projects)</t>
  </si>
  <si>
    <t>Latest Month Net VAT Payable (row 2)</t>
  </si>
  <si>
    <t>chemicals</t>
  </si>
  <si>
    <t xml:space="preserve">Chemicals </t>
  </si>
  <si>
    <t>SS316 albo</t>
  </si>
  <si>
    <t>SS316 plastic raw material</t>
  </si>
  <si>
    <t>Welding machine</t>
  </si>
  <si>
    <t>Food for team</t>
  </si>
  <si>
    <t>Labour charges 2 days</t>
  </si>
  <si>
    <t>Petrol for project</t>
  </si>
  <si>
    <t>SS316 pipes 18m</t>
  </si>
  <si>
    <t>OUT</t>
  </si>
  <si>
    <t>Material/Tools</t>
  </si>
  <si>
    <t>Food for Team</t>
  </si>
  <si>
    <t>Labour Chares</t>
  </si>
  <si>
    <t>Transport</t>
  </si>
  <si>
    <t>SS316 Pipeline Work</t>
  </si>
  <si>
    <t>Oud Lover Factory</t>
  </si>
  <si>
    <t>Client</t>
  </si>
  <si>
    <t>Invoice raised for SS316 Pipeline Work</t>
  </si>
  <si>
    <t>IN</t>
  </si>
  <si>
    <t>Project Income</t>
  </si>
  <si>
    <t>INV/2025/00041</t>
  </si>
  <si>
    <t>Credit</t>
  </si>
  <si>
    <t>Project Name</t>
  </si>
  <si>
    <t>Invoice Raised for Instlattion of Sign Board</t>
  </si>
  <si>
    <t>Instalation of Sign Board</t>
  </si>
  <si>
    <t>Feedco Investment Company</t>
  </si>
  <si>
    <t>INV/2025/00044</t>
  </si>
  <si>
    <t>Paid</t>
  </si>
  <si>
    <t>Supplier</t>
  </si>
  <si>
    <t>TBD</t>
  </si>
  <si>
    <t>100% Payment Received</t>
  </si>
  <si>
    <t>Net/Bolts</t>
  </si>
  <si>
    <t>Drill Machine</t>
  </si>
  <si>
    <t>50% advance receive (net only/no VAT)</t>
  </si>
  <si>
    <t>Fabrication of Steel Ramp</t>
  </si>
  <si>
    <t>Bahri Logistics</t>
  </si>
  <si>
    <t>Partially Paid</t>
  </si>
  <si>
    <t>only Project Advance, 50% received, (VAT 100% pending)</t>
  </si>
  <si>
    <t>Industrial lights &amp; bolts</t>
  </si>
  <si>
    <t>Steel material</t>
  </si>
  <si>
    <t>Steel sheet 4mm*6m</t>
  </si>
  <si>
    <t>Crane transport</t>
  </si>
  <si>
    <t>Chenku sheet</t>
  </si>
  <si>
    <t>Welding rods / grinding / paint</t>
  </si>
  <si>
    <t>Labour charges of 5 Days</t>
  </si>
  <si>
    <t>Fuel Expense</t>
  </si>
  <si>
    <t>Invoice raised for Fabrication of Steel Ramp</t>
  </si>
  <si>
    <t>INV/2025/00051</t>
  </si>
  <si>
    <t>50% final amount is pending</t>
  </si>
  <si>
    <t>Same Invoice raised for Tax Collection</t>
  </si>
  <si>
    <t>100% VAT amount is pending</t>
  </si>
  <si>
    <t>100% payment received</t>
  </si>
  <si>
    <t>Fabrication of SS+Steel Pillows</t>
  </si>
  <si>
    <t>10 pcs</t>
  </si>
  <si>
    <t>Fosam Company Limited</t>
  </si>
  <si>
    <t>100% Paymment Received Before starting the Project</t>
  </si>
  <si>
    <t>SIDUR sheet 8mm*1.5m/3m</t>
  </si>
  <si>
    <t>Lathe Expense</t>
  </si>
  <si>
    <t>Rolling of SIDUR sheet</t>
  </si>
  <si>
    <t>labour charges of 3 days</t>
  </si>
  <si>
    <t>Commission</t>
  </si>
  <si>
    <t>Alnafie Steel</t>
  </si>
  <si>
    <t>Arif bangali</t>
  </si>
  <si>
    <t>MZY Steel</t>
  </si>
  <si>
    <t>Baity BTC</t>
  </si>
  <si>
    <t>Mr shahid</t>
  </si>
  <si>
    <t>fosam agent</t>
  </si>
  <si>
    <t>Company General Expense</t>
  </si>
  <si>
    <t>Labour Charges for previous Project</t>
  </si>
  <si>
    <t>Loader+Hotel Bill</t>
  </si>
  <si>
    <t>Naeem+Tahir</t>
  </si>
  <si>
    <t>Abdullah</t>
  </si>
  <si>
    <t>Payment Transfer</t>
  </si>
  <si>
    <t>Refilling of Gas+Oxygen Cylinder</t>
  </si>
  <si>
    <t>Purchasing of Cement+Clay+Concrete+Bolts</t>
  </si>
  <si>
    <t>Al Riyadh Center</t>
  </si>
  <si>
    <t>Fuel Pump</t>
  </si>
  <si>
    <t>Workshop Electricity bill</t>
  </si>
  <si>
    <t>Transport+Food for Team</t>
  </si>
  <si>
    <t>Loan Paid</t>
  </si>
  <si>
    <t>Level of Concrete</t>
  </si>
  <si>
    <t>Car Battery Purchase for Yaris</t>
  </si>
  <si>
    <t>Electricity bills paid of work shop+Tariq commission</t>
  </si>
  <si>
    <t>Yasir Shah</t>
  </si>
  <si>
    <t>Employee</t>
  </si>
  <si>
    <t>Advance to Employee</t>
  </si>
  <si>
    <t>Bearing Purchase</t>
  </si>
  <si>
    <t>Credit Purchase (Supplier Due)</t>
  </si>
  <si>
    <t>Without VAT Amount</t>
  </si>
  <si>
    <t>Company CR updated</t>
  </si>
  <si>
    <t>Transport to Feedco for roller deliver</t>
  </si>
  <si>
    <t>Owner Withdrew Cash</t>
  </si>
  <si>
    <t>Samer Ayoub (CEO)</t>
  </si>
  <si>
    <t>Owner</t>
  </si>
  <si>
    <t>Personal Use</t>
  </si>
  <si>
    <t>CR updated</t>
  </si>
  <si>
    <t>Material Purchase</t>
  </si>
  <si>
    <t>N/A</t>
  </si>
  <si>
    <t>Sudani</t>
  </si>
  <si>
    <t>Shoaib Umar</t>
  </si>
  <si>
    <t>Monthly</t>
  </si>
  <si>
    <t>Shahid</t>
  </si>
  <si>
    <t>Yamin</t>
  </si>
  <si>
    <t>Total Owner Net Drawings</t>
  </si>
  <si>
    <t>Trafic violation Challan</t>
  </si>
  <si>
    <t>Traffic violation fine paid on behalf of employee</t>
  </si>
  <si>
    <t>Company paid employee’s traffic fine – approved expense</t>
  </si>
  <si>
    <t>Gasket Purchase for Riviva Comprossor</t>
  </si>
  <si>
    <t>Gaskit Red 3mm</t>
  </si>
  <si>
    <t>Al Amal Trading Company</t>
  </si>
  <si>
    <t>SHA/24/16431</t>
  </si>
  <si>
    <t>Material Purchase for Riviva Comprossor</t>
  </si>
  <si>
    <t>Umar saud company</t>
  </si>
  <si>
    <t>Labour Charges</t>
  </si>
  <si>
    <t>Credit Payment for Lathe Work</t>
  </si>
  <si>
    <t>Al Bukra</t>
  </si>
  <si>
    <t>Fuel for owner Car</t>
  </si>
  <si>
    <t>SASSCO</t>
  </si>
  <si>
    <t>Isolation+Grill+Square Tube 40*80m*6m</t>
  </si>
  <si>
    <t>Fabrication of Steel Shose for Forklift</t>
  </si>
  <si>
    <t>Khaled Steel</t>
  </si>
  <si>
    <t>Project Expense</t>
  </si>
  <si>
    <t>3921/3920</t>
  </si>
  <si>
    <t>Shafts</t>
  </si>
  <si>
    <t>Al Nafie Steel</t>
  </si>
  <si>
    <t>JEDCash/100262</t>
  </si>
  <si>
    <t>Other</t>
  </si>
  <si>
    <t>Weekly</t>
  </si>
  <si>
    <t xml:space="preserve">Fuel Expense </t>
  </si>
  <si>
    <t>Previous Pending Salary</t>
  </si>
  <si>
    <t>Total Pending Salary(All Months)</t>
  </si>
  <si>
    <t>Owner Dinner</t>
  </si>
  <si>
    <t>Moblile and Petrol of Nissan Car</t>
  </si>
  <si>
    <t>Car Maintanence Expense</t>
  </si>
  <si>
    <t>Moblile change and petrol</t>
  </si>
  <si>
    <t>Nissan car Maintenance</t>
  </si>
  <si>
    <t>General Miantenece</t>
  </si>
  <si>
    <t>Makkah Car Center</t>
  </si>
  <si>
    <t>Fuel Expanse for Nissan</t>
  </si>
  <si>
    <t>Epoxy project Purchasing</t>
  </si>
  <si>
    <t>Epoxy Paint Project Jazzan</t>
  </si>
  <si>
    <t>Paints and others</t>
  </si>
  <si>
    <t>Project expense</t>
  </si>
  <si>
    <t>Company Rosomat/Wasim</t>
  </si>
  <si>
    <t>50% Payment Receive without VAT</t>
  </si>
  <si>
    <t>Labour Charges in Advance for Epoxy Paint Project</t>
  </si>
  <si>
    <t>Muhammad</t>
  </si>
  <si>
    <t>other expense of Epoxy paint project</t>
  </si>
  <si>
    <t>Maintenance of Rotary Lobe Blower</t>
  </si>
  <si>
    <t>INV/2025/00060</t>
  </si>
  <si>
    <t>invoice rasied and Payment Received</t>
  </si>
  <si>
    <t>Transport and dabbad Expense</t>
  </si>
  <si>
    <t>Bangali Workshop Expense</t>
  </si>
  <si>
    <t>Paymnet Received of Epoxy Projet</t>
  </si>
  <si>
    <t>Maintenance of Loader</t>
  </si>
  <si>
    <t>Sapac Company</t>
  </si>
  <si>
    <t>INV/2025/00026</t>
  </si>
  <si>
    <t>100% Paymnet Received</t>
  </si>
  <si>
    <t>Payment received of Loader Project</t>
  </si>
  <si>
    <t>Seals Purchase</t>
  </si>
  <si>
    <t>Payment pending on company of this project</t>
  </si>
  <si>
    <t>Naeem</t>
  </si>
  <si>
    <t>Owner Personal Use</t>
  </si>
  <si>
    <t>Running Month 15-11-2025 to 15-12-2025</t>
  </si>
  <si>
    <t>Note</t>
  </si>
  <si>
    <t>Shaaban+Baity</t>
  </si>
  <si>
    <t>cold dowan+Baity</t>
  </si>
  <si>
    <t>Bearing+other</t>
  </si>
  <si>
    <t>Hotel+Dabbab bill</t>
  </si>
  <si>
    <t>bowwor paid to younus</t>
  </si>
  <si>
    <t>Younus</t>
  </si>
  <si>
    <t>Workshop Electricity bill paid</t>
  </si>
  <si>
    <t>Material Purchase for epoxy work in jazzan</t>
  </si>
  <si>
    <t>Saeed/Milling</t>
  </si>
  <si>
    <t>Payment receive</t>
  </si>
  <si>
    <t>Fabrication of Rollers</t>
  </si>
  <si>
    <t>Material Purchase for rollers</t>
  </si>
  <si>
    <t>Maintenance of Track Adjuster Cylinder</t>
  </si>
  <si>
    <t>Equipment Purchase</t>
  </si>
  <si>
    <t>Repair &amp; Maintenance Expense</t>
  </si>
  <si>
    <t>Electricity Expense</t>
  </si>
  <si>
    <t>Commission Paid</t>
  </si>
  <si>
    <t>Settlement</t>
  </si>
  <si>
    <t>Company Office Expense</t>
  </si>
  <si>
    <t>Fine Paid</t>
  </si>
  <si>
    <t>Epoxy project Material Purchasing</t>
  </si>
  <si>
    <t>Transport  provide from jazzan to jeddah Labour</t>
  </si>
  <si>
    <t>Fuel for Nissan</t>
  </si>
  <si>
    <t>Mobile Package for Shoaib</t>
  </si>
  <si>
    <t>Mobile Package Expense</t>
  </si>
  <si>
    <t>Bank Charges Detacted from compnay account</t>
  </si>
  <si>
    <t>Bank Charges</t>
  </si>
  <si>
    <t>SNB</t>
  </si>
  <si>
    <t>company commission</t>
  </si>
  <si>
    <t>Payment Received of Roller Project</t>
  </si>
  <si>
    <t>Fabrication of New Roller/8mm</t>
  </si>
  <si>
    <t>Prainsa Concrete Company</t>
  </si>
  <si>
    <t>INV/2025/00028</t>
  </si>
  <si>
    <t>Payment Transfer to usman</t>
  </si>
  <si>
    <t>100% insurance payment transfer to usman</t>
  </si>
  <si>
    <t>Car Services</t>
  </si>
  <si>
    <t>Car Rent paid</t>
  </si>
  <si>
    <t>Car Rent Paid</t>
  </si>
  <si>
    <t>account receivable Clear of Bahri Logistics</t>
  </si>
  <si>
    <t>payment received</t>
  </si>
  <si>
    <t>Payment Received</t>
  </si>
  <si>
    <t>1500+1500+1060 Last payment on 09/12/2025</t>
  </si>
  <si>
    <t>18+200+500+200+175+250 (1343-1037= 306) pending on yasir shah Before travel to pakistan</t>
  </si>
  <si>
    <t>INV/2025/00065</t>
  </si>
  <si>
    <t>Project expense of Roller</t>
  </si>
  <si>
    <t>Material Purchase for Maintenance of Track Adjuster Cylinder Reviva</t>
  </si>
  <si>
    <t>Credit Sale</t>
  </si>
  <si>
    <t>With VAT</t>
  </si>
  <si>
    <t>Payment Return to Abdullah</t>
  </si>
  <si>
    <t>Credit Clear by us</t>
  </si>
  <si>
    <t>accounts payable closed</t>
  </si>
  <si>
    <t>Accounts Receivable Closed</t>
  </si>
  <si>
    <t>Transport use for Epoxy project</t>
  </si>
  <si>
    <t>Invoice rasied to Bahri Logistics</t>
  </si>
  <si>
    <t>Accomodation for Team</t>
  </si>
  <si>
    <t>Accomodation Expense</t>
  </si>
  <si>
    <t>Accomodation for Epoxy Team/ Project expense</t>
  </si>
  <si>
    <t>Total Expense</t>
  </si>
  <si>
    <t>Total Income</t>
  </si>
  <si>
    <t>Remaining Amount</t>
  </si>
  <si>
    <t>Sim Purchased</t>
  </si>
  <si>
    <t>SS 304 sheet purchased</t>
  </si>
  <si>
    <t>Fabrication stainless steel 304 screw</t>
  </si>
  <si>
    <t>Shaaban Steel</t>
  </si>
  <si>
    <t>Fabrication of Srew</t>
  </si>
  <si>
    <t>Invoice rasied to Feedco</t>
  </si>
  <si>
    <t>INV/2025/00071</t>
  </si>
  <si>
    <t>L-key C type</t>
  </si>
  <si>
    <t>Insaaf Tech</t>
  </si>
  <si>
    <t>Tissue+Water</t>
  </si>
  <si>
    <t>Owner Pernosal purchase Material</t>
  </si>
  <si>
    <t>Yamin get advance</t>
  </si>
  <si>
    <t>Yamin Iqbal</t>
  </si>
  <si>
    <t>Employee get advance from company</t>
  </si>
  <si>
    <t>Yasir Shah get advance</t>
  </si>
  <si>
    <t>Payment Received from fosam</t>
  </si>
  <si>
    <t>Modification of aluminum cover</t>
  </si>
  <si>
    <t>Modification expense</t>
  </si>
  <si>
    <t>Invoice Raised for this project</t>
  </si>
  <si>
    <t>Gems Reviva Company</t>
  </si>
  <si>
    <t>Fitting of Press Roller</t>
  </si>
  <si>
    <t>INV/2025/00057</t>
  </si>
  <si>
    <t>Maintenance of Rotary Lobe Blower(Maintanence payment)</t>
  </si>
  <si>
    <t>Material Purchased</t>
  </si>
  <si>
    <t>Invoice Raised to reviva</t>
  </si>
  <si>
    <t>INV/2025/00070</t>
  </si>
  <si>
    <t>Supply of Water Sensor</t>
  </si>
  <si>
    <t>Modern Building Leaders</t>
  </si>
  <si>
    <t>INV/2025/00064</t>
  </si>
  <si>
    <t>Invoice Raised and payment received</t>
  </si>
  <si>
    <t>Maintenance service of civic car</t>
  </si>
  <si>
    <r>
      <t xml:space="preserve">2850 Tickets+2000+1500 on 09/12/25 2500 </t>
    </r>
    <r>
      <rPr>
        <b/>
        <sz val="11"/>
        <color theme="1"/>
        <rFont val="Calibri"/>
        <family val="2"/>
        <scheme val="minor"/>
      </rPr>
      <t>more</t>
    </r>
  </si>
  <si>
    <t>Dress purchases for Naeem</t>
  </si>
  <si>
    <t>Rings Purchased for Comperssor</t>
  </si>
  <si>
    <t>Gloves &amp; net/bolt purchsed</t>
  </si>
  <si>
    <t>Money tranfer to Naeem</t>
  </si>
  <si>
    <t>fuel for Yaris</t>
  </si>
  <si>
    <t>Accounts Receivable clear by Feedco</t>
  </si>
  <si>
    <t>Payment Received from feedco</t>
  </si>
  <si>
    <t>Advance Payment Received from Fosam</t>
  </si>
  <si>
    <t>Modification in Pillows Shafts</t>
  </si>
  <si>
    <t>Commission given to Mr Halwani</t>
  </si>
  <si>
    <t>Bank Installment</t>
  </si>
  <si>
    <t>General Expense</t>
  </si>
  <si>
    <t>France Bank</t>
  </si>
  <si>
    <t>Salery Paid of December</t>
  </si>
  <si>
    <t>Mobile Package for Yasir Shah</t>
  </si>
  <si>
    <t>Odoo Bill Paid</t>
  </si>
  <si>
    <t>Odoo</t>
  </si>
  <si>
    <t xml:space="preserve">car tyre </t>
  </si>
  <si>
    <t>Modern Mills/Pully</t>
  </si>
  <si>
    <t>Mobile Package for Naeem</t>
  </si>
  <si>
    <t>Payment Transfer to Mehboob for epoxy work jazan (2nd Tour)</t>
  </si>
  <si>
    <t>Detail are mention later</t>
  </si>
  <si>
    <t>S02099</t>
  </si>
  <si>
    <t>Chat GPT charges</t>
  </si>
  <si>
    <t>Car phasing fee(Civic)</t>
  </si>
  <si>
    <t>SO2100 Qutation</t>
  </si>
  <si>
    <t>Rubber of Pully</t>
  </si>
  <si>
    <t>Modern Mills</t>
  </si>
  <si>
    <t>1500 Received</t>
  </si>
  <si>
    <t>food bill paid to hotel</t>
  </si>
  <si>
    <t>Tahir(Hotel)</t>
  </si>
  <si>
    <t>Paid to Younas</t>
  </si>
  <si>
    <t>Younas</t>
  </si>
  <si>
    <t>Transport expense</t>
  </si>
  <si>
    <t>Tyre Puncher paid</t>
  </si>
  <si>
    <t>Workshop hanger material</t>
  </si>
  <si>
    <t>Refiner Pump Shaft with Gear</t>
  </si>
  <si>
    <t>Emaar Ayan</t>
  </si>
  <si>
    <t>INV/2026/00002</t>
  </si>
  <si>
    <t>Paymnet Receive</t>
  </si>
  <si>
    <t>Emar Ayan Industrial Factory</t>
  </si>
  <si>
    <t>Muhammad Saeed</t>
  </si>
  <si>
    <t>Modification charges</t>
  </si>
  <si>
    <t>Yamin Vecation fee paid</t>
  </si>
  <si>
    <t>Borrow amount paid</t>
  </si>
  <si>
    <t>Accounts Receivable clear by Bahri</t>
  </si>
  <si>
    <t>Accounts Receivable Closed (Steel Shose)</t>
  </si>
  <si>
    <t>Eye Bolt</t>
  </si>
  <si>
    <t>Eye Bolt Project</t>
  </si>
  <si>
    <t>INV/2026/0001</t>
  </si>
  <si>
    <t>Borrow amount given to Naeem</t>
  </si>
  <si>
    <t>Drinks for Guest</t>
  </si>
  <si>
    <t>Drinks</t>
  </si>
  <si>
    <t>New car maintanence expense</t>
  </si>
  <si>
    <t>Pulley Purchased from Masri</t>
  </si>
  <si>
    <t>Massri</t>
  </si>
  <si>
    <t>Commission of Halwani for scrap purchased</t>
  </si>
  <si>
    <t>Scrape Purchased</t>
  </si>
  <si>
    <t>Halwani</t>
  </si>
  <si>
    <t>Amount paid to fosam for scrape purchased</t>
  </si>
  <si>
    <t>Modern Mills Compnay</t>
  </si>
  <si>
    <t>Repair work on pulley</t>
  </si>
  <si>
    <t>Yousri/Workshop</t>
  </si>
  <si>
    <t>fabrictaion of shaft</t>
  </si>
  <si>
    <t>Fabrication of base with safety tank</t>
  </si>
  <si>
    <t>Qutbi</t>
  </si>
  <si>
    <t>Steel sheet mm purchased</t>
  </si>
  <si>
    <t>Masdar</t>
  </si>
  <si>
    <t>Advance Cash Taken</t>
  </si>
  <si>
    <t>Payment Paid</t>
  </si>
  <si>
    <t>Payment Clear by us on 17/01/2026</t>
  </si>
  <si>
    <t xml:space="preserve">Paint and petrol purchased </t>
  </si>
  <si>
    <t>Drinks for Team</t>
  </si>
  <si>
    <t>Shaft Purchased</t>
  </si>
  <si>
    <t>Mobile Package</t>
  </si>
  <si>
    <t>S02097</t>
  </si>
  <si>
    <t>Net bolt purchase for workshop hanger</t>
  </si>
  <si>
    <t>INV/2026/0007</t>
  </si>
  <si>
    <t>Odoo Paymnet Renew</t>
  </si>
  <si>
    <t>Maintenance of a 3-ton forklift</t>
  </si>
  <si>
    <t>INV/2025/00073</t>
  </si>
  <si>
    <t>Car Service</t>
  </si>
  <si>
    <t>Reviva Cylinder (2pc)</t>
  </si>
  <si>
    <t>Moblile for Nissan Car</t>
  </si>
  <si>
    <t>sugar and milk</t>
  </si>
  <si>
    <t>Madician for labor</t>
  </si>
  <si>
    <t>Drinking water</t>
  </si>
  <si>
    <t>Abdullah Welder</t>
  </si>
  <si>
    <t>Binladin Group</t>
  </si>
  <si>
    <t>INV/2025/00054,INV/2025/00055, INV/2025/08/00010</t>
  </si>
  <si>
    <t>We have received payment against 3 invoices(100% Paymnet Received) / also we received 3709 SAR extra from binladin</t>
  </si>
  <si>
    <t>Buy a car from company</t>
  </si>
  <si>
    <t>Shivguru</t>
  </si>
  <si>
    <t>payment to yousaf for bill and accountpayable</t>
  </si>
  <si>
    <t>Yousaf</t>
  </si>
  <si>
    <t>Komatsu 7-Ton Forklift – Axle Assembly Maintenance</t>
  </si>
  <si>
    <t>SO2089 Quotation/ Material Purchased</t>
  </si>
  <si>
    <t>Dues paid on Cheque Release</t>
  </si>
  <si>
    <t>CR Update fee</t>
  </si>
  <si>
    <t>Froklift world trading co</t>
  </si>
  <si>
    <t>Govt</t>
  </si>
  <si>
    <t>Duct sample paymnet paid</t>
  </si>
  <si>
    <t>Iqbal duct</t>
  </si>
  <si>
    <t>Car Ac Service</t>
  </si>
  <si>
    <t>Salery Paid to Shoaib of (December 15 to Jan 15)</t>
  </si>
  <si>
    <t>Iphone 17 gifted to yasir shah by company</t>
  </si>
  <si>
    <t>Pending payment paid of tickets</t>
  </si>
  <si>
    <t>Adam Travels</t>
  </si>
  <si>
    <t>pending paymnet paid to M Saeed</t>
  </si>
  <si>
    <t>M Saeed</t>
  </si>
  <si>
    <t>pending paymnet paid to Shahbaz Millings</t>
  </si>
  <si>
    <t>Shahbaz Millings</t>
  </si>
  <si>
    <t>Bank instalment paid</t>
  </si>
  <si>
    <t>Pending paymnet paid to usman</t>
  </si>
  <si>
    <t>Usman Generator</t>
  </si>
  <si>
    <t>Hotel bill paid</t>
  </si>
  <si>
    <t>Tahir</t>
  </si>
  <si>
    <t>cash transfer to Yamin</t>
  </si>
  <si>
    <t>Pending Paymnet Paid</t>
  </si>
  <si>
    <t>Farooq Bhai</t>
  </si>
  <si>
    <t>Younas workshop</t>
  </si>
  <si>
    <t>Grader Motor Maintenance Project</t>
  </si>
  <si>
    <t>Shahid/Jamoum</t>
  </si>
  <si>
    <t>self repairing of grader</t>
  </si>
  <si>
    <t>Maintenance</t>
  </si>
  <si>
    <t>Mahal Najdi</t>
  </si>
  <si>
    <t>Castire welding rod</t>
  </si>
  <si>
    <t>pay amount to punchary for tyre fixing</t>
  </si>
  <si>
    <t>MS sheets purchased for canopy/perkin 1300</t>
  </si>
  <si>
    <t>perkin 1300 genset</t>
  </si>
  <si>
    <t>welding mask+ss drill bit+net bolt purchased</t>
  </si>
  <si>
    <t>SS Roller of Modern Mills</t>
  </si>
  <si>
    <t>insaf tech</t>
  </si>
  <si>
    <t>Net bolt purchase for roller of MM</t>
  </si>
  <si>
    <t>payment transfer to Shahid jamum for opening of engine and gearbox of grader</t>
  </si>
  <si>
    <t>fine paid of sonata</t>
  </si>
  <si>
    <t>battery purchased of grader</t>
  </si>
  <si>
    <t>Stater or battry purchased</t>
  </si>
  <si>
    <t>amount paid to Abbdullah khan's kafil</t>
  </si>
  <si>
    <t>Marvan Saudi</t>
  </si>
  <si>
    <t>Braker purchased of nisaan car</t>
  </si>
  <si>
    <t>house company for spare parts</t>
  </si>
  <si>
    <t>labor charges of nissan car maintenance</t>
  </si>
  <si>
    <t>Labor Charges</t>
  </si>
  <si>
    <t>Muhammad Amir</t>
  </si>
  <si>
    <t>Hydrulic oil purchsed</t>
  </si>
  <si>
    <t>Oil seal purchased for Modern mills</t>
  </si>
  <si>
    <t>Project name/Modern Mills Pending</t>
  </si>
  <si>
    <t>SO2089/Round bar</t>
  </si>
  <si>
    <t>Front Tyres change of nissan car with Computer Balancing</t>
  </si>
  <si>
    <t>Fabrication of L-Angle Bracket</t>
  </si>
  <si>
    <t>Q#2101/MS Sheet 6mm purchsed</t>
  </si>
  <si>
    <t>Cat food</t>
  </si>
  <si>
    <t>Q#2122 Rubber of coplin</t>
  </si>
  <si>
    <t>Rubber of Copling</t>
  </si>
  <si>
    <t>Ahmad Saeed Bahmaid EST</t>
  </si>
  <si>
    <t>Arif Bangali</t>
  </si>
  <si>
    <t>pillows</t>
  </si>
  <si>
    <t>loder/sapc</t>
  </si>
  <si>
    <t>Modification of pillows</t>
  </si>
  <si>
    <t>rubber of pully/Modern Mills</t>
  </si>
  <si>
    <t>rubber of small pully/Modern Mills</t>
  </si>
  <si>
    <t>Yousri</t>
  </si>
  <si>
    <t>Maintenance of pully</t>
  </si>
  <si>
    <t>Pully/Modern Mills</t>
  </si>
  <si>
    <t>Shahbaz Mills</t>
  </si>
  <si>
    <t>Suppliars Names</t>
  </si>
  <si>
    <t>Total payable</t>
  </si>
  <si>
    <t>Total paid</t>
  </si>
  <si>
    <t>Total Remain after Paid</t>
  </si>
  <si>
    <t>Projects Name</t>
  </si>
  <si>
    <t>For Prainsa work</t>
  </si>
  <si>
    <t>Binladin Engine</t>
  </si>
  <si>
    <t>Moeen Transport</t>
  </si>
  <si>
    <t>For Transport</t>
  </si>
  <si>
    <t>Shoaib Yasin</t>
  </si>
  <si>
    <t>Old Accounts</t>
  </si>
  <si>
    <t>Abu Javid</t>
  </si>
  <si>
    <t>Hali Project</t>
  </si>
  <si>
    <t>Farhan Molvi</t>
  </si>
  <si>
    <t>Insaf Tech</t>
  </si>
  <si>
    <t>Seal Tick</t>
  </si>
  <si>
    <t>Khurram Millings</t>
  </si>
  <si>
    <t>Abdullah Khan</t>
  </si>
  <si>
    <t>Raqib Radiator</t>
  </si>
  <si>
    <t>Naswar</t>
  </si>
  <si>
    <t>Mehmood Baksh</t>
  </si>
  <si>
    <t>Yasri Shah</t>
  </si>
  <si>
    <t>Naziq/Pakistan</t>
  </si>
  <si>
    <t>Tax</t>
  </si>
  <si>
    <t>Milk</t>
  </si>
  <si>
    <t>Shafts of pillows</t>
  </si>
  <si>
    <t>Shabaan Steel</t>
  </si>
  <si>
    <t>Sheet Purchasing 15mm</t>
  </si>
  <si>
    <t>Fabrication of Doors/15mm 2pc</t>
  </si>
  <si>
    <t>Metel Steel</t>
  </si>
  <si>
    <t>Bearing purchsed</t>
  </si>
  <si>
    <t>Al Rummanat Trading</t>
  </si>
  <si>
    <t>Yousef old account</t>
  </si>
  <si>
    <t>Yousef</t>
  </si>
  <si>
    <t>Commission of Halwani for pillows fabrication</t>
  </si>
  <si>
    <t>Pakistan Transfer payment</t>
  </si>
  <si>
    <t>3000 transfer to pak by samer ayoub</t>
  </si>
  <si>
    <t>payment to vanch by younas</t>
  </si>
  <si>
    <t>FG Willson 1300 2pc</t>
  </si>
  <si>
    <t>Basan pipe purchased for workshop</t>
  </si>
  <si>
    <t>Abiat Material</t>
  </si>
  <si>
    <t>Shaft Purchased (S02136)</t>
  </si>
  <si>
    <t>Sheet Purchasing 12mm for Tank of FCB</t>
  </si>
  <si>
    <t>Fabrication of MS Tank/FCB</t>
  </si>
  <si>
    <t>Fabrication of MS Pin/FCB</t>
  </si>
  <si>
    <t>2nd time Fabrication of pillows/FOSAM</t>
  </si>
  <si>
    <t>Metal Steel</t>
  </si>
  <si>
    <t>Welding Rod Purchased</t>
  </si>
  <si>
    <t>Electricity bills paid of work shop+Tariq commission 300+300</t>
  </si>
  <si>
    <t>Workshop Bill</t>
  </si>
  <si>
    <t>Workshop Expense</t>
  </si>
  <si>
    <t>Naeem AC fitter</t>
  </si>
  <si>
    <t>Naziq Pakistan</t>
  </si>
  <si>
    <t>Moeen Pakistan</t>
  </si>
  <si>
    <t>Majid Mamo</t>
  </si>
  <si>
    <t>Water bill paid to Yasir house</t>
  </si>
  <si>
    <t>Saif Bangali workshop</t>
  </si>
  <si>
    <t>Transporat of Sheet 12mm</t>
  </si>
  <si>
    <t>Workshop Rent paid by Samer bhai</t>
  </si>
  <si>
    <t>Workshop Rent</t>
  </si>
  <si>
    <t>amount paid</t>
  </si>
  <si>
    <t>Mamo Hussain</t>
  </si>
  <si>
    <t>License Renew</t>
  </si>
  <si>
    <t>Glaves and Welding glasses</t>
  </si>
  <si>
    <t>amount given to younas for genset</t>
  </si>
  <si>
    <t>Payment Received of Project</t>
  </si>
  <si>
    <t>2nd time Fabrication of pillows/Fosam</t>
  </si>
  <si>
    <t>Advance 50% payment Received of tanks</t>
  </si>
  <si>
    <t>Commission of VK Ram in Tanks</t>
  </si>
  <si>
    <t>VK RAM</t>
  </si>
  <si>
    <t>Chacha Muhammad get Advance</t>
  </si>
  <si>
    <t>Chacha Muhammad</t>
  </si>
  <si>
    <t>New Self install in Nissan</t>
  </si>
  <si>
    <t>Al Ghamdi</t>
  </si>
  <si>
    <t>Fabrication of new keys of workshop</t>
  </si>
  <si>
    <t>workshop Expense</t>
  </si>
  <si>
    <t>Refilling of gas cylinder</t>
  </si>
  <si>
    <t>Amount paid for doors cutting and bending</t>
  </si>
  <si>
    <t>Granding Disk Purechased</t>
  </si>
  <si>
    <t>Partically Paid</t>
  </si>
  <si>
    <t>Full Paid</t>
  </si>
  <si>
    <t>12mm sheet purchased for tanks</t>
  </si>
  <si>
    <t>Engine parts purchased for Grader</t>
  </si>
  <si>
    <t>Al OBAID CO</t>
  </si>
  <si>
    <t>4000 more paid to younas for perkins 1300 engine</t>
  </si>
  <si>
    <t>Umer Bangali</t>
  </si>
  <si>
    <t>Labor charges paid to Umar bangali</t>
  </si>
  <si>
    <t>Round bar purchased for Feedco door</t>
  </si>
  <si>
    <t>Flunch purchased 4 and 6mm</t>
  </si>
  <si>
    <t>Albina Alamthal</t>
  </si>
  <si>
    <t>Nut purchased</t>
  </si>
  <si>
    <t>Echo tools</t>
  </si>
  <si>
    <t>Monthly fee paid of 8months Shoaib's to kafeel</t>
  </si>
  <si>
    <t>soup and cat food purchased</t>
  </si>
  <si>
    <t>Gloves and Glasses purchased</t>
  </si>
  <si>
    <t>Amount paid to Shahid Jamum</t>
  </si>
  <si>
    <t>Gear box material purchased of grader</t>
  </si>
  <si>
    <t>Ahmad sadek company</t>
  </si>
  <si>
    <t>fuel for Material</t>
  </si>
  <si>
    <t>amount paid to Shoaib Yasin cutting and bending</t>
  </si>
  <si>
    <t>Oil change of Nissan car</t>
  </si>
  <si>
    <t>labor charges paid</t>
  </si>
  <si>
    <t>bearing purchased</t>
  </si>
  <si>
    <t>Hamas Leading</t>
  </si>
  <si>
    <t>Silicon and Grees purchased</t>
  </si>
  <si>
    <t>Net bolt purchase for door</t>
  </si>
  <si>
    <t>Labor charges paid for Fabrication of Doors</t>
  </si>
  <si>
    <t>Naeem Bangali</t>
  </si>
  <si>
    <t>labor charges paid for Powder coating of doors</t>
  </si>
  <si>
    <t>Jalal khan/Jamum</t>
  </si>
  <si>
    <t>advance amount paid to (Arabic Jubba)</t>
  </si>
  <si>
    <t>Yamani Tailor</t>
  </si>
  <si>
    <t>INV/2026/00020</t>
  </si>
  <si>
    <t>Invoice Amount Received</t>
  </si>
  <si>
    <t>50% Amount Received</t>
  </si>
  <si>
    <t>INV/2026/00010</t>
  </si>
  <si>
    <t>Modern Mills Company</t>
  </si>
  <si>
    <t>Tariq Yamni workshop</t>
  </si>
  <si>
    <t>15k old account, 6220 MBL company, 8475 old perkins+CAT+denmo+CAT Radiator+PTE+Rent, 5577 for Perkits 1300 2pc genset and one 100kW denmo+ 1000 for Madina work</t>
  </si>
  <si>
    <t>Date of last paid</t>
  </si>
  <si>
    <t>motor of welding machine</t>
  </si>
  <si>
    <t>Al husnani fazela</t>
  </si>
  <si>
    <t>breaker and dp and net</t>
  </si>
  <si>
    <t xml:space="preserve">Wadi Tarim </t>
  </si>
  <si>
    <t>industrial lights and wire</t>
  </si>
  <si>
    <t>Oring purchased</t>
  </si>
  <si>
    <t>wire purchased for workshop light</t>
  </si>
  <si>
    <t>Al zohrani</t>
  </si>
  <si>
    <t>amount given to usman for genset(transfer)</t>
  </si>
  <si>
    <t>Repair Expense</t>
  </si>
  <si>
    <t>salary paid</t>
  </si>
  <si>
    <t>Muhammad Naeem</t>
  </si>
  <si>
    <t>Fee paid for waleed waqala</t>
  </si>
  <si>
    <t>office expense</t>
  </si>
  <si>
    <t>Waleed Qureshi</t>
  </si>
  <si>
    <t>tickets purchsed</t>
  </si>
  <si>
    <t>Yamin iqbal</t>
  </si>
  <si>
    <t>Amount given to younas for iftar and sehar of team</t>
  </si>
  <si>
    <t>Naswar purchased</t>
  </si>
  <si>
    <t>Mobile pkg of owner</t>
  </si>
  <si>
    <t>paint material purchased for grader</t>
  </si>
  <si>
    <t>Emmar Gate</t>
  </si>
  <si>
    <t>Salim paints</t>
  </si>
  <si>
    <t>angle purchased 70*70</t>
  </si>
  <si>
    <t>khalid steel</t>
  </si>
  <si>
    <t>amount paid 1000 to shahid and 1000 for paint</t>
  </si>
  <si>
    <t>Imran Mechanic</t>
  </si>
  <si>
    <t>Abbas</t>
  </si>
  <si>
    <t>Grader Radiator</t>
  </si>
  <si>
    <t>Genset Radiator</t>
  </si>
  <si>
    <t>Saleries</t>
  </si>
  <si>
    <t>Abdullah and chacha of March Month</t>
  </si>
  <si>
    <t xml:space="preserve"> </t>
  </si>
  <si>
    <t>Net bolt purchase for Tank</t>
  </si>
  <si>
    <t>Umer al Saud</t>
  </si>
  <si>
    <t>Mobile pkg of Abdullah</t>
  </si>
  <si>
    <t>Abdullah Bangali</t>
  </si>
  <si>
    <t xml:space="preserve">advance amount paid to yamin </t>
  </si>
  <si>
    <t>Steel Pipe purchased for Vanch of Workshop</t>
  </si>
  <si>
    <t>Asdaf Scrap</t>
  </si>
  <si>
    <t>Granidng Disk Purchased</t>
  </si>
  <si>
    <t>paint purchased for doors</t>
  </si>
  <si>
    <t>Drinks for guest</t>
  </si>
  <si>
    <t>drinks for Guest</t>
  </si>
  <si>
    <t xml:space="preserve">Cement and other Material purchased for workshop </t>
  </si>
  <si>
    <t>Steel bar purchased for work shop</t>
  </si>
  <si>
    <t>Building co</t>
  </si>
  <si>
    <t>hair pin purchased</t>
  </si>
  <si>
    <t>Labor Charges of Workshop Maintenance</t>
  </si>
  <si>
    <t>Labor Charges paid to Naeem for 5 days</t>
  </si>
  <si>
    <t>Naeem Dabbab</t>
  </si>
  <si>
    <t xml:space="preserve">Medicine </t>
  </si>
  <si>
    <t>Gass cylender</t>
  </si>
  <si>
    <t>gloves purchased</t>
  </si>
  <si>
    <t>amount paid for Sun blasting</t>
  </si>
  <si>
    <t>Abbas/Sunblasting</t>
  </si>
  <si>
    <t>Indian/Talab</t>
  </si>
  <si>
    <t>Carpet on rent</t>
  </si>
  <si>
    <t>Mobile Package and mobile cover</t>
  </si>
  <si>
    <t xml:space="preserve">mobile cover </t>
  </si>
  <si>
    <t>Washer purchased</t>
  </si>
  <si>
    <t>refilling of water</t>
  </si>
  <si>
    <t>labor charges</t>
  </si>
  <si>
    <t>Khlil bangali/Fabricator</t>
  </si>
  <si>
    <t>50% payment recceived of doors</t>
  </si>
  <si>
    <t>Feedco investment compnay</t>
  </si>
  <si>
    <t>50% Advance Payment Received</t>
  </si>
  <si>
    <t>INV/2026/00021</t>
  </si>
  <si>
    <t>salary paid (January Month)</t>
  </si>
  <si>
    <t>Paint purchased for tank</t>
  </si>
  <si>
    <t>Welding Rod, drill machine purchased</t>
  </si>
  <si>
    <t>Pipe purchased</t>
  </si>
  <si>
    <t>Fulathy Steel</t>
  </si>
  <si>
    <t>amount transfer for punchary work of Grader</t>
  </si>
  <si>
    <t>Labor Charges for tank fabrication</t>
  </si>
  <si>
    <t>Electricity and water bill paid</t>
  </si>
  <si>
    <t>Switch purchased for workshop</t>
  </si>
  <si>
    <t>Asian Electricls</t>
  </si>
  <si>
    <t>Flunch purchased</t>
  </si>
  <si>
    <t>Kathoom Jeddah</t>
  </si>
  <si>
    <t>Doors lock purchased of Grader</t>
  </si>
  <si>
    <t>Rokn alnseria</t>
  </si>
  <si>
    <t>Mobile package</t>
  </si>
  <si>
    <t>Advance amount paid to Amin Company for (P00155)</t>
  </si>
  <si>
    <t>Advance amount paid of Project</t>
  </si>
  <si>
    <t>Advance paid</t>
  </si>
  <si>
    <t>Amin Company</t>
  </si>
  <si>
    <t>Granding+welding rod+hammer purchased</t>
  </si>
  <si>
    <t>Bayt al mawj</t>
  </si>
  <si>
    <t>(January Salary paid on 03-02-26)Company General Expense</t>
  </si>
  <si>
    <t>Salary paid od Feb month</t>
  </si>
  <si>
    <t>amount transfer to saeed milling</t>
  </si>
  <si>
    <t>Muhammad Saeed Milling</t>
  </si>
  <si>
    <t>Taxi bill</t>
  </si>
  <si>
    <t>labor Charges paid of paint</t>
  </si>
  <si>
    <t>Mehboob Painter</t>
  </si>
  <si>
    <t>For sehri and aftari Food for team</t>
  </si>
  <si>
    <t>forklift and dabbad rent</t>
  </si>
  <si>
    <t>Amount paid to Shahbaz for pins of FCB and Counpling of Modern Mills</t>
  </si>
  <si>
    <t>Shahbaz Lathe</t>
  </si>
  <si>
    <t>Amount Received in account</t>
  </si>
  <si>
    <t>100% amount receive of project</t>
  </si>
  <si>
    <t>INV/2026/00025</t>
  </si>
  <si>
    <t>Sonata and Yaris Fuel for some previous dates</t>
  </si>
  <si>
    <t>Oman plumbing</t>
  </si>
  <si>
    <t>Oman plumbing &amp; Albina</t>
  </si>
  <si>
    <t>Grader door handles purchsed</t>
  </si>
  <si>
    <t>Dar alnijara</t>
  </si>
  <si>
    <t>Material Purchsed</t>
  </si>
  <si>
    <t>thinner Purchased</t>
  </si>
  <si>
    <t>buy new horse</t>
  </si>
  <si>
    <t>Talab ab EST</t>
  </si>
  <si>
    <t>Thinner+paint+putty purchased</t>
  </si>
  <si>
    <t>Rubber gasket purchsed</t>
  </si>
  <si>
    <t>Abdullah bin naji company</t>
  </si>
  <si>
    <t>oil seal purchsed for Modern mills</t>
  </si>
  <si>
    <t>Al-Markaz company</t>
  </si>
  <si>
    <t>Fuel for Owner Car</t>
  </si>
  <si>
    <t>PO-0155+PO-0156 (ClipBoard+wood Aternator)</t>
  </si>
  <si>
    <t>100% Amount receive of project (in advance OF PO-0155 just) PO-0156 Pending</t>
  </si>
  <si>
    <t>Ayoub for horse expense</t>
  </si>
  <si>
    <t>Ayoub (Horse)</t>
  </si>
  <si>
    <t>Squre Tube purchased for grader door</t>
  </si>
  <si>
    <t>granding disk and rods Purechased</t>
  </si>
  <si>
    <t>Asas Albina</t>
  </si>
  <si>
    <t>labor charges paid of grader doors</t>
  </si>
  <si>
    <t>Palastini welder</t>
  </si>
  <si>
    <t xml:space="preserve">Amount transfer to shahid machinic jumum for piston,paint and other work </t>
  </si>
  <si>
    <t>eye drops for team</t>
  </si>
  <si>
    <t>amount transfer to amin</t>
  </si>
  <si>
    <t>leaser cutting charges</t>
  </si>
  <si>
    <t>Nazmol Bangali</t>
  </si>
  <si>
    <t>Yamin buy pent shirt</t>
  </si>
  <si>
    <t>Granding disk purcased</t>
  </si>
  <si>
    <t>Medicine</t>
  </si>
  <si>
    <t>INV/2026/00024</t>
  </si>
  <si>
    <t>project payment received with out (VAT)</t>
  </si>
  <si>
    <t>Compnay Rosomat/Wasim</t>
  </si>
  <si>
    <t>Payment receive without VAT</t>
  </si>
  <si>
    <t>net bolt purchased for genset</t>
  </si>
  <si>
    <t xml:space="preserve">SALABA </t>
  </si>
  <si>
    <t>amount transfer to mehboob for epoxy work</t>
  </si>
  <si>
    <t>Wasim/indian</t>
  </si>
  <si>
    <t>Transportation charges for Bole drum of FCB</t>
  </si>
  <si>
    <t>Rashid/Asad</t>
  </si>
  <si>
    <t>advance get by Yasir Shah</t>
  </si>
  <si>
    <t>amount paid to nazmol for leaser cutting</t>
  </si>
  <si>
    <t>Amount Transfer to usman generator (old account)</t>
  </si>
  <si>
    <t>Usman Total Remaining after this Transfer is 31,000 Company General Expense</t>
  </si>
  <si>
    <t>Exit andd re-entry fee</t>
  </si>
  <si>
    <t>Remaining 50% amount received of project</t>
  </si>
  <si>
    <t>INV/2026/00026</t>
  </si>
  <si>
    <t>100% amount receive/Project completed</t>
  </si>
  <si>
    <t>INV/2026/00027</t>
  </si>
  <si>
    <t>INV/2026/00028</t>
  </si>
  <si>
    <t>Amount of Two invoices</t>
  </si>
  <si>
    <t>INV/2026/00015</t>
  </si>
  <si>
    <t>50% Advance receive of Bole Drum</t>
  </si>
  <si>
    <t>Maintenance of Bole Drum</t>
  </si>
  <si>
    <t>INV/2026/00030</t>
  </si>
  <si>
    <t>Amount transfer to shahid for paint</t>
  </si>
  <si>
    <t>Car Maintenance Expense</t>
  </si>
  <si>
    <t>Fedel Moshin</t>
  </si>
  <si>
    <t>car maintenance</t>
  </si>
  <si>
    <t>Imran</t>
  </si>
  <si>
    <t>Salary paid to shoaib</t>
  </si>
  <si>
    <t>Tahir Hotel</t>
  </si>
  <si>
    <t>Eidi Received</t>
  </si>
  <si>
    <t>Salary paid to Yamin</t>
  </si>
  <si>
    <t>Ali Mechanic</t>
  </si>
  <si>
    <t>amount tranfer to Abdullah khan (Pak)</t>
  </si>
  <si>
    <t>Refilled of gass cylinder</t>
  </si>
  <si>
    <t>belts purchased for nissan car</t>
  </si>
  <si>
    <t>Corner Seventy</t>
  </si>
  <si>
    <t>Amount Transfer to Tailor</t>
  </si>
  <si>
    <t>Tailor/Fadelah</t>
  </si>
  <si>
    <t>Usman Total Remaining after this Transfer is 29,000 Company General Expense</t>
  </si>
  <si>
    <t>Amount Transfer to Mama Jafir (old account)</t>
  </si>
  <si>
    <t>Mama Jafir</t>
  </si>
  <si>
    <t>Baqala bill</t>
  </si>
  <si>
    <t>Food for Yasir</t>
  </si>
  <si>
    <t>Tent+Chairs for fuenral</t>
  </si>
  <si>
    <t>general expense by owner</t>
  </si>
  <si>
    <t>1500 for painter+1000 hydurilic hoses+1000 Shahid</t>
  </si>
  <si>
    <t>amount transferf for Radiator</t>
  </si>
  <si>
    <t>Raqeeb Bangalik</t>
  </si>
  <si>
    <t>granding disk purchased</t>
  </si>
  <si>
    <t>100% amount received</t>
  </si>
  <si>
    <t xml:space="preserve">amount rceeive </t>
  </si>
  <si>
    <t>Fabrication of 4inch Flunch</t>
  </si>
  <si>
    <t>S02157</t>
  </si>
  <si>
    <t>amount transfer to shahid jamom</t>
  </si>
  <si>
    <t>Material Purchsed Paint and others</t>
  </si>
  <si>
    <t>Galvanized Post Project/Wasim</t>
  </si>
  <si>
    <t>Advence Amount Recived in cash from wasim</t>
  </si>
  <si>
    <t>Advance 3000 Received</t>
  </si>
  <si>
    <t>Vacation amount transfer to Majid Bhai</t>
  </si>
  <si>
    <t>Mamo Majid</t>
  </si>
  <si>
    <t>Round bar purchased</t>
  </si>
  <si>
    <t>Pipe and 10mm sheet purchased</t>
  </si>
  <si>
    <t>Hamza Scrap</t>
  </si>
  <si>
    <t>Amount paid to waqas khumra for leaser cutting</t>
  </si>
  <si>
    <t>Waqas Khomrah</t>
  </si>
  <si>
    <t xml:space="preserve">Dabbab rent for pipe </t>
  </si>
  <si>
    <t>Amount Transfer to Emran hossain</t>
  </si>
  <si>
    <t>EMRAN HOSSAIN</t>
  </si>
  <si>
    <t>Amount Paid to Samkary for grader</t>
  </si>
  <si>
    <t>Samkry</t>
  </si>
  <si>
    <t>Amount Paid to Glasses</t>
  </si>
  <si>
    <t>Spare Parts Purchased</t>
  </si>
  <si>
    <t>Amount Transfer to Shahid</t>
  </si>
  <si>
    <t>amount tranfer to younas</t>
  </si>
  <si>
    <t>amount transfer</t>
  </si>
  <si>
    <t>Battery+Nazmol and other</t>
  </si>
  <si>
    <t>Amount Transfer to Shahid for Grader' electrician</t>
  </si>
  <si>
    <t>Labor charges paid to Shahid Jamum</t>
  </si>
  <si>
    <t>Paint for Grader(Transfer to shahid)</t>
  </si>
  <si>
    <t>amount transfer to Shahid 1500 shahid+1000 Painter+500 punchary+2000 hydrolic hoses</t>
  </si>
  <si>
    <t>Steel purchased</t>
  </si>
  <si>
    <t>3622 al Nafy</t>
  </si>
  <si>
    <t>160 Transfer</t>
  </si>
  <si>
    <t>Galvanized Po36 Project/Wasim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</si>
</sst>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11827"/>
      <name val="Segoe UI"/>
      <family val="2"/>
    </font>
    <font>
      <b/>
      <sz val="11"/>
      <color rgb="FF11182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11827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74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/>
    <xf numFmtId="2" fontId="1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1" fillId="5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3" fontId="1" fillId="9" borderId="1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4" fontId="0" fillId="8" borderId="1" xfId="0" applyNumberForma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4" fontId="5" fillId="6" borderId="1" xfId="0" applyNumberFormat="1" applyFont="1" applyFill="1" applyBorder="1" applyAlignment="1">
      <alignment horizontal="left" vertical="center"/>
    </xf>
    <xf numFmtId="4" fontId="1" fillId="7" borderId="1" xfId="0" applyNumberFormat="1" applyFont="1" applyFill="1" applyBorder="1" applyAlignment="1">
      <alignment horizontal="left" vertical="center"/>
    </xf>
    <xf numFmtId="4" fontId="5" fillId="7" borderId="1" xfId="0" applyNumberFormat="1" applyFont="1" applyFill="1" applyBorder="1" applyAlignment="1">
      <alignment horizontal="left" vertical="center"/>
    </xf>
    <xf numFmtId="4" fontId="1" fillId="7" borderId="2" xfId="0" applyNumberFormat="1" applyFont="1" applyFill="1" applyBorder="1" applyAlignment="1">
      <alignment horizontal="left" vertical="center"/>
    </xf>
    <xf numFmtId="4" fontId="5" fillId="7" borderId="2" xfId="0" applyNumberFormat="1" applyFont="1" applyFill="1" applyBorder="1" applyAlignment="1">
      <alignment horizontal="left" vertical="center"/>
    </xf>
    <xf numFmtId="4" fontId="1" fillId="10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Prosperous Future-Financial Dashboard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Prosperous Future-Financial Dashboard</a:t>
          </a:r>
        </a:p>
      </cx:txPr>
    </cx:title>
    <cx:plotArea>
      <cx:plotAreaRegion>
        <cx:series layoutId="waterfall" uniqueId="{31466E74-F4C8-432C-B634-6451FCB4FA36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/>
            </a:endParaRPr>
          </a:p>
        </cx:txPr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89857</xdr:colOff>
      <xdr:row>0</xdr:row>
      <xdr:rowOff>305520</xdr:rowOff>
    </xdr:from>
    <xdr:to>
      <xdr:col>5</xdr:col>
      <xdr:colOff>404363</xdr:colOff>
      <xdr:row>19</xdr:row>
      <xdr:rowOff>152760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33F3442-0643-4C88-9713-E76C70DF9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2732" y="305520"/>
              <a:ext cx="7715431" cy="3590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5"/>
  <sheetViews>
    <sheetView tabSelected="1" topLeftCell="A716" zoomScale="85" zoomScaleNormal="113" workbookViewId="0">
      <selection activeCell="H728" sqref="H728"/>
    </sheetView>
  </sheetViews>
  <sheetFormatPr defaultColWidth="16.5703125" defaultRowHeight="22.5" customHeight="1" x14ac:dyDescent="0.25"/>
  <cols>
    <col min="1" max="1" width="16.5703125" style="80" customWidth="1"/>
    <col min="2" max="2" width="27.42578125" style="4" customWidth="1"/>
    <col min="3" max="3" width="16.5703125" style="4" customWidth="1"/>
    <col min="4" max="4" width="16.5703125" style="59" customWidth="1"/>
    <col min="5" max="5" width="16.5703125" style="4"/>
    <col min="6" max="6" width="19.28515625" style="4" customWidth="1"/>
    <col min="7" max="7" width="28.28515625" style="18" customWidth="1"/>
    <col min="8" max="8" width="22" style="4" customWidth="1"/>
    <col min="9" max="9" width="9.42578125" style="4" customWidth="1"/>
    <col min="10" max="10" width="9.140625" style="4" customWidth="1"/>
    <col min="11" max="13" width="16.5703125" style="4"/>
    <col min="14" max="14" width="16.5703125" style="13"/>
    <col min="15" max="15" width="16.5703125" style="4"/>
    <col min="16" max="16" width="16.5703125" style="59"/>
    <col min="17" max="17" width="16.5703125" style="4"/>
    <col min="18" max="18" width="32.85546875" style="4" customWidth="1"/>
    <col min="19" max="16384" width="16.5703125" style="4"/>
  </cols>
  <sheetData>
    <row r="1" spans="1:18" s="12" customFormat="1" ht="24.95" customHeight="1" x14ac:dyDescent="0.25">
      <c r="A1" s="77" t="s">
        <v>0</v>
      </c>
      <c r="B1" s="3" t="s">
        <v>1</v>
      </c>
      <c r="C1" s="3" t="s">
        <v>2</v>
      </c>
      <c r="D1" s="5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13</v>
      </c>
      <c r="O1" s="3" t="s">
        <v>14</v>
      </c>
      <c r="P1" s="58" t="s">
        <v>15</v>
      </c>
      <c r="Q1" s="3" t="s">
        <v>16</v>
      </c>
      <c r="R1" s="3" t="s">
        <v>17</v>
      </c>
    </row>
    <row r="2" spans="1:18" ht="22.5" customHeight="1" x14ac:dyDescent="0.25">
      <c r="A2" s="80">
        <v>45965</v>
      </c>
      <c r="B2" s="4" t="s">
        <v>70</v>
      </c>
      <c r="C2" s="4" t="s">
        <v>79</v>
      </c>
      <c r="D2" s="59">
        <v>220</v>
      </c>
      <c r="E2" s="4" t="s">
        <v>22</v>
      </c>
      <c r="F2" s="4" t="s">
        <v>166</v>
      </c>
      <c r="G2" s="18" t="s">
        <v>84</v>
      </c>
      <c r="H2" s="4" t="s">
        <v>80</v>
      </c>
      <c r="K2" s="4" t="s">
        <v>99</v>
      </c>
      <c r="L2" s="4" t="s">
        <v>98</v>
      </c>
      <c r="N2" s="13">
        <v>15</v>
      </c>
      <c r="O2" s="4">
        <f>IF(OR(D2="", N2=""), "", ROUND(D2 * N2 / 100, 2))</f>
        <v>33</v>
      </c>
      <c r="P2" s="59">
        <f>IF(D2="", "", D2 + O2)</f>
        <v>253</v>
      </c>
      <c r="Q2" s="4" t="s">
        <v>97</v>
      </c>
    </row>
    <row r="3" spans="1:18" ht="22.5" customHeight="1" x14ac:dyDescent="0.25">
      <c r="A3" s="80">
        <v>45965</v>
      </c>
      <c r="B3" s="4" t="s">
        <v>71</v>
      </c>
      <c r="C3" s="4" t="s">
        <v>79</v>
      </c>
      <c r="D3" s="59">
        <v>169.5</v>
      </c>
      <c r="E3" s="4" t="s">
        <v>22</v>
      </c>
      <c r="F3" s="4" t="s">
        <v>166</v>
      </c>
      <c r="G3" s="18" t="s">
        <v>84</v>
      </c>
      <c r="H3" s="4" t="s">
        <v>80</v>
      </c>
      <c r="K3" s="4" t="s">
        <v>99</v>
      </c>
      <c r="L3" s="4" t="s">
        <v>98</v>
      </c>
      <c r="N3" s="13">
        <v>15</v>
      </c>
      <c r="O3" s="4">
        <f t="shared" ref="O3:O65" si="0">IF(OR(D3="", N3=""), "", ROUND(D3 * N3 / 100, 2))</f>
        <v>25.43</v>
      </c>
      <c r="P3" s="59">
        <f t="shared" ref="P3:P65" si="1">IF(D3="", "", D3 + O3)</f>
        <v>194.93</v>
      </c>
      <c r="Q3" s="4" t="s">
        <v>97</v>
      </c>
    </row>
    <row r="4" spans="1:18" ht="22.5" customHeight="1" x14ac:dyDescent="0.25">
      <c r="A4" s="80">
        <v>45965</v>
      </c>
      <c r="B4" s="4" t="s">
        <v>72</v>
      </c>
      <c r="C4" s="4" t="s">
        <v>79</v>
      </c>
      <c r="D4" s="59">
        <v>269.57</v>
      </c>
      <c r="E4" s="4" t="s">
        <v>22</v>
      </c>
      <c r="F4" s="4" t="s">
        <v>166</v>
      </c>
      <c r="G4" s="18" t="s">
        <v>84</v>
      </c>
      <c r="H4" s="4" t="s">
        <v>80</v>
      </c>
      <c r="K4" s="4" t="s">
        <v>99</v>
      </c>
      <c r="L4" s="4" t="s">
        <v>98</v>
      </c>
      <c r="N4" s="13">
        <v>15</v>
      </c>
      <c r="O4" s="4">
        <f t="shared" si="0"/>
        <v>40.44</v>
      </c>
      <c r="P4" s="59">
        <f t="shared" si="1"/>
        <v>310.01</v>
      </c>
      <c r="Q4" s="4" t="s">
        <v>97</v>
      </c>
    </row>
    <row r="5" spans="1:18" ht="22.5" customHeight="1" x14ac:dyDescent="0.25">
      <c r="A5" s="80">
        <v>45965</v>
      </c>
      <c r="B5" s="4" t="s">
        <v>73</v>
      </c>
      <c r="C5" s="4" t="s">
        <v>79</v>
      </c>
      <c r="D5" s="59">
        <v>473.91</v>
      </c>
      <c r="E5" s="4" t="s">
        <v>22</v>
      </c>
      <c r="F5" s="4" t="s">
        <v>166</v>
      </c>
      <c r="G5" s="18" t="s">
        <v>84</v>
      </c>
      <c r="H5" s="4" t="s">
        <v>80</v>
      </c>
      <c r="K5" s="4" t="s">
        <v>99</v>
      </c>
      <c r="L5" s="4" t="s">
        <v>98</v>
      </c>
      <c r="N5" s="13">
        <v>15</v>
      </c>
      <c r="O5" s="4">
        <f t="shared" si="0"/>
        <v>71.09</v>
      </c>
      <c r="P5" s="59">
        <f t="shared" si="1"/>
        <v>545</v>
      </c>
      <c r="Q5" s="4" t="s">
        <v>97</v>
      </c>
    </row>
    <row r="6" spans="1:18" ht="22.5" customHeight="1" x14ac:dyDescent="0.25">
      <c r="A6" s="80">
        <v>45966</v>
      </c>
      <c r="B6" s="4" t="s">
        <v>74</v>
      </c>
      <c r="C6" s="4" t="s">
        <v>79</v>
      </c>
      <c r="D6" s="59">
        <v>1808.7</v>
      </c>
      <c r="E6" s="4" t="s">
        <v>22</v>
      </c>
      <c r="F6" s="4" t="s">
        <v>248</v>
      </c>
      <c r="G6" s="18" t="s">
        <v>84</v>
      </c>
      <c r="H6" s="4" t="s">
        <v>80</v>
      </c>
      <c r="K6" s="4" t="s">
        <v>99</v>
      </c>
      <c r="L6" s="4" t="s">
        <v>98</v>
      </c>
      <c r="N6" s="13">
        <v>15</v>
      </c>
      <c r="O6" s="4">
        <f t="shared" si="0"/>
        <v>271.31</v>
      </c>
      <c r="P6" s="59">
        <f t="shared" si="1"/>
        <v>2080.0100000000002</v>
      </c>
      <c r="Q6" s="4" t="s">
        <v>97</v>
      </c>
    </row>
    <row r="7" spans="1:18" ht="22.5" customHeight="1" x14ac:dyDescent="0.25">
      <c r="A7" s="80">
        <v>45966</v>
      </c>
      <c r="B7" s="4" t="s">
        <v>75</v>
      </c>
      <c r="C7" s="4" t="s">
        <v>79</v>
      </c>
      <c r="D7" s="59">
        <v>217.39</v>
      </c>
      <c r="E7" s="4" t="s">
        <v>22</v>
      </c>
      <c r="F7" s="4" t="s">
        <v>57</v>
      </c>
      <c r="G7" s="18" t="s">
        <v>84</v>
      </c>
      <c r="H7" s="4" t="s">
        <v>81</v>
      </c>
      <c r="K7" s="4" t="s">
        <v>99</v>
      </c>
      <c r="L7" s="4" t="s">
        <v>98</v>
      </c>
      <c r="N7" s="13">
        <v>15</v>
      </c>
      <c r="O7" s="4">
        <f t="shared" si="0"/>
        <v>32.61</v>
      </c>
      <c r="P7" s="59">
        <f t="shared" si="1"/>
        <v>250</v>
      </c>
      <c r="Q7" s="4" t="s">
        <v>97</v>
      </c>
    </row>
    <row r="8" spans="1:18" ht="22.5" customHeight="1" x14ac:dyDescent="0.25">
      <c r="A8" s="80">
        <v>45966</v>
      </c>
      <c r="B8" s="4" t="s">
        <v>76</v>
      </c>
      <c r="C8" s="4" t="s">
        <v>79</v>
      </c>
      <c r="D8" s="59">
        <v>886.96</v>
      </c>
      <c r="E8" s="4" t="s">
        <v>22</v>
      </c>
      <c r="F8" s="4" t="s">
        <v>58</v>
      </c>
      <c r="G8" s="18" t="s">
        <v>84</v>
      </c>
      <c r="H8" s="4" t="s">
        <v>82</v>
      </c>
      <c r="K8" s="4" t="s">
        <v>99</v>
      </c>
      <c r="L8" s="4" t="s">
        <v>98</v>
      </c>
      <c r="N8" s="13">
        <v>15</v>
      </c>
      <c r="O8" s="4">
        <f t="shared" si="0"/>
        <v>133.04</v>
      </c>
      <c r="P8" s="59">
        <f t="shared" si="1"/>
        <v>1020</v>
      </c>
      <c r="Q8" s="4" t="s">
        <v>97</v>
      </c>
    </row>
    <row r="9" spans="1:18" ht="22.5" customHeight="1" x14ac:dyDescent="0.25">
      <c r="A9" s="80">
        <v>45966</v>
      </c>
      <c r="B9" s="4" t="s">
        <v>77</v>
      </c>
      <c r="C9" s="4" t="s">
        <v>79</v>
      </c>
      <c r="D9" s="59">
        <v>301.74</v>
      </c>
      <c r="E9" s="4" t="s">
        <v>22</v>
      </c>
      <c r="F9" s="4" t="s">
        <v>115</v>
      </c>
      <c r="G9" s="18" t="s">
        <v>84</v>
      </c>
      <c r="H9" s="4" t="s">
        <v>115</v>
      </c>
      <c r="K9" s="4" t="s">
        <v>99</v>
      </c>
      <c r="L9" s="4" t="s">
        <v>98</v>
      </c>
      <c r="N9" s="13">
        <v>15</v>
      </c>
      <c r="O9" s="4">
        <f t="shared" si="0"/>
        <v>45.26</v>
      </c>
      <c r="P9" s="59">
        <f t="shared" si="1"/>
        <v>347</v>
      </c>
      <c r="Q9" s="4" t="s">
        <v>97</v>
      </c>
    </row>
    <row r="10" spans="1:18" ht="22.5" customHeight="1" x14ac:dyDescent="0.25">
      <c r="A10" s="80">
        <v>45966</v>
      </c>
      <c r="B10" s="4" t="s">
        <v>78</v>
      </c>
      <c r="C10" s="4" t="s">
        <v>79</v>
      </c>
      <c r="D10" s="59">
        <v>434.78</v>
      </c>
      <c r="E10" s="4" t="s">
        <v>22</v>
      </c>
      <c r="F10" s="4" t="s">
        <v>166</v>
      </c>
      <c r="G10" s="18" t="s">
        <v>84</v>
      </c>
      <c r="H10" s="4" t="s">
        <v>80</v>
      </c>
      <c r="K10" s="4" t="s">
        <v>99</v>
      </c>
      <c r="L10" s="4" t="s">
        <v>98</v>
      </c>
      <c r="N10" s="13">
        <v>15</v>
      </c>
      <c r="O10" s="4">
        <f t="shared" si="0"/>
        <v>65.22</v>
      </c>
      <c r="P10" s="59">
        <f t="shared" si="1"/>
        <v>500</v>
      </c>
      <c r="Q10" s="4" t="s">
        <v>97</v>
      </c>
    </row>
    <row r="11" spans="1:18" s="6" customFormat="1" ht="22.5" customHeight="1" x14ac:dyDescent="0.25">
      <c r="A11" s="82">
        <v>45966</v>
      </c>
      <c r="B11" s="6" t="s">
        <v>87</v>
      </c>
      <c r="C11" s="6" t="s">
        <v>88</v>
      </c>
      <c r="D11" s="60">
        <v>4000</v>
      </c>
      <c r="E11" s="6" t="s">
        <v>22</v>
      </c>
      <c r="F11" s="6" t="s">
        <v>89</v>
      </c>
      <c r="G11" s="6" t="s">
        <v>84</v>
      </c>
      <c r="H11" s="6" t="s">
        <v>167</v>
      </c>
      <c r="K11" s="6" t="s">
        <v>85</v>
      </c>
      <c r="L11" s="6" t="s">
        <v>86</v>
      </c>
      <c r="M11" s="6" t="s">
        <v>90</v>
      </c>
      <c r="N11" s="14">
        <v>15</v>
      </c>
      <c r="O11" s="6">
        <f t="shared" si="0"/>
        <v>600</v>
      </c>
      <c r="P11" s="60">
        <f t="shared" si="1"/>
        <v>4600</v>
      </c>
      <c r="Q11" s="6" t="s">
        <v>97</v>
      </c>
      <c r="R11" s="6" t="s">
        <v>100</v>
      </c>
    </row>
    <row r="12" spans="1:18" s="6" customFormat="1" ht="22.5" customHeight="1" x14ac:dyDescent="0.25">
      <c r="A12" s="82">
        <v>45967</v>
      </c>
      <c r="B12" s="6" t="s">
        <v>93</v>
      </c>
      <c r="C12" s="6" t="s">
        <v>88</v>
      </c>
      <c r="D12" s="60">
        <v>2000</v>
      </c>
      <c r="E12" s="6" t="s">
        <v>22</v>
      </c>
      <c r="F12" s="6" t="s">
        <v>89</v>
      </c>
      <c r="G12" s="6" t="s">
        <v>94</v>
      </c>
      <c r="H12" s="6" t="s">
        <v>167</v>
      </c>
      <c r="I12" s="6">
        <v>1</v>
      </c>
      <c r="K12" s="6" t="s">
        <v>95</v>
      </c>
      <c r="L12" s="6" t="s">
        <v>86</v>
      </c>
      <c r="M12" s="6" t="s">
        <v>96</v>
      </c>
      <c r="N12" s="14">
        <v>15</v>
      </c>
      <c r="O12" s="6">
        <f t="shared" si="0"/>
        <v>300</v>
      </c>
      <c r="P12" s="60">
        <f t="shared" si="1"/>
        <v>2300</v>
      </c>
      <c r="Q12" s="6" t="s">
        <v>97</v>
      </c>
      <c r="R12" s="6" t="s">
        <v>100</v>
      </c>
    </row>
    <row r="13" spans="1:18" ht="22.5" customHeight="1" x14ac:dyDescent="0.25">
      <c r="A13" s="81">
        <v>45967</v>
      </c>
      <c r="B13" s="7" t="s">
        <v>101</v>
      </c>
      <c r="C13" s="4" t="s">
        <v>79</v>
      </c>
      <c r="D13" s="59">
        <v>104.35</v>
      </c>
      <c r="E13" s="4" t="s">
        <v>22</v>
      </c>
      <c r="F13" s="4" t="s">
        <v>166</v>
      </c>
      <c r="G13" s="18" t="s">
        <v>94</v>
      </c>
      <c r="H13" s="4" t="s">
        <v>80</v>
      </c>
      <c r="K13" s="4" t="s">
        <v>99</v>
      </c>
      <c r="L13" s="4" t="s">
        <v>98</v>
      </c>
      <c r="N13" s="13">
        <v>15</v>
      </c>
      <c r="O13" s="4">
        <f t="shared" si="0"/>
        <v>15.65</v>
      </c>
      <c r="P13" s="59">
        <f t="shared" si="1"/>
        <v>120</v>
      </c>
      <c r="Q13" s="4" t="s">
        <v>97</v>
      </c>
    </row>
    <row r="14" spans="1:18" ht="22.5" customHeight="1" x14ac:dyDescent="0.25">
      <c r="A14" s="81">
        <v>45967</v>
      </c>
      <c r="B14" s="7" t="s">
        <v>102</v>
      </c>
      <c r="C14" s="4" t="s">
        <v>79</v>
      </c>
      <c r="D14" s="59">
        <v>417.39</v>
      </c>
      <c r="E14" s="4" t="s">
        <v>22</v>
      </c>
      <c r="F14" s="4" t="s">
        <v>248</v>
      </c>
      <c r="G14" s="18" t="s">
        <v>94</v>
      </c>
      <c r="H14" s="4" t="s">
        <v>80</v>
      </c>
      <c r="K14" s="4" t="s">
        <v>99</v>
      </c>
      <c r="L14" s="4" t="s">
        <v>98</v>
      </c>
      <c r="N14" s="13">
        <v>15</v>
      </c>
      <c r="O14" s="4">
        <f t="shared" si="0"/>
        <v>62.61</v>
      </c>
      <c r="P14" s="59">
        <f t="shared" si="1"/>
        <v>480</v>
      </c>
      <c r="Q14" s="4" t="s">
        <v>97</v>
      </c>
    </row>
    <row r="15" spans="1:18" ht="22.5" customHeight="1" x14ac:dyDescent="0.25">
      <c r="A15" s="81">
        <v>45967</v>
      </c>
      <c r="B15" s="7" t="s">
        <v>75</v>
      </c>
      <c r="C15" s="4" t="s">
        <v>79</v>
      </c>
      <c r="D15" s="59">
        <v>139.13</v>
      </c>
      <c r="E15" s="4" t="s">
        <v>22</v>
      </c>
      <c r="F15" s="4" t="s">
        <v>57</v>
      </c>
      <c r="G15" s="18" t="s">
        <v>94</v>
      </c>
      <c r="H15" s="4" t="s">
        <v>81</v>
      </c>
      <c r="K15" s="4" t="s">
        <v>99</v>
      </c>
      <c r="L15" s="4" t="s">
        <v>98</v>
      </c>
      <c r="N15" s="13">
        <v>15</v>
      </c>
      <c r="O15" s="4">
        <f t="shared" si="0"/>
        <v>20.87</v>
      </c>
      <c r="P15" s="59">
        <f t="shared" si="1"/>
        <v>160</v>
      </c>
      <c r="Q15" s="4" t="s">
        <v>97</v>
      </c>
    </row>
    <row r="16" spans="1:18" ht="22.5" customHeight="1" x14ac:dyDescent="0.25">
      <c r="A16" s="81">
        <v>45967</v>
      </c>
      <c r="B16" s="7" t="s">
        <v>77</v>
      </c>
      <c r="C16" s="4" t="s">
        <v>79</v>
      </c>
      <c r="D16" s="59">
        <v>113.04</v>
      </c>
      <c r="E16" s="4" t="s">
        <v>22</v>
      </c>
      <c r="F16" s="4" t="s">
        <v>115</v>
      </c>
      <c r="G16" s="18" t="s">
        <v>94</v>
      </c>
      <c r="H16" s="4" t="s">
        <v>115</v>
      </c>
      <c r="K16" s="4" t="s">
        <v>99</v>
      </c>
      <c r="L16" s="4" t="s">
        <v>98</v>
      </c>
      <c r="N16" s="13">
        <v>15</v>
      </c>
      <c r="O16" s="4">
        <f t="shared" si="0"/>
        <v>16.96</v>
      </c>
      <c r="P16" s="59">
        <f t="shared" si="1"/>
        <v>130</v>
      </c>
      <c r="Q16" s="4" t="s">
        <v>97</v>
      </c>
    </row>
    <row r="17" spans="1:18" s="6" customFormat="1" ht="22.5" customHeight="1" x14ac:dyDescent="0.25">
      <c r="A17" s="82">
        <v>45970</v>
      </c>
      <c r="B17" s="6" t="s">
        <v>103</v>
      </c>
      <c r="C17" s="6" t="s">
        <v>88</v>
      </c>
      <c r="D17" s="60">
        <v>7425</v>
      </c>
      <c r="E17" s="6" t="s">
        <v>22</v>
      </c>
      <c r="F17" s="6" t="s">
        <v>89</v>
      </c>
      <c r="G17" s="6" t="s">
        <v>104</v>
      </c>
      <c r="H17" s="6" t="s">
        <v>167</v>
      </c>
      <c r="I17" s="6">
        <v>1</v>
      </c>
      <c r="K17" s="6" t="s">
        <v>105</v>
      </c>
      <c r="L17" s="6" t="s">
        <v>86</v>
      </c>
      <c r="N17" s="14">
        <v>0</v>
      </c>
      <c r="O17" s="6">
        <f t="shared" si="0"/>
        <v>0</v>
      </c>
      <c r="P17" s="60">
        <f t="shared" si="1"/>
        <v>7425</v>
      </c>
      <c r="Q17" s="6" t="s">
        <v>106</v>
      </c>
      <c r="R17" s="19" t="s">
        <v>107</v>
      </c>
    </row>
    <row r="18" spans="1:18" ht="22.5" customHeight="1" x14ac:dyDescent="0.25">
      <c r="A18" s="81">
        <v>45971</v>
      </c>
      <c r="B18" s="7" t="s">
        <v>108</v>
      </c>
      <c r="C18" s="7" t="s">
        <v>79</v>
      </c>
      <c r="D18" s="59">
        <v>170.43</v>
      </c>
      <c r="E18" s="4" t="s">
        <v>22</v>
      </c>
      <c r="F18" s="4" t="s">
        <v>248</v>
      </c>
      <c r="G18" s="18" t="s">
        <v>104</v>
      </c>
      <c r="H18" s="4" t="s">
        <v>80</v>
      </c>
      <c r="K18" s="4" t="s">
        <v>99</v>
      </c>
      <c r="L18" s="4" t="s">
        <v>98</v>
      </c>
      <c r="N18" s="13">
        <v>15</v>
      </c>
      <c r="O18" s="4">
        <f t="shared" si="0"/>
        <v>25.56</v>
      </c>
      <c r="P18" s="59">
        <f t="shared" si="1"/>
        <v>195.99</v>
      </c>
      <c r="Q18" s="4" t="s">
        <v>97</v>
      </c>
    </row>
    <row r="19" spans="1:18" ht="22.5" customHeight="1" x14ac:dyDescent="0.25">
      <c r="A19" s="81">
        <v>45971</v>
      </c>
      <c r="B19" s="7" t="s">
        <v>109</v>
      </c>
      <c r="C19" s="7" t="s">
        <v>79</v>
      </c>
      <c r="D19" s="59">
        <v>170.43</v>
      </c>
      <c r="E19" s="4" t="s">
        <v>22</v>
      </c>
      <c r="F19" s="4" t="s">
        <v>166</v>
      </c>
      <c r="G19" s="18" t="s">
        <v>104</v>
      </c>
      <c r="H19" s="4" t="s">
        <v>80</v>
      </c>
      <c r="K19" s="4" t="s">
        <v>99</v>
      </c>
      <c r="L19" s="4" t="s">
        <v>98</v>
      </c>
      <c r="N19" s="13">
        <v>15</v>
      </c>
      <c r="O19" s="4">
        <f t="shared" si="0"/>
        <v>25.56</v>
      </c>
      <c r="P19" s="59">
        <f t="shared" si="1"/>
        <v>195.99</v>
      </c>
      <c r="Q19" s="4" t="s">
        <v>97</v>
      </c>
    </row>
    <row r="20" spans="1:18" ht="22.5" customHeight="1" x14ac:dyDescent="0.25">
      <c r="A20" s="81">
        <v>45972</v>
      </c>
      <c r="B20" s="7" t="s">
        <v>110</v>
      </c>
      <c r="C20" s="7" t="s">
        <v>79</v>
      </c>
      <c r="D20" s="59">
        <v>1095.6500000000001</v>
      </c>
      <c r="E20" s="4" t="s">
        <v>22</v>
      </c>
      <c r="F20" s="4" t="s">
        <v>166</v>
      </c>
      <c r="G20" s="18" t="s">
        <v>104</v>
      </c>
      <c r="H20" s="4" t="s">
        <v>80</v>
      </c>
      <c r="K20" s="4" t="s">
        <v>99</v>
      </c>
      <c r="L20" s="4" t="s">
        <v>98</v>
      </c>
      <c r="N20" s="13">
        <v>15</v>
      </c>
      <c r="O20" s="4">
        <f t="shared" si="0"/>
        <v>164.35</v>
      </c>
      <c r="P20" s="59">
        <f t="shared" si="1"/>
        <v>1260</v>
      </c>
      <c r="Q20" s="4" t="s">
        <v>97</v>
      </c>
    </row>
    <row r="21" spans="1:18" ht="22.5" customHeight="1" x14ac:dyDescent="0.25">
      <c r="A21" s="81">
        <v>45972</v>
      </c>
      <c r="B21" s="7" t="s">
        <v>111</v>
      </c>
      <c r="C21" s="7" t="s">
        <v>79</v>
      </c>
      <c r="D21" s="59">
        <v>695.65</v>
      </c>
      <c r="E21" s="4" t="s">
        <v>22</v>
      </c>
      <c r="F21" s="4" t="s">
        <v>59</v>
      </c>
      <c r="G21" s="18" t="s">
        <v>104</v>
      </c>
      <c r="H21" s="4" t="s">
        <v>83</v>
      </c>
      <c r="K21" s="4" t="s">
        <v>99</v>
      </c>
      <c r="L21" s="4" t="s">
        <v>98</v>
      </c>
      <c r="N21" s="13">
        <v>15</v>
      </c>
      <c r="O21" s="4">
        <f t="shared" si="0"/>
        <v>104.35</v>
      </c>
      <c r="P21" s="59">
        <f t="shared" si="1"/>
        <v>800</v>
      </c>
      <c r="Q21" s="4" t="s">
        <v>97</v>
      </c>
    </row>
    <row r="22" spans="1:18" ht="22.5" customHeight="1" x14ac:dyDescent="0.25">
      <c r="A22" s="81">
        <v>45973</v>
      </c>
      <c r="B22" s="7" t="s">
        <v>112</v>
      </c>
      <c r="C22" s="7" t="s">
        <v>79</v>
      </c>
      <c r="D22" s="59">
        <v>1078.26</v>
      </c>
      <c r="E22" s="4" t="s">
        <v>22</v>
      </c>
      <c r="F22" s="4" t="s">
        <v>166</v>
      </c>
      <c r="G22" s="18" t="s">
        <v>104</v>
      </c>
      <c r="H22" s="4" t="s">
        <v>80</v>
      </c>
      <c r="K22" s="4" t="s">
        <v>99</v>
      </c>
      <c r="L22" s="4" t="s">
        <v>98</v>
      </c>
      <c r="N22" s="13">
        <v>15</v>
      </c>
      <c r="O22" s="4">
        <f t="shared" si="0"/>
        <v>161.74</v>
      </c>
      <c r="P22" s="59">
        <f t="shared" si="1"/>
        <v>1240</v>
      </c>
      <c r="Q22" s="4" t="s">
        <v>97</v>
      </c>
    </row>
    <row r="23" spans="1:18" ht="22.5" customHeight="1" x14ac:dyDescent="0.25">
      <c r="A23" s="81">
        <v>45973</v>
      </c>
      <c r="B23" s="7" t="s">
        <v>113</v>
      </c>
      <c r="C23" s="7" t="s">
        <v>79</v>
      </c>
      <c r="D23" s="59">
        <v>330.43</v>
      </c>
      <c r="E23" s="4" t="s">
        <v>22</v>
      </c>
      <c r="F23" s="4" t="s">
        <v>248</v>
      </c>
      <c r="G23" s="18" t="s">
        <v>104</v>
      </c>
      <c r="H23" s="4" t="s">
        <v>80</v>
      </c>
      <c r="K23" s="4" t="s">
        <v>99</v>
      </c>
      <c r="L23" s="4" t="s">
        <v>98</v>
      </c>
      <c r="N23" s="13">
        <v>15</v>
      </c>
      <c r="O23" s="4">
        <f t="shared" si="0"/>
        <v>49.56</v>
      </c>
      <c r="P23" s="59">
        <f t="shared" si="1"/>
        <v>379.99</v>
      </c>
      <c r="Q23" s="4" t="s">
        <v>97</v>
      </c>
    </row>
    <row r="24" spans="1:18" ht="22.5" customHeight="1" x14ac:dyDescent="0.25">
      <c r="A24" s="81">
        <v>45974</v>
      </c>
      <c r="B24" s="7" t="s">
        <v>75</v>
      </c>
      <c r="C24" s="7" t="s">
        <v>79</v>
      </c>
      <c r="D24" s="59">
        <v>434.78</v>
      </c>
      <c r="E24" s="4" t="s">
        <v>22</v>
      </c>
      <c r="F24" s="4" t="s">
        <v>57</v>
      </c>
      <c r="G24" s="18" t="s">
        <v>104</v>
      </c>
      <c r="H24" s="4" t="s">
        <v>81</v>
      </c>
      <c r="K24" s="4" t="s">
        <v>99</v>
      </c>
      <c r="L24" s="4" t="s">
        <v>98</v>
      </c>
      <c r="N24" s="13">
        <v>15</v>
      </c>
      <c r="O24" s="4">
        <f t="shared" si="0"/>
        <v>65.22</v>
      </c>
      <c r="P24" s="59">
        <f t="shared" si="1"/>
        <v>500</v>
      </c>
      <c r="Q24" s="4" t="s">
        <v>97</v>
      </c>
    </row>
    <row r="25" spans="1:18" ht="22.5" customHeight="1" x14ac:dyDescent="0.25">
      <c r="A25" s="81">
        <v>45974</v>
      </c>
      <c r="B25" s="7" t="s">
        <v>114</v>
      </c>
      <c r="C25" s="7" t="s">
        <v>79</v>
      </c>
      <c r="D25" s="59">
        <v>2078.2600000000002</v>
      </c>
      <c r="E25" s="4" t="s">
        <v>22</v>
      </c>
      <c r="F25" s="4" t="s">
        <v>58</v>
      </c>
      <c r="G25" s="18" t="s">
        <v>104</v>
      </c>
      <c r="H25" s="4" t="s">
        <v>82</v>
      </c>
      <c r="K25" s="4" t="s">
        <v>135</v>
      </c>
      <c r="L25" s="4" t="s">
        <v>98</v>
      </c>
      <c r="N25" s="13">
        <v>15</v>
      </c>
      <c r="O25" s="4">
        <f t="shared" si="0"/>
        <v>311.74</v>
      </c>
      <c r="P25" s="59">
        <f t="shared" si="1"/>
        <v>2390</v>
      </c>
      <c r="Q25" s="4" t="s">
        <v>97</v>
      </c>
    </row>
    <row r="26" spans="1:18" ht="22.5" customHeight="1" x14ac:dyDescent="0.25">
      <c r="A26" s="81">
        <v>45975</v>
      </c>
      <c r="B26" s="7" t="s">
        <v>77</v>
      </c>
      <c r="C26" s="7" t="s">
        <v>79</v>
      </c>
      <c r="D26" s="59">
        <v>173.91</v>
      </c>
      <c r="E26" s="4" t="s">
        <v>22</v>
      </c>
      <c r="F26" s="4" t="s">
        <v>115</v>
      </c>
      <c r="G26" s="18" t="s">
        <v>104</v>
      </c>
      <c r="H26" s="4" t="s">
        <v>115</v>
      </c>
      <c r="K26" s="4" t="s">
        <v>99</v>
      </c>
      <c r="L26" s="4" t="s">
        <v>98</v>
      </c>
      <c r="N26" s="13">
        <v>15</v>
      </c>
      <c r="O26" s="4">
        <f t="shared" si="0"/>
        <v>26.09</v>
      </c>
      <c r="P26" s="59">
        <f t="shared" si="1"/>
        <v>200</v>
      </c>
      <c r="Q26" s="4" t="s">
        <v>97</v>
      </c>
    </row>
    <row r="27" spans="1:18" s="27" customFormat="1" ht="22.5" customHeight="1" x14ac:dyDescent="0.25">
      <c r="A27" s="78">
        <v>45976</v>
      </c>
      <c r="B27" s="27" t="s">
        <v>116</v>
      </c>
      <c r="C27" s="27" t="s">
        <v>88</v>
      </c>
      <c r="D27" s="61">
        <v>7425</v>
      </c>
      <c r="E27" s="21" t="s">
        <v>26</v>
      </c>
      <c r="F27" s="21" t="s">
        <v>89</v>
      </c>
      <c r="G27" s="44" t="s">
        <v>104</v>
      </c>
      <c r="H27" s="27" t="s">
        <v>167</v>
      </c>
      <c r="I27" s="27">
        <v>1</v>
      </c>
      <c r="K27" s="27" t="s">
        <v>105</v>
      </c>
      <c r="L27" s="27" t="s">
        <v>86</v>
      </c>
      <c r="M27" s="21" t="s">
        <v>117</v>
      </c>
      <c r="N27" s="32">
        <v>0</v>
      </c>
      <c r="O27" s="27">
        <f t="shared" si="0"/>
        <v>0</v>
      </c>
      <c r="P27" s="61">
        <f t="shared" si="1"/>
        <v>7425</v>
      </c>
      <c r="Q27" s="27" t="s">
        <v>91</v>
      </c>
      <c r="R27" s="27" t="s">
        <v>118</v>
      </c>
    </row>
    <row r="28" spans="1:18" s="21" customFormat="1" ht="22.5" customHeight="1" x14ac:dyDescent="0.25">
      <c r="A28" s="78">
        <v>45976</v>
      </c>
      <c r="B28" s="27" t="s">
        <v>119</v>
      </c>
      <c r="C28" s="27" t="s">
        <v>88</v>
      </c>
      <c r="D28" s="61">
        <v>2227.5</v>
      </c>
      <c r="E28" s="21" t="s">
        <v>26</v>
      </c>
      <c r="F28" s="21" t="s">
        <v>89</v>
      </c>
      <c r="G28" s="44" t="s">
        <v>104</v>
      </c>
      <c r="H28" s="27" t="s">
        <v>167</v>
      </c>
      <c r="I28" s="27"/>
      <c r="J28" s="27"/>
      <c r="K28" s="27" t="s">
        <v>105</v>
      </c>
      <c r="L28" s="27" t="s">
        <v>86</v>
      </c>
      <c r="M28" s="21" t="s">
        <v>117</v>
      </c>
      <c r="N28" s="32">
        <v>0</v>
      </c>
      <c r="O28" s="27">
        <f t="shared" ref="O28" si="2">IF(OR(D28="", N28=""), "", ROUND(D28 * N28 / 100, 2))</f>
        <v>0</v>
      </c>
      <c r="P28" s="61">
        <f t="shared" ref="P28" si="3">IF(D28="", "", D28 + O28)</f>
        <v>2227.5</v>
      </c>
      <c r="Q28" s="27" t="s">
        <v>91</v>
      </c>
      <c r="R28" s="27" t="s">
        <v>120</v>
      </c>
    </row>
    <row r="29" spans="1:18" s="6" customFormat="1" ht="22.5" customHeight="1" x14ac:dyDescent="0.25">
      <c r="A29" s="83">
        <v>45981</v>
      </c>
      <c r="B29" s="6" t="s">
        <v>121</v>
      </c>
      <c r="C29" s="6" t="s">
        <v>88</v>
      </c>
      <c r="D29" s="60">
        <v>27000</v>
      </c>
      <c r="E29" s="6" t="s">
        <v>22</v>
      </c>
      <c r="F29" s="6" t="s">
        <v>89</v>
      </c>
      <c r="G29" s="6" t="s">
        <v>122</v>
      </c>
      <c r="H29" s="6" t="s">
        <v>167</v>
      </c>
      <c r="I29" s="6" t="s">
        <v>123</v>
      </c>
      <c r="K29" s="6" t="s">
        <v>124</v>
      </c>
      <c r="L29" s="6" t="s">
        <v>86</v>
      </c>
      <c r="N29" s="14">
        <v>15</v>
      </c>
      <c r="O29" s="6">
        <f t="shared" si="0"/>
        <v>4050</v>
      </c>
      <c r="P29" s="60">
        <f t="shared" si="1"/>
        <v>31050</v>
      </c>
      <c r="Q29" s="6" t="s">
        <v>97</v>
      </c>
      <c r="R29" s="6" t="s">
        <v>125</v>
      </c>
    </row>
    <row r="30" spans="1:18" ht="22.5" customHeight="1" x14ac:dyDescent="0.25">
      <c r="A30" s="76">
        <v>45987</v>
      </c>
      <c r="B30" s="4" t="s">
        <v>126</v>
      </c>
      <c r="C30" s="4" t="s">
        <v>79</v>
      </c>
      <c r="D30" s="59">
        <v>2543.48</v>
      </c>
      <c r="E30" s="4" t="s">
        <v>22</v>
      </c>
      <c r="F30" s="4" t="s">
        <v>166</v>
      </c>
      <c r="G30" s="18" t="s">
        <v>122</v>
      </c>
      <c r="H30" s="4" t="s">
        <v>80</v>
      </c>
      <c r="K30" s="4" t="s">
        <v>131</v>
      </c>
      <c r="L30" s="4" t="s">
        <v>98</v>
      </c>
      <c r="N30" s="13">
        <v>15</v>
      </c>
      <c r="O30" s="4">
        <f t="shared" si="0"/>
        <v>381.52</v>
      </c>
      <c r="P30" s="59">
        <f t="shared" si="1"/>
        <v>2925</v>
      </c>
      <c r="Q30" s="4" t="s">
        <v>97</v>
      </c>
    </row>
    <row r="31" spans="1:18" s="24" customFormat="1" ht="22.5" customHeight="1" x14ac:dyDescent="0.25">
      <c r="A31" s="79">
        <v>45987</v>
      </c>
      <c r="B31" s="24" t="s">
        <v>127</v>
      </c>
      <c r="C31" s="24" t="s">
        <v>79</v>
      </c>
      <c r="D31" s="62">
        <v>1200</v>
      </c>
      <c r="E31" s="24" t="s">
        <v>27</v>
      </c>
      <c r="F31" s="24" t="s">
        <v>249</v>
      </c>
      <c r="G31" s="24" t="s">
        <v>122</v>
      </c>
      <c r="H31" s="24" t="s">
        <v>80</v>
      </c>
      <c r="K31" s="24" t="s">
        <v>132</v>
      </c>
      <c r="L31" s="24" t="s">
        <v>98</v>
      </c>
      <c r="N31" s="25">
        <v>0</v>
      </c>
      <c r="O31" s="24">
        <f t="shared" si="0"/>
        <v>0</v>
      </c>
      <c r="P31" s="62">
        <f t="shared" si="1"/>
        <v>1200</v>
      </c>
      <c r="Q31" s="24" t="s">
        <v>91</v>
      </c>
      <c r="R31" s="24" t="s">
        <v>184</v>
      </c>
    </row>
    <row r="32" spans="1:18" ht="22.5" customHeight="1" x14ac:dyDescent="0.25">
      <c r="A32" s="76">
        <v>45987</v>
      </c>
      <c r="B32" s="4" t="s">
        <v>83</v>
      </c>
      <c r="C32" s="4" t="s">
        <v>79</v>
      </c>
      <c r="D32" s="59">
        <v>217.39</v>
      </c>
      <c r="E32" s="4" t="s">
        <v>22</v>
      </c>
      <c r="F32" s="4" t="s">
        <v>59</v>
      </c>
      <c r="G32" s="18" t="s">
        <v>122</v>
      </c>
      <c r="H32" s="4" t="s">
        <v>83</v>
      </c>
      <c r="K32" s="4" t="s">
        <v>99</v>
      </c>
      <c r="L32" s="4" t="s">
        <v>98</v>
      </c>
      <c r="N32" s="13">
        <v>15</v>
      </c>
      <c r="O32" s="4">
        <f t="shared" si="0"/>
        <v>32.61</v>
      </c>
      <c r="P32" s="59">
        <f t="shared" si="1"/>
        <v>250</v>
      </c>
      <c r="Q32" s="4" t="s">
        <v>97</v>
      </c>
    </row>
    <row r="33" spans="1:18" ht="22.5" customHeight="1" x14ac:dyDescent="0.25">
      <c r="A33" s="76">
        <v>45987</v>
      </c>
      <c r="B33" s="4" t="s">
        <v>128</v>
      </c>
      <c r="C33" s="4" t="s">
        <v>79</v>
      </c>
      <c r="D33" s="59">
        <v>695.65</v>
      </c>
      <c r="E33" s="4" t="s">
        <v>22</v>
      </c>
      <c r="F33" s="4" t="s">
        <v>166</v>
      </c>
      <c r="G33" s="18" t="s">
        <v>122</v>
      </c>
      <c r="H33" s="4" t="s">
        <v>80</v>
      </c>
      <c r="K33" s="4" t="s">
        <v>133</v>
      </c>
      <c r="L33" s="4" t="s">
        <v>98</v>
      </c>
      <c r="N33" s="13">
        <v>15</v>
      </c>
      <c r="O33" s="4">
        <f t="shared" si="0"/>
        <v>104.35</v>
      </c>
      <c r="P33" s="59">
        <f t="shared" si="1"/>
        <v>800</v>
      </c>
      <c r="Q33" s="4" t="s">
        <v>97</v>
      </c>
    </row>
    <row r="34" spans="1:18" ht="22.5" customHeight="1" x14ac:dyDescent="0.25">
      <c r="A34" s="76">
        <v>45988</v>
      </c>
      <c r="B34" s="4" t="s">
        <v>113</v>
      </c>
      <c r="C34" s="4" t="s">
        <v>79</v>
      </c>
      <c r="D34" s="59">
        <v>591.29999999999995</v>
      </c>
      <c r="E34" s="4" t="s">
        <v>22</v>
      </c>
      <c r="F34" s="4" t="s">
        <v>248</v>
      </c>
      <c r="G34" s="18" t="s">
        <v>122</v>
      </c>
      <c r="H34" s="4" t="s">
        <v>80</v>
      </c>
      <c r="K34" s="4" t="s">
        <v>134</v>
      </c>
      <c r="L34" s="4" t="s">
        <v>98</v>
      </c>
      <c r="N34" s="13">
        <v>15</v>
      </c>
      <c r="O34" s="4">
        <f t="shared" si="0"/>
        <v>88.7</v>
      </c>
      <c r="P34" s="59">
        <f t="shared" si="1"/>
        <v>680</v>
      </c>
      <c r="Q34" s="4" t="s">
        <v>97</v>
      </c>
    </row>
    <row r="35" spans="1:18" ht="22.5" customHeight="1" x14ac:dyDescent="0.25">
      <c r="A35" s="76">
        <v>45988</v>
      </c>
      <c r="B35" s="4" t="s">
        <v>129</v>
      </c>
      <c r="C35" s="4" t="s">
        <v>79</v>
      </c>
      <c r="D35" s="59">
        <v>1417.39</v>
      </c>
      <c r="E35" s="4" t="s">
        <v>22</v>
      </c>
      <c r="F35" s="4" t="s">
        <v>58</v>
      </c>
      <c r="G35" s="18" t="s">
        <v>122</v>
      </c>
      <c r="H35" s="4" t="s">
        <v>80</v>
      </c>
      <c r="K35" s="4" t="s">
        <v>135</v>
      </c>
      <c r="L35" s="4" t="s">
        <v>98</v>
      </c>
      <c r="N35" s="13">
        <v>15</v>
      </c>
      <c r="O35" s="4">
        <f t="shared" si="0"/>
        <v>212.61</v>
      </c>
      <c r="P35" s="59">
        <f t="shared" si="1"/>
        <v>1630</v>
      </c>
      <c r="Q35" s="4" t="s">
        <v>97</v>
      </c>
    </row>
    <row r="36" spans="1:18" ht="22.5" customHeight="1" x14ac:dyDescent="0.25">
      <c r="A36" s="76">
        <v>45988</v>
      </c>
      <c r="B36" s="4" t="s">
        <v>130</v>
      </c>
      <c r="C36" s="4" t="s">
        <v>79</v>
      </c>
      <c r="D36" s="59">
        <v>4000</v>
      </c>
      <c r="E36" s="4" t="s">
        <v>22</v>
      </c>
      <c r="F36" s="4" t="s">
        <v>251</v>
      </c>
      <c r="G36" s="18" t="s">
        <v>122</v>
      </c>
      <c r="H36" s="4" t="s">
        <v>251</v>
      </c>
      <c r="K36" s="4" t="s">
        <v>136</v>
      </c>
      <c r="L36" s="4" t="s">
        <v>98</v>
      </c>
      <c r="N36" s="13">
        <v>0</v>
      </c>
      <c r="O36" s="4">
        <f t="shared" si="0"/>
        <v>0</v>
      </c>
      <c r="P36" s="59">
        <f t="shared" si="1"/>
        <v>4000</v>
      </c>
      <c r="Q36" s="4" t="s">
        <v>97</v>
      </c>
      <c r="R36" s="4" t="s">
        <v>336</v>
      </c>
    </row>
    <row r="37" spans="1:18" ht="22.5" customHeight="1" x14ac:dyDescent="0.25">
      <c r="A37" s="76">
        <v>45988</v>
      </c>
      <c r="B37" s="4" t="s">
        <v>77</v>
      </c>
      <c r="C37" s="4" t="s">
        <v>79</v>
      </c>
      <c r="D37" s="59">
        <v>60.87</v>
      </c>
      <c r="E37" s="4" t="s">
        <v>22</v>
      </c>
      <c r="F37" s="4" t="s">
        <v>115</v>
      </c>
      <c r="G37" s="18" t="s">
        <v>122</v>
      </c>
      <c r="H37" s="4" t="s">
        <v>115</v>
      </c>
      <c r="K37" s="4" t="s">
        <v>99</v>
      </c>
      <c r="L37" s="4" t="s">
        <v>98</v>
      </c>
      <c r="N37" s="13">
        <v>15</v>
      </c>
      <c r="O37" s="4">
        <f t="shared" si="0"/>
        <v>9.1300000000000008</v>
      </c>
      <c r="P37" s="59">
        <f t="shared" si="1"/>
        <v>70</v>
      </c>
      <c r="Q37" s="4" t="s">
        <v>97</v>
      </c>
    </row>
    <row r="38" spans="1:18" ht="22.5" customHeight="1" x14ac:dyDescent="0.25">
      <c r="A38" s="76">
        <v>45988</v>
      </c>
      <c r="B38" s="4" t="s">
        <v>75</v>
      </c>
      <c r="C38" s="4" t="s">
        <v>79</v>
      </c>
      <c r="D38" s="59">
        <v>295.64999999999998</v>
      </c>
      <c r="E38" s="4" t="s">
        <v>22</v>
      </c>
      <c r="F38" s="4" t="s">
        <v>57</v>
      </c>
      <c r="G38" s="18" t="s">
        <v>122</v>
      </c>
      <c r="H38" s="4" t="s">
        <v>81</v>
      </c>
      <c r="K38" s="4" t="s">
        <v>99</v>
      </c>
      <c r="L38" s="4" t="s">
        <v>98</v>
      </c>
      <c r="N38" s="13">
        <v>15</v>
      </c>
      <c r="O38" s="4">
        <f t="shared" si="0"/>
        <v>44.35</v>
      </c>
      <c r="P38" s="59">
        <f t="shared" si="1"/>
        <v>340</v>
      </c>
      <c r="Q38" s="4" t="s">
        <v>97</v>
      </c>
    </row>
    <row r="39" spans="1:18" ht="22.5" customHeight="1" x14ac:dyDescent="0.25">
      <c r="A39" s="76">
        <v>45988</v>
      </c>
      <c r="B39" s="4" t="s">
        <v>109</v>
      </c>
      <c r="C39" s="4" t="s">
        <v>79</v>
      </c>
      <c r="D39" s="59">
        <v>434.78</v>
      </c>
      <c r="E39" s="4" t="s">
        <v>22</v>
      </c>
      <c r="F39" s="4" t="s">
        <v>166</v>
      </c>
      <c r="G39" s="18" t="s">
        <v>122</v>
      </c>
      <c r="H39" s="4" t="s">
        <v>80</v>
      </c>
      <c r="K39" s="4" t="s">
        <v>99</v>
      </c>
      <c r="L39" s="4" t="s">
        <v>98</v>
      </c>
      <c r="N39" s="13">
        <v>15</v>
      </c>
      <c r="O39" s="4">
        <f t="shared" si="0"/>
        <v>65.22</v>
      </c>
      <c r="P39" s="59">
        <f t="shared" si="1"/>
        <v>500</v>
      </c>
      <c r="Q39" s="4" t="s">
        <v>97</v>
      </c>
    </row>
    <row r="40" spans="1:18" ht="22.5" customHeight="1" x14ac:dyDescent="0.25">
      <c r="A40" s="76">
        <v>45989</v>
      </c>
      <c r="B40" s="4" t="s">
        <v>152</v>
      </c>
      <c r="C40" s="4" t="s">
        <v>79</v>
      </c>
      <c r="D40" s="59">
        <v>900</v>
      </c>
      <c r="E40" s="4" t="s">
        <v>22</v>
      </c>
      <c r="F40" s="28" t="s">
        <v>250</v>
      </c>
      <c r="H40" s="4" t="s">
        <v>147</v>
      </c>
      <c r="K40" s="4" t="s">
        <v>610</v>
      </c>
      <c r="L40" s="4" t="s">
        <v>98</v>
      </c>
      <c r="N40" s="13">
        <v>0</v>
      </c>
      <c r="O40" s="4">
        <f t="shared" si="0"/>
        <v>0</v>
      </c>
      <c r="P40" s="59">
        <f t="shared" si="1"/>
        <v>900</v>
      </c>
      <c r="Q40" s="4" t="s">
        <v>97</v>
      </c>
      <c r="R40" s="4" t="s">
        <v>137</v>
      </c>
    </row>
    <row r="41" spans="1:18" ht="22.5" customHeight="1" x14ac:dyDescent="0.25">
      <c r="A41" s="76">
        <v>45989</v>
      </c>
      <c r="B41" s="4" t="s">
        <v>138</v>
      </c>
      <c r="C41" s="4" t="s">
        <v>79</v>
      </c>
      <c r="D41" s="59">
        <v>3000</v>
      </c>
      <c r="E41" s="4" t="s">
        <v>22</v>
      </c>
      <c r="F41" s="4" t="s">
        <v>58</v>
      </c>
      <c r="H41" s="4" t="s">
        <v>82</v>
      </c>
      <c r="K41" s="4" t="s">
        <v>135</v>
      </c>
      <c r="L41" s="4" t="s">
        <v>98</v>
      </c>
      <c r="N41" s="13">
        <v>0</v>
      </c>
      <c r="O41" s="4">
        <f t="shared" si="0"/>
        <v>0</v>
      </c>
      <c r="P41" s="59">
        <f t="shared" si="1"/>
        <v>3000</v>
      </c>
      <c r="Q41" s="4" t="s">
        <v>97</v>
      </c>
      <c r="R41" s="4" t="s">
        <v>137</v>
      </c>
    </row>
    <row r="42" spans="1:18" ht="22.5" customHeight="1" x14ac:dyDescent="0.25">
      <c r="A42" s="76">
        <v>45989</v>
      </c>
      <c r="B42" s="4" t="s">
        <v>139</v>
      </c>
      <c r="C42" s="4" t="s">
        <v>79</v>
      </c>
      <c r="D42" s="59">
        <v>590</v>
      </c>
      <c r="E42" s="4" t="s">
        <v>22</v>
      </c>
      <c r="F42" s="4" t="s">
        <v>59</v>
      </c>
      <c r="H42" s="4" t="s">
        <v>148</v>
      </c>
      <c r="K42" s="4" t="s">
        <v>140</v>
      </c>
      <c r="L42" s="4" t="s">
        <v>98</v>
      </c>
      <c r="N42" s="13">
        <v>0</v>
      </c>
      <c r="O42" s="4">
        <f t="shared" si="0"/>
        <v>0</v>
      </c>
      <c r="P42" s="59">
        <f t="shared" si="1"/>
        <v>590</v>
      </c>
      <c r="Q42" s="4" t="s">
        <v>97</v>
      </c>
      <c r="R42" s="4" t="s">
        <v>137</v>
      </c>
    </row>
    <row r="43" spans="1:18" ht="22.5" customHeight="1" x14ac:dyDescent="0.25">
      <c r="A43" s="76">
        <v>45989</v>
      </c>
      <c r="B43" s="4" t="s">
        <v>142</v>
      </c>
      <c r="C43" s="4" t="s">
        <v>79</v>
      </c>
      <c r="D43" s="59">
        <v>500</v>
      </c>
      <c r="E43" s="4" t="s">
        <v>22</v>
      </c>
      <c r="F43" s="4" t="s">
        <v>252</v>
      </c>
      <c r="H43" s="4" t="s">
        <v>149</v>
      </c>
      <c r="K43" s="4" t="s">
        <v>141</v>
      </c>
      <c r="L43" s="4" t="s">
        <v>98</v>
      </c>
      <c r="N43" s="13">
        <v>0</v>
      </c>
      <c r="O43" s="4">
        <f t="shared" si="0"/>
        <v>0</v>
      </c>
      <c r="P43" s="59">
        <f t="shared" si="1"/>
        <v>500</v>
      </c>
      <c r="Q43" s="4" t="s">
        <v>97</v>
      </c>
      <c r="R43" s="4" t="s">
        <v>137</v>
      </c>
    </row>
    <row r="44" spans="1:18" ht="22.5" customHeight="1" x14ac:dyDescent="0.25">
      <c r="A44" s="76">
        <v>45989</v>
      </c>
      <c r="B44" s="4" t="s">
        <v>143</v>
      </c>
      <c r="C44" s="4" t="s">
        <v>79</v>
      </c>
      <c r="D44" s="59">
        <v>75</v>
      </c>
      <c r="E44" s="4" t="s">
        <v>22</v>
      </c>
      <c r="F44" s="4" t="s">
        <v>248</v>
      </c>
      <c r="H44" s="4" t="s">
        <v>80</v>
      </c>
      <c r="K44" s="4" t="s">
        <v>99</v>
      </c>
      <c r="L44" s="4" t="s">
        <v>98</v>
      </c>
      <c r="N44" s="13">
        <v>0</v>
      </c>
      <c r="O44" s="4">
        <f t="shared" si="0"/>
        <v>0</v>
      </c>
      <c r="P44" s="59">
        <f t="shared" si="1"/>
        <v>75</v>
      </c>
      <c r="Q44" s="4" t="s">
        <v>97</v>
      </c>
      <c r="R44" s="4" t="s">
        <v>137</v>
      </c>
    </row>
    <row r="45" spans="1:18" ht="22.5" customHeight="1" x14ac:dyDescent="0.25">
      <c r="A45" s="76">
        <v>45989</v>
      </c>
      <c r="B45" s="4" t="s">
        <v>144</v>
      </c>
      <c r="C45" s="4" t="s">
        <v>79</v>
      </c>
      <c r="D45" s="59">
        <v>119.13</v>
      </c>
      <c r="E45" s="4" t="s">
        <v>22</v>
      </c>
      <c r="F45" s="4" t="s">
        <v>248</v>
      </c>
      <c r="H45" s="4" t="s">
        <v>80</v>
      </c>
      <c r="K45" s="4" t="s">
        <v>145</v>
      </c>
      <c r="L45" s="4" t="s">
        <v>98</v>
      </c>
      <c r="N45" s="13">
        <v>15</v>
      </c>
      <c r="O45" s="4">
        <f t="shared" si="0"/>
        <v>17.87</v>
      </c>
      <c r="P45" s="59">
        <f t="shared" si="1"/>
        <v>137</v>
      </c>
      <c r="Q45" s="4" t="s">
        <v>97</v>
      </c>
      <c r="R45" s="4" t="s">
        <v>137</v>
      </c>
    </row>
    <row r="46" spans="1:18" ht="22.5" customHeight="1" x14ac:dyDescent="0.25">
      <c r="A46" s="76">
        <v>45989</v>
      </c>
      <c r="B46" s="4" t="s">
        <v>115</v>
      </c>
      <c r="C46" s="4" t="s">
        <v>79</v>
      </c>
      <c r="D46" s="59">
        <v>60.87</v>
      </c>
      <c r="E46" s="4" t="s">
        <v>22</v>
      </c>
      <c r="F46" s="4" t="s">
        <v>115</v>
      </c>
      <c r="H46" s="4" t="s">
        <v>115</v>
      </c>
      <c r="K46" s="4" t="s">
        <v>146</v>
      </c>
      <c r="L46" s="4" t="s">
        <v>98</v>
      </c>
      <c r="N46" s="13">
        <v>15</v>
      </c>
      <c r="O46" s="4">
        <f t="shared" si="0"/>
        <v>9.1300000000000008</v>
      </c>
      <c r="P46" s="59">
        <f t="shared" si="1"/>
        <v>70</v>
      </c>
      <c r="Q46" s="4" t="s">
        <v>97</v>
      </c>
      <c r="R46" s="4" t="s">
        <v>137</v>
      </c>
    </row>
    <row r="47" spans="1:18" ht="22.5" customHeight="1" x14ac:dyDescent="0.25">
      <c r="A47" s="76">
        <v>45989</v>
      </c>
      <c r="B47" s="4" t="s">
        <v>150</v>
      </c>
      <c r="C47" s="4" t="s">
        <v>79</v>
      </c>
      <c r="D47" s="59">
        <v>10</v>
      </c>
      <c r="E47" s="4" t="s">
        <v>22</v>
      </c>
      <c r="F47" s="4" t="s">
        <v>248</v>
      </c>
      <c r="H47" s="4" t="s">
        <v>80</v>
      </c>
      <c r="K47" s="4" t="s">
        <v>145</v>
      </c>
      <c r="L47" s="4" t="s">
        <v>98</v>
      </c>
      <c r="N47" s="13">
        <v>0</v>
      </c>
      <c r="O47" s="4">
        <f t="shared" si="0"/>
        <v>0</v>
      </c>
      <c r="P47" s="59">
        <f t="shared" si="1"/>
        <v>10</v>
      </c>
      <c r="Q47" s="4" t="s">
        <v>97</v>
      </c>
      <c r="R47" s="4" t="s">
        <v>137</v>
      </c>
    </row>
    <row r="48" spans="1:18" ht="22.5" customHeight="1" x14ac:dyDescent="0.25">
      <c r="A48" s="76">
        <v>45989</v>
      </c>
      <c r="B48" s="4" t="s">
        <v>151</v>
      </c>
      <c r="C48" s="4" t="s">
        <v>79</v>
      </c>
      <c r="D48" s="59">
        <v>156.52000000000001</v>
      </c>
      <c r="E48" s="4" t="s">
        <v>22</v>
      </c>
      <c r="F48" s="4" t="s">
        <v>248</v>
      </c>
      <c r="H48" s="4" t="s">
        <v>80</v>
      </c>
      <c r="K48" s="4" t="s">
        <v>99</v>
      </c>
      <c r="L48" s="4" t="s">
        <v>98</v>
      </c>
      <c r="N48" s="13">
        <v>15</v>
      </c>
      <c r="O48" s="4">
        <f t="shared" si="0"/>
        <v>23.48</v>
      </c>
      <c r="P48" s="59">
        <f t="shared" si="1"/>
        <v>180</v>
      </c>
      <c r="Q48" s="4" t="s">
        <v>97</v>
      </c>
      <c r="R48" s="4" t="s">
        <v>137</v>
      </c>
    </row>
    <row r="49" spans="1:18" ht="22.5" customHeight="1" x14ac:dyDescent="0.25">
      <c r="A49" s="76">
        <v>45989</v>
      </c>
      <c r="B49" s="4" t="s">
        <v>142</v>
      </c>
      <c r="C49" s="4" t="s">
        <v>79</v>
      </c>
      <c r="D49" s="59">
        <v>600</v>
      </c>
      <c r="E49" s="4" t="s">
        <v>22</v>
      </c>
      <c r="F49" s="4" t="s">
        <v>252</v>
      </c>
      <c r="H49" s="4" t="s">
        <v>196</v>
      </c>
      <c r="K49" s="4" t="s">
        <v>153</v>
      </c>
      <c r="L49" s="4" t="s">
        <v>154</v>
      </c>
      <c r="N49" s="13">
        <v>0</v>
      </c>
      <c r="O49" s="4">
        <f t="shared" si="0"/>
        <v>0</v>
      </c>
      <c r="P49" s="59">
        <f t="shared" si="1"/>
        <v>600</v>
      </c>
      <c r="Q49" s="4" t="s">
        <v>97</v>
      </c>
      <c r="R49" s="4" t="s">
        <v>155</v>
      </c>
    </row>
    <row r="50" spans="1:18" ht="22.5" customHeight="1" x14ac:dyDescent="0.25">
      <c r="A50" s="76">
        <v>45989</v>
      </c>
      <c r="B50" s="4" t="s">
        <v>156</v>
      </c>
      <c r="C50" s="4" t="s">
        <v>79</v>
      </c>
      <c r="D50" s="59">
        <v>1434.79</v>
      </c>
      <c r="E50" s="4" t="s">
        <v>27</v>
      </c>
      <c r="F50" s="4" t="s">
        <v>166</v>
      </c>
      <c r="H50" s="4" t="s">
        <v>99</v>
      </c>
      <c r="K50" s="4" t="s">
        <v>99</v>
      </c>
      <c r="L50" s="4" t="s">
        <v>98</v>
      </c>
      <c r="N50" s="13">
        <v>15</v>
      </c>
      <c r="O50" s="4">
        <f t="shared" si="0"/>
        <v>215.22</v>
      </c>
      <c r="P50" s="59">
        <f t="shared" si="1"/>
        <v>1650.01</v>
      </c>
      <c r="Q50" s="4" t="s">
        <v>91</v>
      </c>
      <c r="R50" s="4" t="s">
        <v>157</v>
      </c>
    </row>
    <row r="51" spans="1:18" ht="22.5" customHeight="1" x14ac:dyDescent="0.25">
      <c r="A51" s="76">
        <v>45989</v>
      </c>
      <c r="B51" s="4" t="s">
        <v>159</v>
      </c>
      <c r="C51" s="4" t="s">
        <v>79</v>
      </c>
      <c r="D51" s="59">
        <v>1700</v>
      </c>
      <c r="E51" s="4" t="s">
        <v>27</v>
      </c>
      <c r="F51" s="4" t="s">
        <v>253</v>
      </c>
      <c r="H51" s="4" t="s">
        <v>165</v>
      </c>
      <c r="K51" s="4" t="s">
        <v>99</v>
      </c>
      <c r="L51" s="4" t="s">
        <v>98</v>
      </c>
      <c r="N51" s="13">
        <v>0</v>
      </c>
      <c r="O51" s="4">
        <f t="shared" si="0"/>
        <v>0</v>
      </c>
      <c r="P51" s="59">
        <f t="shared" si="1"/>
        <v>1700</v>
      </c>
      <c r="Q51" s="4" t="s">
        <v>91</v>
      </c>
      <c r="R51" s="4" t="s">
        <v>157</v>
      </c>
    </row>
    <row r="52" spans="1:18" ht="22.5" customHeight="1" x14ac:dyDescent="0.25">
      <c r="A52" s="76">
        <v>45989</v>
      </c>
      <c r="B52" s="4" t="s">
        <v>160</v>
      </c>
      <c r="C52" s="4" t="s">
        <v>79</v>
      </c>
      <c r="D52" s="59">
        <v>450</v>
      </c>
      <c r="E52" s="4" t="s">
        <v>22</v>
      </c>
      <c r="F52" s="4" t="s">
        <v>59</v>
      </c>
      <c r="H52" s="4" t="s">
        <v>83</v>
      </c>
      <c r="K52" s="4" t="s">
        <v>168</v>
      </c>
      <c r="L52" s="4" t="s">
        <v>98</v>
      </c>
      <c r="N52" s="13">
        <v>0</v>
      </c>
      <c r="O52" s="4">
        <f t="shared" si="0"/>
        <v>0</v>
      </c>
      <c r="P52" s="59">
        <f t="shared" si="1"/>
        <v>450</v>
      </c>
      <c r="Q52" s="4" t="s">
        <v>97</v>
      </c>
      <c r="R52" s="4" t="s">
        <v>137</v>
      </c>
    </row>
    <row r="53" spans="1:18" ht="22.5" customHeight="1" x14ac:dyDescent="0.25">
      <c r="A53" s="76">
        <v>45989</v>
      </c>
      <c r="B53" s="4" t="s">
        <v>161</v>
      </c>
      <c r="C53" s="4" t="s">
        <v>79</v>
      </c>
      <c r="D53" s="59">
        <v>1120</v>
      </c>
      <c r="E53" s="4" t="s">
        <v>22</v>
      </c>
      <c r="F53" s="4" t="s">
        <v>25</v>
      </c>
      <c r="H53" s="4" t="s">
        <v>167</v>
      </c>
      <c r="K53" s="4" t="s">
        <v>162</v>
      </c>
      <c r="L53" s="4" t="s">
        <v>163</v>
      </c>
      <c r="N53" s="13">
        <v>0</v>
      </c>
      <c r="O53" s="4">
        <f t="shared" si="0"/>
        <v>0</v>
      </c>
      <c r="P53" s="59">
        <f t="shared" si="1"/>
        <v>1120</v>
      </c>
      <c r="Q53" s="4" t="s">
        <v>97</v>
      </c>
      <c r="R53" s="4" t="s">
        <v>164</v>
      </c>
    </row>
    <row r="54" spans="1:18" ht="22.5" customHeight="1" x14ac:dyDescent="0.25">
      <c r="A54" s="76">
        <v>45990</v>
      </c>
      <c r="B54" s="4" t="s">
        <v>175</v>
      </c>
      <c r="C54" s="4" t="s">
        <v>79</v>
      </c>
      <c r="D54" s="59">
        <v>338</v>
      </c>
      <c r="E54" s="4" t="s">
        <v>22</v>
      </c>
      <c r="F54" s="4" t="s">
        <v>254</v>
      </c>
      <c r="H54" s="4" t="s">
        <v>174</v>
      </c>
      <c r="K54" s="4" t="s">
        <v>153</v>
      </c>
      <c r="L54" s="4" t="s">
        <v>154</v>
      </c>
      <c r="N54" s="13">
        <v>0</v>
      </c>
      <c r="O54" s="4">
        <f t="shared" si="0"/>
        <v>0</v>
      </c>
      <c r="P54" s="59">
        <f t="shared" si="1"/>
        <v>338</v>
      </c>
      <c r="Q54" s="4" t="s">
        <v>97</v>
      </c>
      <c r="R54" s="4" t="s">
        <v>176</v>
      </c>
    </row>
    <row r="55" spans="1:18" ht="22.5" customHeight="1" x14ac:dyDescent="0.25">
      <c r="A55" s="76">
        <v>45990</v>
      </c>
      <c r="B55" s="4" t="s">
        <v>177</v>
      </c>
      <c r="C55" s="4" t="s">
        <v>79</v>
      </c>
      <c r="D55" s="59">
        <v>130.44</v>
      </c>
      <c r="E55" s="4" t="s">
        <v>22</v>
      </c>
      <c r="F55" s="4" t="s">
        <v>166</v>
      </c>
      <c r="H55" s="4" t="s">
        <v>178</v>
      </c>
      <c r="I55" s="4">
        <v>1</v>
      </c>
      <c r="K55" s="4" t="s">
        <v>179</v>
      </c>
      <c r="L55" s="4" t="s">
        <v>98</v>
      </c>
      <c r="M55" s="4" t="s">
        <v>180</v>
      </c>
      <c r="N55" s="13">
        <v>15</v>
      </c>
      <c r="O55" s="4">
        <f t="shared" si="0"/>
        <v>19.57</v>
      </c>
      <c r="P55" s="59">
        <f t="shared" si="1"/>
        <v>150.01</v>
      </c>
      <c r="Q55" s="4" t="s">
        <v>97</v>
      </c>
      <c r="R55" s="4" t="s">
        <v>181</v>
      </c>
    </row>
    <row r="56" spans="1:18" ht="22.5" customHeight="1" x14ac:dyDescent="0.25">
      <c r="A56" s="76">
        <v>45991</v>
      </c>
      <c r="B56" s="4" t="s">
        <v>101</v>
      </c>
      <c r="C56" s="4" t="s">
        <v>79</v>
      </c>
      <c r="D56" s="59">
        <v>175.9</v>
      </c>
      <c r="E56" s="4" t="s">
        <v>22</v>
      </c>
      <c r="F56" s="4" t="s">
        <v>166</v>
      </c>
      <c r="H56" s="4" t="s">
        <v>101</v>
      </c>
      <c r="I56" s="4">
        <v>53</v>
      </c>
      <c r="K56" s="4" t="s">
        <v>182</v>
      </c>
      <c r="L56" s="4" t="s">
        <v>98</v>
      </c>
      <c r="M56" s="4">
        <v>50677</v>
      </c>
      <c r="N56" s="13">
        <v>15</v>
      </c>
      <c r="O56" s="4">
        <f t="shared" si="0"/>
        <v>26.39</v>
      </c>
      <c r="P56" s="59">
        <f t="shared" si="1"/>
        <v>202.29000000000002</v>
      </c>
      <c r="Q56" s="4" t="s">
        <v>97</v>
      </c>
      <c r="R56" s="4" t="s">
        <v>137</v>
      </c>
    </row>
    <row r="57" spans="1:18" ht="22.5" customHeight="1" x14ac:dyDescent="0.25">
      <c r="A57" s="76">
        <v>45991</v>
      </c>
      <c r="B57" s="4" t="s">
        <v>75</v>
      </c>
      <c r="C57" s="4" t="s">
        <v>79</v>
      </c>
      <c r="D57" s="59">
        <v>13.04</v>
      </c>
      <c r="E57" s="4" t="s">
        <v>22</v>
      </c>
      <c r="F57" s="4" t="s">
        <v>57</v>
      </c>
      <c r="H57" s="4" t="s">
        <v>81</v>
      </c>
      <c r="K57" s="4" t="s">
        <v>185</v>
      </c>
      <c r="L57" s="4" t="s">
        <v>98</v>
      </c>
      <c r="M57" s="4">
        <v>273</v>
      </c>
      <c r="N57" s="13">
        <v>15</v>
      </c>
      <c r="O57" s="4">
        <f t="shared" si="0"/>
        <v>1.96</v>
      </c>
      <c r="P57" s="59">
        <f t="shared" si="1"/>
        <v>15</v>
      </c>
      <c r="Q57" s="4" t="s">
        <v>97</v>
      </c>
      <c r="R57" s="4" t="s">
        <v>137</v>
      </c>
    </row>
    <row r="58" spans="1:18" ht="22.5" customHeight="1" x14ac:dyDescent="0.25">
      <c r="A58" s="76">
        <v>45991</v>
      </c>
      <c r="B58" s="4" t="s">
        <v>198</v>
      </c>
      <c r="C58" s="4" t="s">
        <v>79</v>
      </c>
      <c r="D58" s="59">
        <v>86.9</v>
      </c>
      <c r="E58" s="4" t="s">
        <v>22</v>
      </c>
      <c r="F58" s="4" t="s">
        <v>115</v>
      </c>
      <c r="H58" s="4" t="s">
        <v>115</v>
      </c>
      <c r="K58" s="4" t="s">
        <v>99</v>
      </c>
      <c r="L58" s="4" t="s">
        <v>98</v>
      </c>
      <c r="N58" s="13">
        <v>15</v>
      </c>
      <c r="O58" s="4">
        <f t="shared" si="0"/>
        <v>13.04</v>
      </c>
      <c r="P58" s="59">
        <f t="shared" si="1"/>
        <v>99.94</v>
      </c>
      <c r="Q58" s="4" t="s">
        <v>97</v>
      </c>
      <c r="R58" s="4" t="s">
        <v>137</v>
      </c>
    </row>
    <row r="59" spans="1:18" s="21" customFormat="1" ht="22.5" customHeight="1" x14ac:dyDescent="0.25">
      <c r="A59" s="76">
        <v>45991</v>
      </c>
      <c r="B59" s="21" t="s">
        <v>186</v>
      </c>
      <c r="C59" s="21" t="s">
        <v>79</v>
      </c>
      <c r="D59" s="63">
        <v>43.48</v>
      </c>
      <c r="E59" s="21" t="s">
        <v>22</v>
      </c>
      <c r="F59" s="21" t="s">
        <v>115</v>
      </c>
      <c r="G59" s="45"/>
      <c r="H59" s="21" t="s">
        <v>115</v>
      </c>
      <c r="K59" s="21" t="s">
        <v>187</v>
      </c>
      <c r="L59" s="21" t="s">
        <v>98</v>
      </c>
      <c r="M59" s="21">
        <v>329395</v>
      </c>
      <c r="N59" s="22">
        <v>15</v>
      </c>
      <c r="O59" s="21">
        <f t="shared" si="0"/>
        <v>6.52</v>
      </c>
      <c r="P59" s="63">
        <f t="shared" si="1"/>
        <v>50</v>
      </c>
      <c r="Q59" s="21" t="s">
        <v>97</v>
      </c>
      <c r="R59" s="21" t="s">
        <v>137</v>
      </c>
    </row>
    <row r="60" spans="1:18" ht="22.5" customHeight="1" x14ac:dyDescent="0.25">
      <c r="A60" s="76">
        <v>45992</v>
      </c>
      <c r="B60" s="4" t="s">
        <v>75</v>
      </c>
      <c r="C60" s="4" t="s">
        <v>79</v>
      </c>
      <c r="D60" s="59">
        <v>10.5</v>
      </c>
      <c r="E60" s="4" t="s">
        <v>22</v>
      </c>
      <c r="F60" s="4" t="s">
        <v>57</v>
      </c>
      <c r="H60" s="4" t="s">
        <v>81</v>
      </c>
      <c r="K60" s="4" t="s">
        <v>99</v>
      </c>
      <c r="L60" s="4" t="s">
        <v>98</v>
      </c>
      <c r="N60" s="13">
        <v>0</v>
      </c>
      <c r="O60" s="4">
        <f t="shared" si="0"/>
        <v>0</v>
      </c>
      <c r="P60" s="59">
        <f t="shared" si="1"/>
        <v>10.5</v>
      </c>
      <c r="Q60" s="4" t="s">
        <v>97</v>
      </c>
      <c r="R60" s="4" t="s">
        <v>137</v>
      </c>
    </row>
    <row r="61" spans="1:18" ht="22.5" customHeight="1" x14ac:dyDescent="0.25">
      <c r="A61" s="76">
        <v>45992</v>
      </c>
      <c r="B61" s="4" t="s">
        <v>186</v>
      </c>
      <c r="C61" s="4" t="s">
        <v>79</v>
      </c>
      <c r="D61" s="59">
        <v>30.43</v>
      </c>
      <c r="E61" s="4" t="s">
        <v>22</v>
      </c>
      <c r="F61" s="4" t="s">
        <v>115</v>
      </c>
      <c r="H61" s="4" t="s">
        <v>115</v>
      </c>
      <c r="K61" s="4" t="s">
        <v>99</v>
      </c>
      <c r="L61" s="4" t="s">
        <v>98</v>
      </c>
      <c r="N61" s="13">
        <v>15</v>
      </c>
      <c r="O61" s="4">
        <f t="shared" si="0"/>
        <v>4.5599999999999996</v>
      </c>
      <c r="P61" s="59">
        <f t="shared" si="1"/>
        <v>34.99</v>
      </c>
      <c r="Q61" s="4" t="s">
        <v>97</v>
      </c>
      <c r="R61" s="4" t="s">
        <v>137</v>
      </c>
    </row>
    <row r="62" spans="1:18" s="21" customFormat="1" ht="22.5" customHeight="1" x14ac:dyDescent="0.25">
      <c r="A62" s="76">
        <v>45992</v>
      </c>
      <c r="B62" s="21" t="s">
        <v>188</v>
      </c>
      <c r="C62" s="21" t="s">
        <v>79</v>
      </c>
      <c r="D62" s="63">
        <v>836</v>
      </c>
      <c r="E62" s="21" t="s">
        <v>22</v>
      </c>
      <c r="F62" s="21" t="s">
        <v>166</v>
      </c>
      <c r="G62" s="45" t="s">
        <v>189</v>
      </c>
      <c r="H62" s="21" t="s">
        <v>80</v>
      </c>
      <c r="I62" s="21">
        <v>7</v>
      </c>
      <c r="K62" s="21" t="s">
        <v>190</v>
      </c>
      <c r="L62" s="21" t="s">
        <v>98</v>
      </c>
      <c r="M62" s="21" t="s">
        <v>192</v>
      </c>
      <c r="N62" s="22">
        <v>15</v>
      </c>
      <c r="O62" s="21">
        <f t="shared" si="0"/>
        <v>125.4</v>
      </c>
      <c r="P62" s="63">
        <f t="shared" si="1"/>
        <v>961.4</v>
      </c>
      <c r="Q62" s="21" t="s">
        <v>97</v>
      </c>
      <c r="R62" s="21" t="s">
        <v>191</v>
      </c>
    </row>
    <row r="63" spans="1:18" s="21" customFormat="1" ht="22.5" customHeight="1" x14ac:dyDescent="0.25">
      <c r="A63" s="76">
        <v>45992</v>
      </c>
      <c r="B63" s="21" t="s">
        <v>193</v>
      </c>
      <c r="C63" s="21" t="s">
        <v>79</v>
      </c>
      <c r="D63" s="63">
        <v>260.86</v>
      </c>
      <c r="E63" s="21" t="s">
        <v>22</v>
      </c>
      <c r="F63" s="21" t="s">
        <v>166</v>
      </c>
      <c r="G63" s="45" t="s">
        <v>189</v>
      </c>
      <c r="H63" s="21" t="s">
        <v>80</v>
      </c>
      <c r="I63" s="21">
        <v>2</v>
      </c>
      <c r="K63" s="21" t="s">
        <v>194</v>
      </c>
      <c r="L63" s="21" t="s">
        <v>98</v>
      </c>
      <c r="M63" s="21" t="s">
        <v>195</v>
      </c>
      <c r="N63" s="22">
        <v>15</v>
      </c>
      <c r="O63" s="21">
        <f t="shared" si="0"/>
        <v>39.130000000000003</v>
      </c>
      <c r="P63" s="63">
        <f t="shared" si="1"/>
        <v>299.99</v>
      </c>
      <c r="Q63" s="21" t="s">
        <v>97</v>
      </c>
      <c r="R63" s="21" t="s">
        <v>191</v>
      </c>
    </row>
    <row r="64" spans="1:18" s="21" customFormat="1" ht="22.5" customHeight="1" x14ac:dyDescent="0.25">
      <c r="A64" s="76">
        <v>45992</v>
      </c>
      <c r="B64" s="21" t="s">
        <v>75</v>
      </c>
      <c r="C64" s="21" t="s">
        <v>79</v>
      </c>
      <c r="D64" s="63">
        <v>150</v>
      </c>
      <c r="E64" s="21" t="s">
        <v>22</v>
      </c>
      <c r="F64" s="21" t="s">
        <v>57</v>
      </c>
      <c r="G64" s="45" t="s">
        <v>189</v>
      </c>
      <c r="H64" s="21" t="s">
        <v>81</v>
      </c>
      <c r="K64" s="21" t="s">
        <v>99</v>
      </c>
      <c r="L64" s="21" t="s">
        <v>98</v>
      </c>
      <c r="N64" s="22">
        <v>0</v>
      </c>
      <c r="O64" s="21">
        <f t="shared" si="0"/>
        <v>0</v>
      </c>
      <c r="P64" s="63">
        <f t="shared" si="1"/>
        <v>150</v>
      </c>
      <c r="Q64" s="21" t="s">
        <v>97</v>
      </c>
      <c r="R64" s="21" t="s">
        <v>191</v>
      </c>
    </row>
    <row r="65" spans="1:18" s="21" customFormat="1" ht="22.5" customHeight="1" x14ac:dyDescent="0.25">
      <c r="A65" s="76">
        <v>45992</v>
      </c>
      <c r="B65" s="21" t="s">
        <v>59</v>
      </c>
      <c r="C65" s="21" t="s">
        <v>79</v>
      </c>
      <c r="D65" s="63">
        <v>100</v>
      </c>
      <c r="E65" s="21" t="s">
        <v>22</v>
      </c>
      <c r="F65" s="21" t="s">
        <v>59</v>
      </c>
      <c r="G65" s="45" t="s">
        <v>189</v>
      </c>
      <c r="H65" s="21" t="s">
        <v>59</v>
      </c>
      <c r="K65" s="21" t="s">
        <v>231</v>
      </c>
      <c r="L65" s="21" t="s">
        <v>98</v>
      </c>
      <c r="N65" s="22">
        <v>0</v>
      </c>
      <c r="O65" s="21">
        <f t="shared" si="0"/>
        <v>0</v>
      </c>
      <c r="P65" s="63">
        <f t="shared" si="1"/>
        <v>100</v>
      </c>
      <c r="Q65" s="21" t="s">
        <v>97</v>
      </c>
      <c r="R65" s="21" t="s">
        <v>191</v>
      </c>
    </row>
    <row r="66" spans="1:18" ht="22.5" customHeight="1" x14ac:dyDescent="0.25">
      <c r="A66" s="76">
        <v>45992</v>
      </c>
      <c r="B66" s="4" t="s">
        <v>201</v>
      </c>
      <c r="C66" s="4" t="s">
        <v>79</v>
      </c>
      <c r="D66" s="59">
        <v>43</v>
      </c>
      <c r="E66" s="4" t="s">
        <v>22</v>
      </c>
      <c r="F66" s="4" t="s">
        <v>57</v>
      </c>
      <c r="H66" s="4" t="s">
        <v>81</v>
      </c>
      <c r="K66" s="4" t="s">
        <v>99</v>
      </c>
      <c r="L66" s="4" t="s">
        <v>98</v>
      </c>
      <c r="N66" s="13">
        <v>0</v>
      </c>
      <c r="O66" s="4">
        <f t="shared" ref="O66:O137" si="4">IF(OR(D66="", N66=""), "", ROUND(D66 * N66 / 100, 2))</f>
        <v>0</v>
      </c>
      <c r="P66" s="59">
        <f t="shared" ref="P66:P137" si="5">IF(D66="", "", D66 + O66)</f>
        <v>43</v>
      </c>
      <c r="Q66" s="4" t="s">
        <v>97</v>
      </c>
      <c r="R66" s="4" t="s">
        <v>137</v>
      </c>
    </row>
    <row r="67" spans="1:18" ht="22.5" customHeight="1" x14ac:dyDescent="0.25">
      <c r="A67" s="76">
        <v>45992</v>
      </c>
      <c r="B67" s="4" t="s">
        <v>202</v>
      </c>
      <c r="C67" s="4" t="s">
        <v>79</v>
      </c>
      <c r="D67" s="59">
        <v>73.900000000000006</v>
      </c>
      <c r="E67" s="4" t="s">
        <v>22</v>
      </c>
      <c r="F67" s="4" t="s">
        <v>203</v>
      </c>
      <c r="H67" s="4" t="s">
        <v>204</v>
      </c>
      <c r="K67" s="4" t="s">
        <v>99</v>
      </c>
      <c r="L67" s="4" t="s">
        <v>98</v>
      </c>
      <c r="N67" s="13">
        <v>15</v>
      </c>
      <c r="O67" s="4">
        <f t="shared" si="4"/>
        <v>11.09</v>
      </c>
      <c r="P67" s="59">
        <f t="shared" si="5"/>
        <v>84.990000000000009</v>
      </c>
      <c r="Q67" s="4" t="s">
        <v>97</v>
      </c>
      <c r="R67" s="4" t="s">
        <v>137</v>
      </c>
    </row>
    <row r="68" spans="1:18" ht="22.5" customHeight="1" x14ac:dyDescent="0.25">
      <c r="A68" s="76">
        <v>45992</v>
      </c>
      <c r="B68" s="4" t="s">
        <v>205</v>
      </c>
      <c r="C68" s="4" t="s">
        <v>79</v>
      </c>
      <c r="D68" s="59">
        <v>1300</v>
      </c>
      <c r="E68" s="4" t="s">
        <v>22</v>
      </c>
      <c r="F68" s="4" t="s">
        <v>203</v>
      </c>
      <c r="H68" s="4" t="s">
        <v>206</v>
      </c>
      <c r="K68" s="4" t="s">
        <v>207</v>
      </c>
      <c r="L68" s="4" t="s">
        <v>98</v>
      </c>
      <c r="N68" s="13">
        <v>0</v>
      </c>
      <c r="O68" s="4">
        <f t="shared" si="4"/>
        <v>0</v>
      </c>
      <c r="P68" s="59">
        <f t="shared" si="5"/>
        <v>1300</v>
      </c>
      <c r="Q68" s="4" t="s">
        <v>97</v>
      </c>
      <c r="R68" s="4" t="s">
        <v>137</v>
      </c>
    </row>
    <row r="69" spans="1:18" s="6" customFormat="1" ht="22.5" customHeight="1" x14ac:dyDescent="0.25">
      <c r="A69" s="83">
        <v>45992</v>
      </c>
      <c r="B69" s="6" t="s">
        <v>220</v>
      </c>
      <c r="C69" s="6" t="s">
        <v>88</v>
      </c>
      <c r="D69" s="60">
        <v>8800</v>
      </c>
      <c r="E69" s="6" t="s">
        <v>22</v>
      </c>
      <c r="F69" s="6" t="s">
        <v>89</v>
      </c>
      <c r="G69" s="6" t="s">
        <v>315</v>
      </c>
      <c r="H69" s="6" t="s">
        <v>167</v>
      </c>
      <c r="K69" s="6" t="s">
        <v>95</v>
      </c>
      <c r="L69" s="6" t="s">
        <v>86</v>
      </c>
      <c r="M69" s="6" t="s">
        <v>316</v>
      </c>
      <c r="N69" s="14">
        <v>15</v>
      </c>
      <c r="O69" s="6">
        <f t="shared" si="4"/>
        <v>1320</v>
      </c>
      <c r="P69" s="60">
        <f t="shared" si="5"/>
        <v>10120</v>
      </c>
      <c r="Q69" s="6" t="s">
        <v>97</v>
      </c>
      <c r="R69" s="6" t="s">
        <v>100</v>
      </c>
    </row>
    <row r="70" spans="1:18" s="21" customFormat="1" ht="22.5" customHeight="1" x14ac:dyDescent="0.25">
      <c r="A70" s="76">
        <v>45992</v>
      </c>
      <c r="B70" s="21" t="s">
        <v>221</v>
      </c>
      <c r="C70" s="21" t="s">
        <v>79</v>
      </c>
      <c r="D70" s="63">
        <v>700</v>
      </c>
      <c r="E70" s="21" t="s">
        <v>22</v>
      </c>
      <c r="F70" s="21" t="s">
        <v>59</v>
      </c>
      <c r="G70" s="45" t="s">
        <v>315</v>
      </c>
      <c r="H70" s="21" t="s">
        <v>59</v>
      </c>
      <c r="K70" s="21" t="s">
        <v>99</v>
      </c>
      <c r="L70" s="21" t="s">
        <v>98</v>
      </c>
      <c r="N70" s="22">
        <v>0</v>
      </c>
      <c r="O70" s="21">
        <f t="shared" si="4"/>
        <v>0</v>
      </c>
      <c r="P70" s="63">
        <f t="shared" si="5"/>
        <v>700</v>
      </c>
      <c r="Q70" s="21" t="s">
        <v>97</v>
      </c>
      <c r="R70" s="21" t="s">
        <v>191</v>
      </c>
    </row>
    <row r="71" spans="1:18" s="21" customFormat="1" ht="22.5" customHeight="1" x14ac:dyDescent="0.25">
      <c r="A71" s="76">
        <v>45992</v>
      </c>
      <c r="B71" s="21" t="s">
        <v>222</v>
      </c>
      <c r="C71" s="21" t="s">
        <v>79</v>
      </c>
      <c r="D71" s="63">
        <v>3750</v>
      </c>
      <c r="E71" s="21" t="s">
        <v>22</v>
      </c>
      <c r="F71" s="21" t="s">
        <v>249</v>
      </c>
      <c r="G71" s="45" t="s">
        <v>315</v>
      </c>
      <c r="H71" s="21" t="s">
        <v>80</v>
      </c>
      <c r="K71" s="21" t="s">
        <v>132</v>
      </c>
      <c r="L71" s="21" t="s">
        <v>98</v>
      </c>
      <c r="N71" s="22">
        <v>0</v>
      </c>
      <c r="O71" s="21">
        <f t="shared" si="4"/>
        <v>0</v>
      </c>
      <c r="P71" s="63">
        <f t="shared" si="5"/>
        <v>3750</v>
      </c>
      <c r="Q71" s="21" t="s">
        <v>97</v>
      </c>
      <c r="R71" s="4" t="s">
        <v>191</v>
      </c>
    </row>
    <row r="72" spans="1:18" ht="22.5" customHeight="1" x14ac:dyDescent="0.25">
      <c r="A72" s="76">
        <v>45993</v>
      </c>
      <c r="B72" s="4" t="s">
        <v>208</v>
      </c>
      <c r="C72" s="4" t="s">
        <v>79</v>
      </c>
      <c r="D72" s="59">
        <v>70.400000000000006</v>
      </c>
      <c r="E72" s="4" t="s">
        <v>22</v>
      </c>
      <c r="F72" s="4" t="s">
        <v>115</v>
      </c>
      <c r="H72" s="4" t="s">
        <v>115</v>
      </c>
      <c r="K72" s="4" t="s">
        <v>99</v>
      </c>
      <c r="L72" s="4" t="s">
        <v>98</v>
      </c>
      <c r="N72" s="13">
        <v>15</v>
      </c>
      <c r="O72" s="4">
        <f t="shared" si="4"/>
        <v>10.56</v>
      </c>
      <c r="P72" s="59">
        <f t="shared" si="5"/>
        <v>80.960000000000008</v>
      </c>
      <c r="Q72" s="4" t="s">
        <v>97</v>
      </c>
      <c r="R72" s="4" t="s">
        <v>137</v>
      </c>
    </row>
    <row r="73" spans="1:18" s="6" customFormat="1" ht="22.5" customHeight="1" x14ac:dyDescent="0.25">
      <c r="A73" s="83">
        <v>45993</v>
      </c>
      <c r="B73" s="6" t="s">
        <v>223</v>
      </c>
      <c r="C73" s="6" t="s">
        <v>88</v>
      </c>
      <c r="D73" s="60">
        <v>15000</v>
      </c>
      <c r="E73" s="6" t="s">
        <v>22</v>
      </c>
      <c r="F73" s="6" t="s">
        <v>89</v>
      </c>
      <c r="G73" s="6" t="s">
        <v>210</v>
      </c>
      <c r="H73" s="6" t="s">
        <v>167</v>
      </c>
      <c r="K73" s="6" t="s">
        <v>213</v>
      </c>
      <c r="L73" s="6" t="s">
        <v>86</v>
      </c>
      <c r="M73" s="68" t="s">
        <v>748</v>
      </c>
      <c r="N73" s="14">
        <v>0</v>
      </c>
      <c r="O73" s="6">
        <f t="shared" si="4"/>
        <v>0</v>
      </c>
      <c r="P73" s="60">
        <f t="shared" si="5"/>
        <v>15000</v>
      </c>
      <c r="Q73" s="6" t="s">
        <v>97</v>
      </c>
      <c r="R73" s="6" t="s">
        <v>214</v>
      </c>
    </row>
    <row r="74" spans="1:18" ht="22.5" customHeight="1" x14ac:dyDescent="0.25">
      <c r="A74" s="76">
        <v>45993</v>
      </c>
      <c r="B74" s="4" t="s">
        <v>209</v>
      </c>
      <c r="C74" s="4" t="s">
        <v>79</v>
      </c>
      <c r="D74" s="59">
        <v>7691.3</v>
      </c>
      <c r="E74" s="4" t="s">
        <v>22</v>
      </c>
      <c r="F74" s="4" t="s">
        <v>166</v>
      </c>
      <c r="G74" s="18" t="s">
        <v>210</v>
      </c>
      <c r="H74" s="4" t="s">
        <v>211</v>
      </c>
      <c r="K74" s="4" t="s">
        <v>99</v>
      </c>
      <c r="L74" s="4" t="s">
        <v>98</v>
      </c>
      <c r="N74" s="13">
        <v>15</v>
      </c>
      <c r="O74" s="4">
        <f t="shared" si="4"/>
        <v>1153.7</v>
      </c>
      <c r="P74" s="59">
        <f t="shared" si="5"/>
        <v>8845</v>
      </c>
      <c r="Q74" s="4" t="s">
        <v>97</v>
      </c>
      <c r="R74" s="4" t="s">
        <v>212</v>
      </c>
    </row>
    <row r="75" spans="1:18" ht="22.5" customHeight="1" x14ac:dyDescent="0.25">
      <c r="A75" s="76">
        <v>45993</v>
      </c>
      <c r="B75" s="4" t="s">
        <v>215</v>
      </c>
      <c r="C75" s="4" t="s">
        <v>79</v>
      </c>
      <c r="D75" s="59">
        <v>3000</v>
      </c>
      <c r="E75" s="4" t="s">
        <v>22</v>
      </c>
      <c r="F75" s="4" t="s">
        <v>58</v>
      </c>
      <c r="G75" s="18" t="s">
        <v>210</v>
      </c>
      <c r="H75" s="4" t="s">
        <v>183</v>
      </c>
      <c r="K75" s="4" t="s">
        <v>216</v>
      </c>
      <c r="L75" s="4" t="s">
        <v>98</v>
      </c>
      <c r="N75" s="13">
        <v>0</v>
      </c>
      <c r="O75" s="4">
        <f t="shared" si="4"/>
        <v>0</v>
      </c>
      <c r="P75" s="59">
        <f t="shared" si="5"/>
        <v>3000</v>
      </c>
      <c r="Q75" s="4" t="s">
        <v>97</v>
      </c>
      <c r="R75" s="4" t="s">
        <v>191</v>
      </c>
    </row>
    <row r="76" spans="1:18" ht="22.5" customHeight="1" x14ac:dyDescent="0.25">
      <c r="A76" s="76">
        <v>45994</v>
      </c>
      <c r="B76" s="4" t="s">
        <v>217</v>
      </c>
      <c r="C76" s="4" t="s">
        <v>79</v>
      </c>
      <c r="D76" s="59">
        <v>500</v>
      </c>
      <c r="E76" s="4" t="s">
        <v>22</v>
      </c>
      <c r="F76" s="4" t="s">
        <v>166</v>
      </c>
      <c r="G76" s="18" t="s">
        <v>210</v>
      </c>
      <c r="H76" s="4" t="s">
        <v>196</v>
      </c>
      <c r="K76" s="4" t="s">
        <v>99</v>
      </c>
      <c r="L76" s="4" t="s">
        <v>98</v>
      </c>
      <c r="N76" s="13">
        <v>0</v>
      </c>
      <c r="O76" s="4">
        <f t="shared" si="4"/>
        <v>0</v>
      </c>
      <c r="P76" s="59">
        <f t="shared" si="5"/>
        <v>500</v>
      </c>
      <c r="Q76" s="4" t="s">
        <v>97</v>
      </c>
      <c r="R76" s="4" t="s">
        <v>191</v>
      </c>
    </row>
    <row r="77" spans="1:18" s="6" customFormat="1" ht="22.5" customHeight="1" x14ac:dyDescent="0.25">
      <c r="A77" s="83">
        <v>45994</v>
      </c>
      <c r="B77" s="6" t="s">
        <v>228</v>
      </c>
      <c r="C77" s="6" t="s">
        <v>88</v>
      </c>
      <c r="D77" s="60">
        <v>5000</v>
      </c>
      <c r="E77" s="6" t="s">
        <v>22</v>
      </c>
      <c r="F77" s="6" t="s">
        <v>89</v>
      </c>
      <c r="G77" s="6" t="s">
        <v>224</v>
      </c>
      <c r="H77" s="6" t="s">
        <v>167</v>
      </c>
      <c r="K77" s="6" t="s">
        <v>225</v>
      </c>
      <c r="L77" s="6" t="s">
        <v>86</v>
      </c>
      <c r="M77" s="6" t="s">
        <v>226</v>
      </c>
      <c r="N77" s="14">
        <v>15</v>
      </c>
      <c r="O77" s="6">
        <f t="shared" si="4"/>
        <v>750</v>
      </c>
      <c r="P77" s="60">
        <f t="shared" si="5"/>
        <v>5750</v>
      </c>
      <c r="Q77" s="6" t="s">
        <v>97</v>
      </c>
      <c r="R77" s="6" t="s">
        <v>227</v>
      </c>
    </row>
    <row r="78" spans="1:18" ht="22.5" customHeight="1" x14ac:dyDescent="0.25">
      <c r="A78" s="76">
        <v>45994</v>
      </c>
      <c r="B78" s="4" t="s">
        <v>229</v>
      </c>
      <c r="C78" s="4" t="s">
        <v>79</v>
      </c>
      <c r="D78" s="59">
        <v>1150</v>
      </c>
      <c r="E78" s="4" t="s">
        <v>22</v>
      </c>
      <c r="F78" s="4" t="s">
        <v>166</v>
      </c>
      <c r="G78" s="18" t="s">
        <v>224</v>
      </c>
      <c r="H78" s="4" t="s">
        <v>80</v>
      </c>
      <c r="K78" s="4" t="s">
        <v>99</v>
      </c>
      <c r="L78" s="4" t="s">
        <v>98</v>
      </c>
      <c r="N78" s="13">
        <v>0</v>
      </c>
      <c r="O78" s="4">
        <f t="shared" si="4"/>
        <v>0</v>
      </c>
      <c r="P78" s="59">
        <f t="shared" si="5"/>
        <v>1150</v>
      </c>
      <c r="Q78" s="4" t="s">
        <v>97</v>
      </c>
      <c r="R78" s="4" t="s">
        <v>191</v>
      </c>
    </row>
    <row r="79" spans="1:18" s="24" customFormat="1" ht="22.5" customHeight="1" x14ac:dyDescent="0.25">
      <c r="A79" s="79">
        <v>45994</v>
      </c>
      <c r="B79" s="24" t="s">
        <v>222</v>
      </c>
      <c r="C79" s="24" t="s">
        <v>79</v>
      </c>
      <c r="D79" s="62">
        <v>1400</v>
      </c>
      <c r="E79" s="24" t="s">
        <v>27</v>
      </c>
      <c r="F79" s="24" t="s">
        <v>249</v>
      </c>
      <c r="G79" s="24" t="s">
        <v>224</v>
      </c>
      <c r="H79" s="24" t="s">
        <v>80</v>
      </c>
      <c r="K79" s="24" t="s">
        <v>132</v>
      </c>
      <c r="L79" s="24" t="s">
        <v>98</v>
      </c>
      <c r="N79" s="25">
        <v>0</v>
      </c>
      <c r="O79" s="24">
        <f t="shared" si="4"/>
        <v>0</v>
      </c>
      <c r="P79" s="62">
        <f t="shared" si="5"/>
        <v>1400</v>
      </c>
      <c r="Q79" s="24" t="s">
        <v>91</v>
      </c>
      <c r="R79" s="24" t="s">
        <v>230</v>
      </c>
    </row>
    <row r="80" spans="1:18" ht="22.5" customHeight="1" x14ac:dyDescent="0.25">
      <c r="A80" s="76">
        <v>45994</v>
      </c>
      <c r="B80" s="4" t="s">
        <v>161</v>
      </c>
      <c r="C80" s="4" t="s">
        <v>79</v>
      </c>
      <c r="D80" s="59">
        <v>1064</v>
      </c>
      <c r="E80" s="4" t="s">
        <v>22</v>
      </c>
      <c r="F80" s="4" t="s">
        <v>25</v>
      </c>
      <c r="H80" s="4" t="s">
        <v>167</v>
      </c>
      <c r="K80" s="4" t="s">
        <v>162</v>
      </c>
      <c r="L80" s="4" t="s">
        <v>163</v>
      </c>
      <c r="N80" s="13">
        <v>0</v>
      </c>
      <c r="O80" s="4">
        <f t="shared" si="4"/>
        <v>0</v>
      </c>
      <c r="P80" s="59">
        <f t="shared" si="5"/>
        <v>1064</v>
      </c>
      <c r="Q80" s="4" t="s">
        <v>97</v>
      </c>
      <c r="R80" s="4" t="s">
        <v>232</v>
      </c>
    </row>
    <row r="81" spans="1:18" ht="22.5" customHeight="1" x14ac:dyDescent="0.25">
      <c r="A81" s="76">
        <v>45994</v>
      </c>
      <c r="B81" s="4" t="s">
        <v>236</v>
      </c>
      <c r="C81" s="4" t="s">
        <v>79</v>
      </c>
      <c r="D81" s="59">
        <v>100</v>
      </c>
      <c r="E81" s="4" t="s">
        <v>22</v>
      </c>
      <c r="F81" s="4" t="s">
        <v>166</v>
      </c>
      <c r="H81" s="4" t="s">
        <v>80</v>
      </c>
      <c r="K81" s="4" t="s">
        <v>235</v>
      </c>
      <c r="L81" s="4" t="s">
        <v>98</v>
      </c>
      <c r="N81" s="13">
        <v>15</v>
      </c>
      <c r="O81" s="4">
        <f t="shared" si="4"/>
        <v>15</v>
      </c>
      <c r="P81" s="59">
        <f t="shared" si="5"/>
        <v>115</v>
      </c>
      <c r="Q81" s="4" t="s">
        <v>97</v>
      </c>
      <c r="R81" s="4" t="s">
        <v>137</v>
      </c>
    </row>
    <row r="82" spans="1:18" ht="22.5" customHeight="1" x14ac:dyDescent="0.25">
      <c r="A82" s="76">
        <v>45994</v>
      </c>
      <c r="B82" s="4" t="s">
        <v>237</v>
      </c>
      <c r="C82" s="4" t="s">
        <v>79</v>
      </c>
      <c r="D82" s="59">
        <v>145</v>
      </c>
      <c r="E82" s="4" t="s">
        <v>22</v>
      </c>
      <c r="F82" s="4" t="s">
        <v>166</v>
      </c>
      <c r="H82" s="4" t="s">
        <v>80</v>
      </c>
      <c r="K82" s="4" t="s">
        <v>99</v>
      </c>
      <c r="L82" s="4" t="s">
        <v>98</v>
      </c>
      <c r="N82" s="13">
        <v>0</v>
      </c>
      <c r="O82" s="4">
        <f t="shared" si="4"/>
        <v>0</v>
      </c>
      <c r="P82" s="59">
        <f t="shared" si="5"/>
        <v>145</v>
      </c>
      <c r="Q82" s="4" t="s">
        <v>97</v>
      </c>
      <c r="R82" s="4" t="s">
        <v>137</v>
      </c>
    </row>
    <row r="83" spans="1:18" ht="22.5" customHeight="1" x14ac:dyDescent="0.25">
      <c r="A83" s="76">
        <v>45995</v>
      </c>
      <c r="B83" s="4" t="s">
        <v>238</v>
      </c>
      <c r="C83" s="4" t="s">
        <v>79</v>
      </c>
      <c r="D83" s="59">
        <v>810</v>
      </c>
      <c r="E83" s="4" t="s">
        <v>22</v>
      </c>
      <c r="F83" s="4" t="s">
        <v>59</v>
      </c>
      <c r="H83" s="4" t="s">
        <v>81</v>
      </c>
      <c r="K83" s="4" t="s">
        <v>140</v>
      </c>
      <c r="L83" s="4" t="s">
        <v>98</v>
      </c>
      <c r="N83" s="13">
        <v>0</v>
      </c>
      <c r="O83" s="4">
        <f t="shared" si="4"/>
        <v>0</v>
      </c>
      <c r="P83" s="59">
        <f t="shared" si="5"/>
        <v>810</v>
      </c>
      <c r="Q83" s="4" t="s">
        <v>97</v>
      </c>
      <c r="R83" s="4" t="s">
        <v>137</v>
      </c>
    </row>
    <row r="84" spans="1:18" ht="22.5" customHeight="1" x14ac:dyDescent="0.25">
      <c r="A84" s="76">
        <v>45995</v>
      </c>
      <c r="B84" s="4" t="s">
        <v>239</v>
      </c>
      <c r="C84" s="4" t="s">
        <v>79</v>
      </c>
      <c r="D84" s="59">
        <v>212</v>
      </c>
      <c r="E84" s="4" t="s">
        <v>22</v>
      </c>
      <c r="F84" s="4" t="s">
        <v>252</v>
      </c>
      <c r="H84" s="4" t="s">
        <v>167</v>
      </c>
      <c r="K84" s="4" t="s">
        <v>240</v>
      </c>
      <c r="L84" s="4" t="s">
        <v>98</v>
      </c>
      <c r="N84" s="13">
        <v>0</v>
      </c>
      <c r="O84" s="4">
        <f t="shared" si="4"/>
        <v>0</v>
      </c>
      <c r="P84" s="59">
        <f t="shared" si="5"/>
        <v>212</v>
      </c>
      <c r="Q84" s="4" t="s">
        <v>97</v>
      </c>
      <c r="R84" s="4" t="s">
        <v>137</v>
      </c>
    </row>
    <row r="85" spans="1:18" ht="22.5" customHeight="1" x14ac:dyDescent="0.25">
      <c r="A85" s="76">
        <v>45995</v>
      </c>
      <c r="B85" s="4" t="s">
        <v>241</v>
      </c>
      <c r="C85" s="4" t="s">
        <v>79</v>
      </c>
      <c r="D85" s="59">
        <v>500</v>
      </c>
      <c r="E85" s="4" t="s">
        <v>22</v>
      </c>
      <c r="F85" s="4" t="s">
        <v>250</v>
      </c>
      <c r="H85" s="4" t="s">
        <v>196</v>
      </c>
      <c r="K85" s="4" t="s">
        <v>610</v>
      </c>
      <c r="L85" s="4" t="s">
        <v>98</v>
      </c>
      <c r="N85" s="13">
        <v>0</v>
      </c>
      <c r="O85" s="4">
        <f t="shared" si="4"/>
        <v>0</v>
      </c>
      <c r="P85" s="59">
        <f t="shared" si="5"/>
        <v>500</v>
      </c>
      <c r="Q85" s="4" t="s">
        <v>97</v>
      </c>
      <c r="R85" s="4" t="s">
        <v>137</v>
      </c>
    </row>
    <row r="86" spans="1:18" ht="22.5" customHeight="1" x14ac:dyDescent="0.25">
      <c r="A86" s="76">
        <v>45995</v>
      </c>
      <c r="B86" s="4" t="s">
        <v>242</v>
      </c>
      <c r="C86" s="4" t="s">
        <v>79</v>
      </c>
      <c r="D86" s="59">
        <v>491</v>
      </c>
      <c r="E86" s="4" t="s">
        <v>22</v>
      </c>
      <c r="F86" s="4" t="s">
        <v>166</v>
      </c>
      <c r="G86" s="18" t="s">
        <v>210</v>
      </c>
      <c r="H86" s="4" t="s">
        <v>80</v>
      </c>
      <c r="K86" s="4" t="s">
        <v>99</v>
      </c>
      <c r="L86" s="4" t="s">
        <v>98</v>
      </c>
      <c r="N86" s="13">
        <v>15</v>
      </c>
      <c r="O86" s="4">
        <f t="shared" si="4"/>
        <v>73.650000000000006</v>
      </c>
      <c r="P86" s="65">
        <f t="shared" si="5"/>
        <v>564.65</v>
      </c>
      <c r="Q86" s="4" t="s">
        <v>97</v>
      </c>
      <c r="R86" s="4" t="s">
        <v>191</v>
      </c>
    </row>
    <row r="87" spans="1:18" ht="22.5" customHeight="1" x14ac:dyDescent="0.25">
      <c r="A87" s="76">
        <v>45995</v>
      </c>
      <c r="B87" s="4" t="s">
        <v>142</v>
      </c>
      <c r="C87" s="4" t="s">
        <v>79</v>
      </c>
      <c r="D87" s="59">
        <v>850</v>
      </c>
      <c r="E87" s="4" t="s">
        <v>22</v>
      </c>
      <c r="F87" s="4" t="s">
        <v>166</v>
      </c>
      <c r="H87" s="4" t="s">
        <v>80</v>
      </c>
      <c r="K87" s="4" t="s">
        <v>243</v>
      </c>
      <c r="L87" s="4" t="s">
        <v>98</v>
      </c>
      <c r="N87" s="13">
        <v>0</v>
      </c>
      <c r="O87" s="4">
        <f t="shared" si="4"/>
        <v>0</v>
      </c>
      <c r="P87" s="59">
        <f t="shared" si="5"/>
        <v>850</v>
      </c>
      <c r="Q87" s="4" t="s">
        <v>97</v>
      </c>
      <c r="R87" s="4" t="s">
        <v>137</v>
      </c>
    </row>
    <row r="88" spans="1:18" s="6" customFormat="1" ht="22.5" customHeight="1" x14ac:dyDescent="0.25">
      <c r="A88" s="83">
        <v>45995</v>
      </c>
      <c r="B88" s="6" t="s">
        <v>244</v>
      </c>
      <c r="C88" s="6" t="s">
        <v>88</v>
      </c>
      <c r="D88" s="60">
        <v>1700</v>
      </c>
      <c r="E88" s="6" t="s">
        <v>22</v>
      </c>
      <c r="F88" s="6" t="s">
        <v>89</v>
      </c>
      <c r="G88" s="6" t="s">
        <v>245</v>
      </c>
      <c r="H88" s="6" t="s">
        <v>167</v>
      </c>
      <c r="K88" s="6" t="s">
        <v>124</v>
      </c>
      <c r="L88" s="6" t="s">
        <v>86</v>
      </c>
      <c r="N88" s="14">
        <v>15</v>
      </c>
      <c r="O88" s="6">
        <f t="shared" si="4"/>
        <v>255</v>
      </c>
      <c r="P88" s="60">
        <f t="shared" si="5"/>
        <v>1955</v>
      </c>
      <c r="Q88" s="6" t="s">
        <v>97</v>
      </c>
      <c r="R88" s="6" t="s">
        <v>100</v>
      </c>
    </row>
    <row r="89" spans="1:18" ht="22.5" customHeight="1" x14ac:dyDescent="0.25">
      <c r="A89" s="76">
        <v>45995</v>
      </c>
      <c r="B89" s="4" t="s">
        <v>246</v>
      </c>
      <c r="C89" s="4" t="s">
        <v>79</v>
      </c>
      <c r="D89" s="59">
        <v>380</v>
      </c>
      <c r="E89" s="4" t="s">
        <v>22</v>
      </c>
      <c r="F89" s="4" t="s">
        <v>166</v>
      </c>
      <c r="G89" s="18" t="s">
        <v>245</v>
      </c>
      <c r="H89" s="4" t="s">
        <v>80</v>
      </c>
      <c r="K89" s="4" t="s">
        <v>99</v>
      </c>
      <c r="L89" s="4" t="s">
        <v>98</v>
      </c>
      <c r="N89" s="13">
        <v>15</v>
      </c>
      <c r="O89" s="4">
        <f t="shared" si="4"/>
        <v>57</v>
      </c>
      <c r="P89" s="65">
        <f t="shared" si="5"/>
        <v>437</v>
      </c>
      <c r="Q89" s="4" t="s">
        <v>97</v>
      </c>
      <c r="R89" s="4" t="s">
        <v>191</v>
      </c>
    </row>
    <row r="90" spans="1:18" ht="22.5" customHeight="1" x14ac:dyDescent="0.25">
      <c r="A90" s="76">
        <v>45995</v>
      </c>
      <c r="B90" s="4" t="s">
        <v>280</v>
      </c>
      <c r="C90" s="4" t="s">
        <v>79</v>
      </c>
      <c r="D90" s="59">
        <v>1000</v>
      </c>
      <c r="E90" s="4" t="s">
        <v>22</v>
      </c>
      <c r="F90" s="4" t="s">
        <v>249</v>
      </c>
      <c r="G90" s="45" t="s">
        <v>247</v>
      </c>
      <c r="H90" s="4" t="s">
        <v>80</v>
      </c>
      <c r="K90" s="4" t="s">
        <v>132</v>
      </c>
      <c r="L90" s="4" t="s">
        <v>98</v>
      </c>
      <c r="N90" s="13">
        <v>0</v>
      </c>
      <c r="O90" s="4">
        <f t="shared" si="4"/>
        <v>0</v>
      </c>
      <c r="P90" s="59">
        <f t="shared" si="5"/>
        <v>1000</v>
      </c>
      <c r="Q90" s="4" t="s">
        <v>97</v>
      </c>
      <c r="R90" s="4" t="s">
        <v>191</v>
      </c>
    </row>
    <row r="91" spans="1:18" ht="22.5" customHeight="1" x14ac:dyDescent="0.25">
      <c r="A91" s="76">
        <v>45997</v>
      </c>
      <c r="B91" s="4" t="s">
        <v>255</v>
      </c>
      <c r="C91" s="4" t="s">
        <v>79</v>
      </c>
      <c r="D91" s="59">
        <v>500</v>
      </c>
      <c r="E91" s="4" t="s">
        <v>22</v>
      </c>
      <c r="F91" s="4" t="s">
        <v>166</v>
      </c>
      <c r="G91" s="18" t="s">
        <v>210</v>
      </c>
      <c r="H91" s="4" t="s">
        <v>80</v>
      </c>
      <c r="K91" s="4" t="s">
        <v>99</v>
      </c>
      <c r="L91" s="4" t="s">
        <v>98</v>
      </c>
      <c r="N91" s="13">
        <v>0</v>
      </c>
      <c r="O91" s="4">
        <f t="shared" si="4"/>
        <v>0</v>
      </c>
      <c r="P91" s="59">
        <f t="shared" si="5"/>
        <v>500</v>
      </c>
      <c r="Q91" s="4" t="s">
        <v>97</v>
      </c>
      <c r="R91" s="4" t="s">
        <v>191</v>
      </c>
    </row>
    <row r="92" spans="1:18" ht="22.5" customHeight="1" x14ac:dyDescent="0.25">
      <c r="A92" s="76">
        <v>45997</v>
      </c>
      <c r="B92" s="4" t="s">
        <v>255</v>
      </c>
      <c r="C92" s="4" t="s">
        <v>79</v>
      </c>
      <c r="D92" s="59">
        <v>74</v>
      </c>
      <c r="E92" s="4" t="s">
        <v>22</v>
      </c>
      <c r="F92" s="4" t="s">
        <v>166</v>
      </c>
      <c r="G92" s="18" t="s">
        <v>210</v>
      </c>
      <c r="H92" s="4" t="s">
        <v>80</v>
      </c>
      <c r="K92" s="4" t="s">
        <v>99</v>
      </c>
      <c r="L92" s="4" t="s">
        <v>98</v>
      </c>
      <c r="N92" s="13">
        <v>15</v>
      </c>
      <c r="O92" s="4">
        <f t="shared" si="4"/>
        <v>11.1</v>
      </c>
      <c r="P92" s="59">
        <f t="shared" si="5"/>
        <v>85.1</v>
      </c>
      <c r="Q92" s="4" t="s">
        <v>97</v>
      </c>
      <c r="R92" s="4" t="s">
        <v>191</v>
      </c>
    </row>
    <row r="93" spans="1:18" ht="22.5" customHeight="1" x14ac:dyDescent="0.25">
      <c r="A93" s="76">
        <v>45998</v>
      </c>
      <c r="B93" s="4" t="s">
        <v>256</v>
      </c>
      <c r="C93" s="4" t="s">
        <v>79</v>
      </c>
      <c r="D93" s="59">
        <v>300</v>
      </c>
      <c r="E93" s="4" t="s">
        <v>22</v>
      </c>
      <c r="F93" s="4" t="s">
        <v>59</v>
      </c>
      <c r="G93" s="18" t="s">
        <v>210</v>
      </c>
      <c r="H93" s="4" t="s">
        <v>59</v>
      </c>
      <c r="K93" s="4" t="s">
        <v>99</v>
      </c>
      <c r="L93" s="4" t="s">
        <v>98</v>
      </c>
      <c r="N93" s="13">
        <v>0</v>
      </c>
      <c r="O93" s="4">
        <f t="shared" si="4"/>
        <v>0</v>
      </c>
      <c r="P93" s="59">
        <f t="shared" si="5"/>
        <v>300</v>
      </c>
      <c r="Q93" s="4" t="s">
        <v>97</v>
      </c>
      <c r="R93" s="4" t="s">
        <v>191</v>
      </c>
    </row>
    <row r="94" spans="1:18" ht="22.5" customHeight="1" x14ac:dyDescent="0.25">
      <c r="A94" s="76">
        <v>45999</v>
      </c>
      <c r="B94" s="4" t="s">
        <v>186</v>
      </c>
      <c r="C94" s="4" t="s">
        <v>79</v>
      </c>
      <c r="D94" s="59">
        <v>43.49</v>
      </c>
      <c r="E94" s="4" t="s">
        <v>22</v>
      </c>
      <c r="F94" s="4" t="s">
        <v>115</v>
      </c>
      <c r="H94" s="4" t="s">
        <v>115</v>
      </c>
      <c r="K94" s="4" t="s">
        <v>99</v>
      </c>
      <c r="L94" s="4" t="s">
        <v>98</v>
      </c>
      <c r="N94" s="13">
        <v>15</v>
      </c>
      <c r="O94" s="4">
        <f t="shared" si="4"/>
        <v>6.52</v>
      </c>
      <c r="P94" s="59">
        <f t="shared" si="5"/>
        <v>50.010000000000005</v>
      </c>
      <c r="Q94" s="4" t="s">
        <v>97</v>
      </c>
      <c r="R94" s="4" t="s">
        <v>137</v>
      </c>
    </row>
    <row r="95" spans="1:18" ht="22.5" customHeight="1" x14ac:dyDescent="0.25">
      <c r="A95" s="76">
        <v>45999</v>
      </c>
      <c r="B95" s="4" t="s">
        <v>257</v>
      </c>
      <c r="C95" s="4" t="s">
        <v>79</v>
      </c>
      <c r="D95" s="59">
        <v>149.19999999999999</v>
      </c>
      <c r="E95" s="4" t="s">
        <v>22</v>
      </c>
      <c r="F95" s="4" t="s">
        <v>115</v>
      </c>
      <c r="H95" s="4" t="s">
        <v>115</v>
      </c>
      <c r="K95" s="4" t="s">
        <v>99</v>
      </c>
      <c r="L95" s="4" t="s">
        <v>98</v>
      </c>
      <c r="N95" s="13">
        <v>15</v>
      </c>
      <c r="O95" s="4">
        <f t="shared" si="4"/>
        <v>22.38</v>
      </c>
      <c r="P95" s="59">
        <f t="shared" si="5"/>
        <v>171.57999999999998</v>
      </c>
      <c r="Q95" s="4" t="s">
        <v>97</v>
      </c>
      <c r="R95" s="4" t="s">
        <v>137</v>
      </c>
    </row>
    <row r="96" spans="1:18" ht="22.5" customHeight="1" x14ac:dyDescent="0.25">
      <c r="A96" s="76">
        <v>45999</v>
      </c>
      <c r="B96" s="4" t="s">
        <v>258</v>
      </c>
      <c r="C96" s="4" t="s">
        <v>79</v>
      </c>
      <c r="D96" s="59">
        <v>100</v>
      </c>
      <c r="E96" s="4" t="s">
        <v>22</v>
      </c>
      <c r="F96" s="4" t="s">
        <v>259</v>
      </c>
      <c r="H96" s="4" t="s">
        <v>259</v>
      </c>
      <c r="K96" s="4" t="s">
        <v>169</v>
      </c>
      <c r="L96" s="4" t="s">
        <v>154</v>
      </c>
      <c r="N96" s="13">
        <v>15</v>
      </c>
      <c r="O96" s="4">
        <f t="shared" si="4"/>
        <v>15</v>
      </c>
      <c r="P96" s="59">
        <f t="shared" si="5"/>
        <v>115</v>
      </c>
      <c r="Q96" s="4" t="s">
        <v>97</v>
      </c>
      <c r="R96" s="4" t="s">
        <v>137</v>
      </c>
    </row>
    <row r="97" spans="1:18" ht="22.5" customHeight="1" x14ac:dyDescent="0.25">
      <c r="A97" s="76">
        <v>45999</v>
      </c>
      <c r="B97" s="4" t="s">
        <v>260</v>
      </c>
      <c r="C97" s="4" t="s">
        <v>79</v>
      </c>
      <c r="D97" s="59">
        <v>115</v>
      </c>
      <c r="E97" s="4" t="s">
        <v>22</v>
      </c>
      <c r="F97" s="4" t="s">
        <v>261</v>
      </c>
      <c r="H97" s="4" t="s">
        <v>261</v>
      </c>
      <c r="K97" s="4" t="s">
        <v>262</v>
      </c>
      <c r="L97" s="4" t="s">
        <v>98</v>
      </c>
      <c r="N97" s="13">
        <v>0</v>
      </c>
      <c r="O97" s="4">
        <f t="shared" si="4"/>
        <v>0</v>
      </c>
      <c r="P97" s="59">
        <f t="shared" si="5"/>
        <v>115</v>
      </c>
      <c r="Q97" s="4" t="s">
        <v>97</v>
      </c>
      <c r="R97" s="4" t="s">
        <v>137</v>
      </c>
    </row>
    <row r="98" spans="1:18" ht="22.5" customHeight="1" x14ac:dyDescent="0.25">
      <c r="A98" s="76">
        <v>45999</v>
      </c>
      <c r="B98" s="4" t="s">
        <v>161</v>
      </c>
      <c r="C98" s="4" t="s">
        <v>79</v>
      </c>
      <c r="D98" s="59">
        <v>1330</v>
      </c>
      <c r="E98" s="4" t="s">
        <v>22</v>
      </c>
      <c r="F98" s="4" t="s">
        <v>25</v>
      </c>
      <c r="H98" s="4" t="s">
        <v>167</v>
      </c>
      <c r="K98" s="4" t="s">
        <v>162</v>
      </c>
      <c r="L98" s="4" t="s">
        <v>163</v>
      </c>
      <c r="N98" s="13">
        <v>0</v>
      </c>
      <c r="O98" s="4">
        <f t="shared" si="4"/>
        <v>0</v>
      </c>
      <c r="P98" s="59">
        <f t="shared" si="5"/>
        <v>1330</v>
      </c>
      <c r="Q98" s="4" t="s">
        <v>97</v>
      </c>
      <c r="R98" s="4" t="s">
        <v>232</v>
      </c>
    </row>
    <row r="99" spans="1:18" ht="22.5" customHeight="1" x14ac:dyDescent="0.25">
      <c r="A99" s="76">
        <v>45999</v>
      </c>
      <c r="B99" s="4" t="s">
        <v>263</v>
      </c>
      <c r="C99" s="4" t="s">
        <v>79</v>
      </c>
      <c r="D99" s="59">
        <v>230</v>
      </c>
      <c r="E99" s="4" t="s">
        <v>22</v>
      </c>
      <c r="F99" s="4" t="s">
        <v>253</v>
      </c>
      <c r="H99" s="4" t="s">
        <v>167</v>
      </c>
      <c r="K99" s="4" t="s">
        <v>99</v>
      </c>
      <c r="L99" s="4" t="s">
        <v>98</v>
      </c>
      <c r="N99" s="13">
        <v>0</v>
      </c>
      <c r="O99" s="4">
        <f t="shared" si="4"/>
        <v>0</v>
      </c>
      <c r="P99" s="59">
        <f t="shared" si="5"/>
        <v>230</v>
      </c>
      <c r="Q99" s="4" t="s">
        <v>97</v>
      </c>
      <c r="R99" s="4" t="s">
        <v>137</v>
      </c>
    </row>
    <row r="100" spans="1:18" s="6" customFormat="1" ht="22.5" customHeight="1" x14ac:dyDescent="0.25">
      <c r="A100" s="83">
        <v>46000</v>
      </c>
      <c r="B100" s="6" t="s">
        <v>264</v>
      </c>
      <c r="C100" s="6" t="s">
        <v>88</v>
      </c>
      <c r="D100" s="60">
        <v>14925</v>
      </c>
      <c r="E100" s="6" t="s">
        <v>22</v>
      </c>
      <c r="F100" s="6" t="s">
        <v>89</v>
      </c>
      <c r="G100" s="6" t="s">
        <v>265</v>
      </c>
      <c r="H100" s="6" t="s">
        <v>167</v>
      </c>
      <c r="K100" s="6" t="s">
        <v>266</v>
      </c>
      <c r="L100" s="6" t="s">
        <v>86</v>
      </c>
      <c r="M100" s="6" t="s">
        <v>267</v>
      </c>
      <c r="N100" s="14">
        <v>15</v>
      </c>
      <c r="O100" s="6">
        <f t="shared" si="4"/>
        <v>2238.75</v>
      </c>
      <c r="P100" s="60">
        <f t="shared" si="5"/>
        <v>17163.75</v>
      </c>
      <c r="Q100" s="6" t="s">
        <v>97</v>
      </c>
      <c r="R100" s="6" t="s">
        <v>227</v>
      </c>
    </row>
    <row r="101" spans="1:18" s="21" customFormat="1" ht="22.5" customHeight="1" x14ac:dyDescent="0.25">
      <c r="A101" s="76">
        <v>46000</v>
      </c>
      <c r="B101" s="21" t="s">
        <v>245</v>
      </c>
      <c r="C101" s="21" t="s">
        <v>79</v>
      </c>
      <c r="D101" s="63">
        <v>5000</v>
      </c>
      <c r="E101" s="21" t="s">
        <v>22</v>
      </c>
      <c r="F101" s="21" t="s">
        <v>249</v>
      </c>
      <c r="G101" s="45" t="s">
        <v>265</v>
      </c>
      <c r="H101" s="21" t="s">
        <v>80</v>
      </c>
      <c r="K101" s="21" t="s">
        <v>132</v>
      </c>
      <c r="L101" s="21" t="s">
        <v>98</v>
      </c>
      <c r="N101" s="22">
        <v>0</v>
      </c>
      <c r="O101" s="21">
        <f t="shared" si="4"/>
        <v>0</v>
      </c>
      <c r="P101" s="63">
        <f t="shared" si="5"/>
        <v>5000</v>
      </c>
      <c r="Q101" s="21" t="s">
        <v>97</v>
      </c>
      <c r="R101" s="21" t="s">
        <v>191</v>
      </c>
    </row>
    <row r="102" spans="1:18" s="21" customFormat="1" ht="22.5" customHeight="1" x14ac:dyDescent="0.25">
      <c r="A102" s="76">
        <v>46000</v>
      </c>
      <c r="B102" s="21" t="s">
        <v>279</v>
      </c>
      <c r="C102" s="21" t="s">
        <v>79</v>
      </c>
      <c r="D102" s="63">
        <v>4850</v>
      </c>
      <c r="E102" s="21" t="s">
        <v>22</v>
      </c>
      <c r="F102" s="21" t="s">
        <v>166</v>
      </c>
      <c r="G102" s="45" t="s">
        <v>265</v>
      </c>
      <c r="H102" s="21" t="s">
        <v>80</v>
      </c>
      <c r="K102" s="21" t="s">
        <v>99</v>
      </c>
      <c r="L102" s="21" t="s">
        <v>98</v>
      </c>
      <c r="N102" s="22">
        <v>15</v>
      </c>
      <c r="O102" s="21">
        <f t="shared" si="4"/>
        <v>727.5</v>
      </c>
      <c r="P102" s="61">
        <f t="shared" si="5"/>
        <v>5577.5</v>
      </c>
      <c r="Q102" s="21" t="s">
        <v>97</v>
      </c>
      <c r="R102" s="21" t="s">
        <v>191</v>
      </c>
    </row>
    <row r="103" spans="1:18" ht="22.5" customHeight="1" x14ac:dyDescent="0.25">
      <c r="A103" s="76">
        <v>46000</v>
      </c>
      <c r="B103" s="4" t="s">
        <v>161</v>
      </c>
      <c r="C103" s="4" t="s">
        <v>79</v>
      </c>
      <c r="D103" s="59">
        <v>375</v>
      </c>
      <c r="E103" s="4" t="s">
        <v>22</v>
      </c>
      <c r="F103" s="4" t="s">
        <v>25</v>
      </c>
      <c r="H103" s="4" t="s">
        <v>167</v>
      </c>
      <c r="K103" s="4" t="s">
        <v>162</v>
      </c>
      <c r="L103" s="4" t="s">
        <v>163</v>
      </c>
      <c r="N103" s="13">
        <v>0</v>
      </c>
      <c r="O103" s="4">
        <f t="shared" si="4"/>
        <v>0</v>
      </c>
      <c r="P103" s="59">
        <f t="shared" si="5"/>
        <v>375</v>
      </c>
      <c r="Q103" s="4" t="s">
        <v>97</v>
      </c>
      <c r="R103" s="4" t="s">
        <v>232</v>
      </c>
    </row>
    <row r="104" spans="1:18" ht="22.5" customHeight="1" x14ac:dyDescent="0.25">
      <c r="A104" s="76">
        <v>46000</v>
      </c>
      <c r="B104" s="4" t="s">
        <v>268</v>
      </c>
      <c r="C104" s="4" t="s">
        <v>79</v>
      </c>
      <c r="D104" s="59">
        <v>3000</v>
      </c>
      <c r="E104" s="4" t="s">
        <v>22</v>
      </c>
      <c r="F104" s="4" t="s">
        <v>253</v>
      </c>
      <c r="H104" s="4" t="s">
        <v>167</v>
      </c>
      <c r="K104" s="21" t="s">
        <v>441</v>
      </c>
      <c r="L104" s="4" t="s">
        <v>98</v>
      </c>
      <c r="N104" s="13">
        <v>0</v>
      </c>
      <c r="O104" s="4">
        <f t="shared" si="4"/>
        <v>0</v>
      </c>
      <c r="P104" s="59">
        <f t="shared" si="5"/>
        <v>3000</v>
      </c>
      <c r="Q104" s="4" t="s">
        <v>97</v>
      </c>
      <c r="R104" s="4" t="s">
        <v>269</v>
      </c>
    </row>
    <row r="105" spans="1:18" ht="22.5" customHeight="1" x14ac:dyDescent="0.25">
      <c r="A105" s="76">
        <v>46000</v>
      </c>
      <c r="B105" s="4" t="s">
        <v>75</v>
      </c>
      <c r="C105" s="4" t="s">
        <v>79</v>
      </c>
      <c r="D105" s="59">
        <v>245</v>
      </c>
      <c r="E105" s="4" t="s">
        <v>22</v>
      </c>
      <c r="F105" s="4" t="s">
        <v>57</v>
      </c>
      <c r="H105" s="4" t="s">
        <v>81</v>
      </c>
      <c r="K105" s="4" t="s">
        <v>99</v>
      </c>
      <c r="L105" s="4" t="s">
        <v>98</v>
      </c>
      <c r="N105" s="13">
        <v>15</v>
      </c>
      <c r="O105" s="4">
        <f t="shared" si="4"/>
        <v>36.75</v>
      </c>
      <c r="P105" s="59">
        <f t="shared" si="5"/>
        <v>281.75</v>
      </c>
      <c r="Q105" s="4" t="s">
        <v>97</v>
      </c>
      <c r="R105" s="4" t="s">
        <v>137</v>
      </c>
    </row>
    <row r="106" spans="1:18" ht="22.5" customHeight="1" x14ac:dyDescent="0.25">
      <c r="A106" s="76">
        <v>46000</v>
      </c>
      <c r="B106" s="4" t="s">
        <v>270</v>
      </c>
      <c r="C106" s="4" t="s">
        <v>79</v>
      </c>
      <c r="D106" s="59">
        <v>1440</v>
      </c>
      <c r="E106" s="4" t="s">
        <v>22</v>
      </c>
      <c r="F106" s="4" t="s">
        <v>203</v>
      </c>
      <c r="H106" s="4" t="s">
        <v>206</v>
      </c>
      <c r="K106" s="4" t="s">
        <v>99</v>
      </c>
      <c r="L106" s="4" t="s">
        <v>98</v>
      </c>
      <c r="N106" s="13">
        <v>0</v>
      </c>
      <c r="O106" s="4">
        <f t="shared" si="4"/>
        <v>0</v>
      </c>
      <c r="P106" s="65">
        <f t="shared" si="5"/>
        <v>1440</v>
      </c>
      <c r="Q106" s="4" t="s">
        <v>97</v>
      </c>
      <c r="R106" s="4" t="s">
        <v>137</v>
      </c>
    </row>
    <row r="107" spans="1:18" ht="22.5" customHeight="1" x14ac:dyDescent="0.25">
      <c r="A107" s="76">
        <v>46000</v>
      </c>
      <c r="B107" s="4" t="s">
        <v>271</v>
      </c>
      <c r="C107" s="4" t="s">
        <v>79</v>
      </c>
      <c r="D107" s="59">
        <v>1000</v>
      </c>
      <c r="E107" s="4" t="s">
        <v>22</v>
      </c>
      <c r="F107" s="4" t="s">
        <v>272</v>
      </c>
      <c r="H107" s="4" t="s">
        <v>196</v>
      </c>
      <c r="K107" s="4" t="s">
        <v>99</v>
      </c>
      <c r="L107" s="4" t="s">
        <v>98</v>
      </c>
      <c r="N107" s="13">
        <v>0</v>
      </c>
      <c r="O107" s="4">
        <f t="shared" si="4"/>
        <v>0</v>
      </c>
      <c r="P107" s="59">
        <f t="shared" si="5"/>
        <v>1000</v>
      </c>
      <c r="Q107" s="4" t="s">
        <v>97</v>
      </c>
      <c r="R107" s="4" t="s">
        <v>137</v>
      </c>
    </row>
    <row r="108" spans="1:18" s="21" customFormat="1" ht="22.5" customHeight="1" x14ac:dyDescent="0.25">
      <c r="A108" s="76">
        <v>46000</v>
      </c>
      <c r="B108" s="21" t="s">
        <v>273</v>
      </c>
      <c r="C108" s="21" t="s">
        <v>79</v>
      </c>
      <c r="D108" s="63">
        <v>7425</v>
      </c>
      <c r="E108" s="21" t="s">
        <v>26</v>
      </c>
      <c r="F108" s="21" t="s">
        <v>89</v>
      </c>
      <c r="G108" s="45"/>
      <c r="H108" s="21" t="s">
        <v>167</v>
      </c>
      <c r="K108" s="21" t="s">
        <v>105</v>
      </c>
      <c r="L108" s="21" t="s">
        <v>86</v>
      </c>
      <c r="M108" s="21" t="s">
        <v>117</v>
      </c>
      <c r="N108" s="22">
        <v>0</v>
      </c>
      <c r="O108" s="21">
        <f t="shared" si="4"/>
        <v>0</v>
      </c>
      <c r="P108" s="63">
        <f t="shared" si="5"/>
        <v>7425</v>
      </c>
      <c r="Q108" s="21" t="s">
        <v>97</v>
      </c>
      <c r="R108" s="21" t="s">
        <v>286</v>
      </c>
    </row>
    <row r="109" spans="1:18" s="6" customFormat="1" ht="22.5" customHeight="1" x14ac:dyDescent="0.25">
      <c r="A109" s="83">
        <v>46000</v>
      </c>
      <c r="B109" s="6" t="s">
        <v>274</v>
      </c>
      <c r="C109" s="6" t="s">
        <v>88</v>
      </c>
      <c r="D109" s="60">
        <v>7425</v>
      </c>
      <c r="E109" s="6" t="s">
        <v>22</v>
      </c>
      <c r="F109" s="6" t="s">
        <v>89</v>
      </c>
      <c r="G109" s="6" t="s">
        <v>104</v>
      </c>
      <c r="H109" s="6" t="s">
        <v>167</v>
      </c>
      <c r="K109" s="6" t="s">
        <v>105</v>
      </c>
      <c r="L109" s="6" t="s">
        <v>86</v>
      </c>
      <c r="M109" s="6" t="s">
        <v>117</v>
      </c>
      <c r="N109" s="14">
        <v>0</v>
      </c>
      <c r="O109" s="6">
        <f t="shared" si="4"/>
        <v>0</v>
      </c>
      <c r="P109" s="60">
        <f t="shared" si="5"/>
        <v>7425</v>
      </c>
      <c r="Q109" s="6" t="s">
        <v>97</v>
      </c>
      <c r="R109" s="6" t="s">
        <v>100</v>
      </c>
    </row>
    <row r="110" spans="1:18" ht="22.5" customHeight="1" x14ac:dyDescent="0.25">
      <c r="A110" s="76">
        <v>46000</v>
      </c>
      <c r="B110" s="4" t="s">
        <v>273</v>
      </c>
      <c r="C110" s="4" t="s">
        <v>79</v>
      </c>
      <c r="D110" s="59">
        <v>2227.5</v>
      </c>
      <c r="E110" s="4" t="s">
        <v>26</v>
      </c>
      <c r="F110" s="4" t="s">
        <v>89</v>
      </c>
      <c r="G110" s="45"/>
      <c r="H110" s="4" t="s">
        <v>167</v>
      </c>
      <c r="K110" s="4" t="s">
        <v>105</v>
      </c>
      <c r="L110" s="4" t="s">
        <v>86</v>
      </c>
      <c r="M110" s="21" t="s">
        <v>117</v>
      </c>
      <c r="N110" s="13">
        <v>0</v>
      </c>
      <c r="O110" s="4">
        <f t="shared" si="4"/>
        <v>0</v>
      </c>
      <c r="P110" s="59">
        <f t="shared" si="5"/>
        <v>2227.5</v>
      </c>
      <c r="Q110" s="4" t="s">
        <v>97</v>
      </c>
      <c r="R110" s="21" t="s">
        <v>286</v>
      </c>
    </row>
    <row r="111" spans="1:18" s="6" customFormat="1" ht="22.5" customHeight="1" x14ac:dyDescent="0.25">
      <c r="A111" s="83">
        <v>46000</v>
      </c>
      <c r="B111" s="6" t="s">
        <v>275</v>
      </c>
      <c r="C111" s="6" t="s">
        <v>88</v>
      </c>
      <c r="D111" s="60">
        <v>2227.5</v>
      </c>
      <c r="E111" s="6" t="s">
        <v>22</v>
      </c>
      <c r="F111" s="6" t="s">
        <v>89</v>
      </c>
      <c r="G111" s="6" t="s">
        <v>104</v>
      </c>
      <c r="H111" s="6" t="s">
        <v>167</v>
      </c>
      <c r="K111" s="6" t="s">
        <v>105</v>
      </c>
      <c r="L111" s="6" t="s">
        <v>86</v>
      </c>
      <c r="M111" s="6" t="s">
        <v>117</v>
      </c>
      <c r="N111" s="14">
        <v>0</v>
      </c>
      <c r="O111" s="6">
        <f t="shared" si="4"/>
        <v>0</v>
      </c>
      <c r="P111" s="60">
        <f t="shared" si="5"/>
        <v>2227.5</v>
      </c>
      <c r="Q111" s="6" t="s">
        <v>97</v>
      </c>
      <c r="R111" s="6" t="s">
        <v>100</v>
      </c>
    </row>
    <row r="112" spans="1:18" ht="22.5" customHeight="1" x14ac:dyDescent="0.25">
      <c r="A112" s="76">
        <v>46000</v>
      </c>
      <c r="B112" s="4" t="s">
        <v>161</v>
      </c>
      <c r="C112" s="4" t="s">
        <v>79</v>
      </c>
      <c r="D112" s="59">
        <v>250</v>
      </c>
      <c r="E112" s="4" t="s">
        <v>22</v>
      </c>
      <c r="F112" s="4" t="s">
        <v>25</v>
      </c>
      <c r="H112" s="4" t="s">
        <v>167</v>
      </c>
      <c r="K112" s="4" t="s">
        <v>162</v>
      </c>
      <c r="L112" s="4" t="s">
        <v>163</v>
      </c>
      <c r="N112" s="13">
        <v>0</v>
      </c>
      <c r="O112" s="4">
        <f t="shared" si="4"/>
        <v>0</v>
      </c>
      <c r="P112" s="59">
        <f t="shared" si="5"/>
        <v>250</v>
      </c>
      <c r="Q112" s="4" t="s">
        <v>97</v>
      </c>
      <c r="R112" s="4" t="s">
        <v>232</v>
      </c>
    </row>
    <row r="113" spans="1:18" ht="22.5" customHeight="1" x14ac:dyDescent="0.25">
      <c r="A113" s="78">
        <v>46000</v>
      </c>
      <c r="B113" s="4" t="s">
        <v>156</v>
      </c>
      <c r="C113" s="4" t="s">
        <v>88</v>
      </c>
      <c r="D113" s="59">
        <v>1434.79</v>
      </c>
      <c r="E113" s="4" t="s">
        <v>27</v>
      </c>
      <c r="F113" s="4" t="s">
        <v>166</v>
      </c>
      <c r="H113" s="4" t="s">
        <v>80</v>
      </c>
      <c r="K113" s="4" t="s">
        <v>99</v>
      </c>
      <c r="L113" s="4" t="s">
        <v>98</v>
      </c>
      <c r="N113" s="13">
        <v>15</v>
      </c>
      <c r="O113" s="4">
        <f t="shared" si="4"/>
        <v>215.22</v>
      </c>
      <c r="P113" s="59">
        <f t="shared" si="5"/>
        <v>1650.01</v>
      </c>
      <c r="Q113" s="4" t="s">
        <v>97</v>
      </c>
      <c r="R113" s="4" t="s">
        <v>285</v>
      </c>
    </row>
    <row r="114" spans="1:18" ht="22.5" customHeight="1" x14ac:dyDescent="0.25">
      <c r="A114" s="78">
        <v>46000</v>
      </c>
      <c r="B114" s="4" t="s">
        <v>159</v>
      </c>
      <c r="C114" s="4" t="s">
        <v>88</v>
      </c>
      <c r="D114" s="59">
        <v>1700</v>
      </c>
      <c r="E114" s="4" t="s">
        <v>27</v>
      </c>
      <c r="F114" s="4" t="s">
        <v>253</v>
      </c>
      <c r="H114" s="4" t="s">
        <v>165</v>
      </c>
      <c r="K114" s="4" t="s">
        <v>99</v>
      </c>
      <c r="L114" s="4" t="s">
        <v>98</v>
      </c>
      <c r="N114" s="13">
        <v>0</v>
      </c>
      <c r="O114" s="4">
        <f t="shared" si="4"/>
        <v>0</v>
      </c>
      <c r="P114" s="59">
        <f t="shared" si="5"/>
        <v>1700</v>
      </c>
      <c r="Q114" s="4" t="s">
        <v>97</v>
      </c>
      <c r="R114" s="4" t="s">
        <v>285</v>
      </c>
    </row>
    <row r="115" spans="1:18" ht="22.5" customHeight="1" x14ac:dyDescent="0.25">
      <c r="A115" s="76">
        <v>46000</v>
      </c>
      <c r="B115" s="4" t="s">
        <v>156</v>
      </c>
      <c r="C115" s="4" t="s">
        <v>79</v>
      </c>
      <c r="D115" s="59">
        <v>1434.79</v>
      </c>
      <c r="E115" s="4" t="s">
        <v>22</v>
      </c>
      <c r="F115" s="4" t="s">
        <v>166</v>
      </c>
      <c r="G115" s="46" t="s">
        <v>218</v>
      </c>
      <c r="H115" s="4" t="s">
        <v>80</v>
      </c>
      <c r="K115" s="4" t="s">
        <v>99</v>
      </c>
      <c r="L115" s="4" t="s">
        <v>98</v>
      </c>
      <c r="N115" s="13">
        <v>15</v>
      </c>
      <c r="O115" s="4">
        <f t="shared" si="4"/>
        <v>215.22</v>
      </c>
      <c r="P115" s="59">
        <f t="shared" si="5"/>
        <v>1650.01</v>
      </c>
      <c r="Q115" s="4" t="s">
        <v>97</v>
      </c>
      <c r="R115" s="4" t="s">
        <v>284</v>
      </c>
    </row>
    <row r="116" spans="1:18" ht="22.5" customHeight="1" x14ac:dyDescent="0.25">
      <c r="A116" s="76">
        <v>46000</v>
      </c>
      <c r="B116" s="4" t="s">
        <v>159</v>
      </c>
      <c r="C116" s="4" t="s">
        <v>79</v>
      </c>
      <c r="D116" s="59">
        <v>1700</v>
      </c>
      <c r="E116" s="4" t="s">
        <v>22</v>
      </c>
      <c r="F116" s="4" t="s">
        <v>253</v>
      </c>
      <c r="H116" s="4" t="s">
        <v>165</v>
      </c>
      <c r="K116" s="4" t="s">
        <v>99</v>
      </c>
      <c r="L116" s="4" t="s">
        <v>98</v>
      </c>
      <c r="N116" s="13">
        <v>0</v>
      </c>
      <c r="O116" s="4">
        <f t="shared" si="4"/>
        <v>0</v>
      </c>
      <c r="P116" s="59">
        <f t="shared" si="5"/>
        <v>1700</v>
      </c>
      <c r="Q116" s="4" t="s">
        <v>97</v>
      </c>
      <c r="R116" s="4" t="s">
        <v>284</v>
      </c>
    </row>
    <row r="117" spans="1:18" ht="22.5" customHeight="1" x14ac:dyDescent="0.25">
      <c r="A117" s="76">
        <v>46000</v>
      </c>
      <c r="B117" s="4" t="s">
        <v>283</v>
      </c>
      <c r="C117" s="4" t="s">
        <v>79</v>
      </c>
      <c r="D117" s="59">
        <v>5111</v>
      </c>
      <c r="E117" s="4" t="s">
        <v>22</v>
      </c>
      <c r="F117" s="4" t="s">
        <v>252</v>
      </c>
      <c r="H117" s="4" t="s">
        <v>167</v>
      </c>
      <c r="K117" s="4" t="s">
        <v>141</v>
      </c>
      <c r="L117" s="4" t="s">
        <v>98</v>
      </c>
      <c r="N117" s="13">
        <v>0</v>
      </c>
      <c r="O117" s="4">
        <f t="shared" si="4"/>
        <v>0</v>
      </c>
      <c r="P117" s="59">
        <f t="shared" si="5"/>
        <v>5111</v>
      </c>
      <c r="Q117" s="4" t="s">
        <v>97</v>
      </c>
      <c r="R117" s="4" t="s">
        <v>284</v>
      </c>
    </row>
    <row r="118" spans="1:18" ht="22.5" customHeight="1" x14ac:dyDescent="0.25">
      <c r="A118" s="76">
        <v>46001</v>
      </c>
      <c r="B118" s="4" t="s">
        <v>75</v>
      </c>
      <c r="C118" s="4" t="s">
        <v>79</v>
      </c>
      <c r="D118" s="59">
        <v>23.4</v>
      </c>
      <c r="E118" s="4" t="s">
        <v>22</v>
      </c>
      <c r="F118" s="4" t="s">
        <v>57</v>
      </c>
      <c r="H118" s="4" t="s">
        <v>81</v>
      </c>
      <c r="K118" s="4" t="s">
        <v>99</v>
      </c>
      <c r="L118" s="4" t="s">
        <v>98</v>
      </c>
      <c r="N118" s="13">
        <v>15</v>
      </c>
      <c r="O118" s="4">
        <f t="shared" si="4"/>
        <v>3.51</v>
      </c>
      <c r="P118" s="59">
        <f t="shared" si="5"/>
        <v>26.909999999999997</v>
      </c>
      <c r="Q118" s="4" t="s">
        <v>97</v>
      </c>
      <c r="R118" s="4" t="s">
        <v>137</v>
      </c>
    </row>
    <row r="119" spans="1:18" ht="22.5" customHeight="1" x14ac:dyDescent="0.25">
      <c r="A119" s="76">
        <v>46001</v>
      </c>
      <c r="B119" s="4" t="s">
        <v>186</v>
      </c>
      <c r="C119" s="4" t="s">
        <v>79</v>
      </c>
      <c r="D119" s="59">
        <v>130.5</v>
      </c>
      <c r="E119" s="4" t="s">
        <v>22</v>
      </c>
      <c r="F119" s="4" t="s">
        <v>115</v>
      </c>
      <c r="H119" s="4" t="s">
        <v>115</v>
      </c>
      <c r="K119" s="4" t="s">
        <v>99</v>
      </c>
      <c r="L119" s="4" t="s">
        <v>98</v>
      </c>
      <c r="N119" s="13">
        <v>15</v>
      </c>
      <c r="O119" s="4">
        <f t="shared" si="4"/>
        <v>19.579999999999998</v>
      </c>
      <c r="P119" s="59">
        <f t="shared" si="5"/>
        <v>150.07999999999998</v>
      </c>
      <c r="Q119" s="4" t="s">
        <v>97</v>
      </c>
      <c r="R119" s="4" t="s">
        <v>137</v>
      </c>
    </row>
    <row r="120" spans="1:18" s="5" customFormat="1" ht="22.5" customHeight="1" x14ac:dyDescent="0.25">
      <c r="A120" s="84">
        <v>46002</v>
      </c>
      <c r="B120" s="5" t="s">
        <v>288</v>
      </c>
      <c r="C120" s="5" t="s">
        <v>88</v>
      </c>
      <c r="D120" s="64">
        <v>4300</v>
      </c>
      <c r="E120" s="5" t="s">
        <v>26</v>
      </c>
      <c r="F120" s="5" t="s">
        <v>89</v>
      </c>
      <c r="G120" s="5" t="s">
        <v>189</v>
      </c>
      <c r="H120" s="5" t="s">
        <v>167</v>
      </c>
      <c r="K120" s="5" t="s">
        <v>105</v>
      </c>
      <c r="L120" s="5" t="s">
        <v>86</v>
      </c>
      <c r="M120" s="5" t="s">
        <v>278</v>
      </c>
      <c r="N120" s="23">
        <v>15</v>
      </c>
      <c r="O120" s="5">
        <f t="shared" si="4"/>
        <v>645</v>
      </c>
      <c r="P120" s="64">
        <f t="shared" si="5"/>
        <v>4945</v>
      </c>
      <c r="Q120" s="5" t="s">
        <v>91</v>
      </c>
      <c r="R120" s="5" t="s">
        <v>230</v>
      </c>
    </row>
    <row r="121" spans="1:18" ht="22.5" customHeight="1" x14ac:dyDescent="0.25">
      <c r="A121" s="76">
        <v>46002</v>
      </c>
      <c r="B121" s="4" t="s">
        <v>161</v>
      </c>
      <c r="C121" s="4" t="s">
        <v>79</v>
      </c>
      <c r="D121" s="59">
        <v>600</v>
      </c>
      <c r="E121" s="4" t="s">
        <v>22</v>
      </c>
      <c r="F121" s="4" t="s">
        <v>25</v>
      </c>
      <c r="H121" s="4" t="s">
        <v>167</v>
      </c>
      <c r="K121" s="4" t="s">
        <v>162</v>
      </c>
      <c r="L121" s="4" t="s">
        <v>163</v>
      </c>
      <c r="N121" s="13">
        <v>0</v>
      </c>
      <c r="O121" s="4">
        <f t="shared" si="4"/>
        <v>0</v>
      </c>
      <c r="P121" s="59">
        <f t="shared" si="5"/>
        <v>600</v>
      </c>
      <c r="Q121" s="4" t="s">
        <v>97</v>
      </c>
      <c r="R121" s="4" t="s">
        <v>232</v>
      </c>
    </row>
    <row r="122" spans="1:18" ht="22.5" customHeight="1" x14ac:dyDescent="0.25">
      <c r="A122" s="76">
        <v>46002</v>
      </c>
      <c r="B122" s="4" t="s">
        <v>287</v>
      </c>
      <c r="C122" s="4" t="s">
        <v>79</v>
      </c>
      <c r="D122" s="59">
        <v>120</v>
      </c>
      <c r="E122" s="4" t="s">
        <v>22</v>
      </c>
      <c r="F122" s="4" t="s">
        <v>59</v>
      </c>
      <c r="G122" s="18" t="s">
        <v>210</v>
      </c>
      <c r="H122" s="4" t="s">
        <v>59</v>
      </c>
      <c r="K122" s="4" t="s">
        <v>216</v>
      </c>
      <c r="L122" s="4" t="s">
        <v>98</v>
      </c>
      <c r="N122" s="13">
        <v>0</v>
      </c>
      <c r="O122" s="4">
        <f t="shared" si="4"/>
        <v>0</v>
      </c>
      <c r="P122" s="59">
        <f t="shared" si="5"/>
        <v>120</v>
      </c>
      <c r="Q122" s="4" t="s">
        <v>97</v>
      </c>
      <c r="R122" s="4" t="s">
        <v>212</v>
      </c>
    </row>
    <row r="123" spans="1:18" ht="22.5" customHeight="1" x14ac:dyDescent="0.25">
      <c r="A123" s="76">
        <v>46002</v>
      </c>
      <c r="B123" s="4" t="s">
        <v>289</v>
      </c>
      <c r="C123" s="4" t="s">
        <v>79</v>
      </c>
      <c r="D123" s="59">
        <v>500</v>
      </c>
      <c r="E123" s="4" t="s">
        <v>22</v>
      </c>
      <c r="F123" s="4" t="s">
        <v>290</v>
      </c>
      <c r="G123" s="18" t="s">
        <v>210</v>
      </c>
      <c r="H123" s="4" t="s">
        <v>206</v>
      </c>
      <c r="K123" s="4" t="s">
        <v>216</v>
      </c>
      <c r="L123" s="4" t="s">
        <v>98</v>
      </c>
      <c r="N123" s="13">
        <v>0</v>
      </c>
      <c r="O123" s="4">
        <f t="shared" si="4"/>
        <v>0</v>
      </c>
      <c r="P123" s="59">
        <f t="shared" si="5"/>
        <v>500</v>
      </c>
      <c r="Q123" s="4" t="s">
        <v>97</v>
      </c>
      <c r="R123" s="4" t="s">
        <v>291</v>
      </c>
    </row>
    <row r="124" spans="1:18" ht="22.5" customHeight="1" x14ac:dyDescent="0.25">
      <c r="A124" s="76">
        <v>46002</v>
      </c>
      <c r="B124" s="4" t="s">
        <v>59</v>
      </c>
      <c r="C124" s="4" t="s">
        <v>79</v>
      </c>
      <c r="D124" s="59">
        <v>200</v>
      </c>
      <c r="E124" s="4" t="s">
        <v>22</v>
      </c>
      <c r="F124" s="4" t="s">
        <v>59</v>
      </c>
      <c r="H124" s="4" t="s">
        <v>59</v>
      </c>
      <c r="K124" s="4" t="s">
        <v>231</v>
      </c>
      <c r="L124" s="4" t="s">
        <v>98</v>
      </c>
      <c r="N124" s="13">
        <v>0</v>
      </c>
      <c r="O124" s="4">
        <f t="shared" si="4"/>
        <v>0</v>
      </c>
      <c r="P124" s="59">
        <f t="shared" si="5"/>
        <v>200</v>
      </c>
      <c r="Q124" s="4" t="s">
        <v>97</v>
      </c>
      <c r="R124" s="4" t="s">
        <v>137</v>
      </c>
    </row>
    <row r="125" spans="1:18" ht="22.5" customHeight="1" x14ac:dyDescent="0.25">
      <c r="A125" s="76">
        <v>46002</v>
      </c>
      <c r="B125" s="4" t="s">
        <v>271</v>
      </c>
      <c r="C125" s="4" t="s">
        <v>79</v>
      </c>
      <c r="D125" s="59">
        <v>1500</v>
      </c>
      <c r="E125" s="4" t="s">
        <v>22</v>
      </c>
      <c r="F125" s="4" t="s">
        <v>272</v>
      </c>
      <c r="H125" s="4" t="s">
        <v>196</v>
      </c>
      <c r="K125" s="4" t="s">
        <v>99</v>
      </c>
      <c r="L125" s="4" t="s">
        <v>98</v>
      </c>
      <c r="N125" s="13">
        <v>0</v>
      </c>
      <c r="O125" s="4">
        <f t="shared" si="4"/>
        <v>0</v>
      </c>
      <c r="P125" s="59">
        <f t="shared" si="5"/>
        <v>1500</v>
      </c>
      <c r="Q125" s="4" t="s">
        <v>97</v>
      </c>
      <c r="R125" s="4" t="s">
        <v>137</v>
      </c>
    </row>
    <row r="126" spans="1:18" ht="22.5" customHeight="1" x14ac:dyDescent="0.25">
      <c r="A126" s="76">
        <v>46003</v>
      </c>
      <c r="B126" s="4" t="s">
        <v>257</v>
      </c>
      <c r="C126" s="4" t="s">
        <v>79</v>
      </c>
      <c r="D126" s="59">
        <v>26.09</v>
      </c>
      <c r="E126" s="4" t="s">
        <v>22</v>
      </c>
      <c r="F126" s="4" t="s">
        <v>115</v>
      </c>
      <c r="H126" s="4" t="s">
        <v>115</v>
      </c>
      <c r="K126" s="4" t="s">
        <v>99</v>
      </c>
      <c r="L126" s="4" t="s">
        <v>98</v>
      </c>
      <c r="N126" s="13">
        <v>15</v>
      </c>
      <c r="O126" s="4">
        <f t="shared" si="4"/>
        <v>3.91</v>
      </c>
      <c r="P126" s="59">
        <f t="shared" si="5"/>
        <v>30</v>
      </c>
      <c r="Q126" s="4" t="s">
        <v>97</v>
      </c>
      <c r="R126" s="4" t="s">
        <v>137</v>
      </c>
    </row>
    <row r="127" spans="1:18" ht="22.5" customHeight="1" x14ac:dyDescent="0.25">
      <c r="A127" s="76">
        <v>46003</v>
      </c>
      <c r="B127" s="4" t="s">
        <v>295</v>
      </c>
      <c r="C127" s="4" t="s">
        <v>79</v>
      </c>
      <c r="D127" s="59">
        <v>19</v>
      </c>
      <c r="E127" s="4" t="s">
        <v>22</v>
      </c>
      <c r="F127" s="4" t="s">
        <v>166</v>
      </c>
      <c r="H127" s="4" t="s">
        <v>80</v>
      </c>
      <c r="K127" s="4" t="s">
        <v>169</v>
      </c>
      <c r="L127" s="4" t="s">
        <v>154</v>
      </c>
      <c r="N127" s="13">
        <v>0</v>
      </c>
      <c r="O127" s="4">
        <f t="shared" si="4"/>
        <v>0</v>
      </c>
      <c r="P127" s="59">
        <f t="shared" si="5"/>
        <v>19</v>
      </c>
      <c r="Q127" s="4" t="s">
        <v>97</v>
      </c>
      <c r="R127" s="4" t="s">
        <v>137</v>
      </c>
    </row>
    <row r="128" spans="1:18" ht="22.5" customHeight="1" x14ac:dyDescent="0.25">
      <c r="A128" s="76">
        <v>46004</v>
      </c>
      <c r="B128" s="4" t="s">
        <v>186</v>
      </c>
      <c r="C128" s="4" t="s">
        <v>79</v>
      </c>
      <c r="D128" s="59">
        <v>173.9</v>
      </c>
      <c r="E128" s="4" t="s">
        <v>22</v>
      </c>
      <c r="F128" s="4" t="s">
        <v>115</v>
      </c>
      <c r="H128" s="4" t="s">
        <v>115</v>
      </c>
      <c r="K128" s="4" t="s">
        <v>99</v>
      </c>
      <c r="L128" s="4" t="s">
        <v>98</v>
      </c>
      <c r="N128" s="13">
        <v>15</v>
      </c>
      <c r="O128" s="4">
        <f t="shared" si="4"/>
        <v>26.09</v>
      </c>
      <c r="P128" s="59">
        <f t="shared" si="5"/>
        <v>199.99</v>
      </c>
      <c r="Q128" s="4" t="s">
        <v>97</v>
      </c>
      <c r="R128" s="4" t="s">
        <v>137</v>
      </c>
    </row>
    <row r="129" spans="1:18" ht="22.5" customHeight="1" x14ac:dyDescent="0.25">
      <c r="A129" s="76">
        <v>46004</v>
      </c>
      <c r="B129" s="4" t="s">
        <v>75</v>
      </c>
      <c r="C129" s="4" t="s">
        <v>79</v>
      </c>
      <c r="D129" s="59">
        <v>41.7</v>
      </c>
      <c r="E129" s="4" t="s">
        <v>22</v>
      </c>
      <c r="F129" s="4" t="s">
        <v>57</v>
      </c>
      <c r="H129" s="4" t="s">
        <v>81</v>
      </c>
      <c r="K129" s="4" t="s">
        <v>99</v>
      </c>
      <c r="L129" s="4" t="s">
        <v>98</v>
      </c>
      <c r="N129" s="13">
        <v>15</v>
      </c>
      <c r="O129" s="4">
        <f t="shared" si="4"/>
        <v>6.26</v>
      </c>
      <c r="P129" s="59">
        <f t="shared" si="5"/>
        <v>47.96</v>
      </c>
      <c r="Q129" s="4" t="s">
        <v>97</v>
      </c>
      <c r="R129" s="4" t="s">
        <v>137</v>
      </c>
    </row>
    <row r="130" spans="1:18" ht="22.5" customHeight="1" x14ac:dyDescent="0.25">
      <c r="A130" s="76">
        <v>46005</v>
      </c>
      <c r="B130" s="4" t="s">
        <v>296</v>
      </c>
      <c r="C130" s="4" t="s">
        <v>79</v>
      </c>
      <c r="D130" s="59">
        <v>1111</v>
      </c>
      <c r="E130" s="4" t="s">
        <v>22</v>
      </c>
      <c r="F130" s="4" t="s">
        <v>166</v>
      </c>
      <c r="G130" s="18" t="s">
        <v>297</v>
      </c>
      <c r="H130" s="4" t="s">
        <v>80</v>
      </c>
      <c r="K130" s="4" t="s">
        <v>298</v>
      </c>
      <c r="L130" s="4" t="s">
        <v>98</v>
      </c>
      <c r="N130" s="13">
        <v>15</v>
      </c>
      <c r="O130" s="4">
        <f t="shared" si="4"/>
        <v>166.65</v>
      </c>
      <c r="P130" s="65">
        <f t="shared" si="5"/>
        <v>1277.6500000000001</v>
      </c>
      <c r="Q130" s="4" t="s">
        <v>97</v>
      </c>
      <c r="R130" s="4" t="s">
        <v>191</v>
      </c>
    </row>
    <row r="131" spans="1:18" ht="22.5" customHeight="1" x14ac:dyDescent="0.25">
      <c r="A131" s="76">
        <v>46006</v>
      </c>
      <c r="B131" s="4" t="s">
        <v>75</v>
      </c>
      <c r="C131" s="4" t="s">
        <v>79</v>
      </c>
      <c r="D131" s="59">
        <v>12</v>
      </c>
      <c r="E131" s="4" t="s">
        <v>22</v>
      </c>
      <c r="F131" s="4" t="s">
        <v>57</v>
      </c>
      <c r="H131" s="4" t="s">
        <v>81</v>
      </c>
      <c r="K131" s="4" t="s">
        <v>99</v>
      </c>
      <c r="L131" s="4" t="s">
        <v>98</v>
      </c>
      <c r="N131" s="13">
        <v>0</v>
      </c>
      <c r="O131" s="4">
        <f t="shared" si="4"/>
        <v>0</v>
      </c>
      <c r="P131" s="59">
        <f t="shared" si="5"/>
        <v>12</v>
      </c>
      <c r="Q131" s="4" t="s">
        <v>97</v>
      </c>
      <c r="R131" s="4" t="s">
        <v>137</v>
      </c>
    </row>
    <row r="132" spans="1:18" ht="22.5" customHeight="1" x14ac:dyDescent="0.25">
      <c r="A132" s="76">
        <v>46007</v>
      </c>
      <c r="B132" s="4" t="s">
        <v>75</v>
      </c>
      <c r="C132" s="4" t="s">
        <v>79</v>
      </c>
      <c r="D132" s="59">
        <v>23.4</v>
      </c>
      <c r="E132" s="4" t="s">
        <v>22</v>
      </c>
      <c r="F132" s="4" t="s">
        <v>57</v>
      </c>
      <c r="H132" s="4" t="s">
        <v>81</v>
      </c>
      <c r="K132" s="4" t="s">
        <v>99</v>
      </c>
      <c r="L132" s="4" t="s">
        <v>98</v>
      </c>
      <c r="N132" s="13">
        <v>15</v>
      </c>
      <c r="O132" s="4">
        <f t="shared" si="4"/>
        <v>3.51</v>
      </c>
      <c r="P132" s="59">
        <f t="shared" si="5"/>
        <v>26.909999999999997</v>
      </c>
      <c r="Q132" s="4" t="s">
        <v>97</v>
      </c>
      <c r="R132" s="4" t="s">
        <v>137</v>
      </c>
    </row>
    <row r="133" spans="1:18" ht="22.5" customHeight="1" x14ac:dyDescent="0.25">
      <c r="A133" s="76">
        <v>46007</v>
      </c>
      <c r="B133" s="4" t="s">
        <v>299</v>
      </c>
      <c r="C133" s="4" t="s">
        <v>79</v>
      </c>
      <c r="D133" s="59">
        <v>1200</v>
      </c>
      <c r="E133" s="4" t="s">
        <v>22</v>
      </c>
      <c r="F133" s="4" t="s">
        <v>249</v>
      </c>
      <c r="G133" s="18" t="s">
        <v>297</v>
      </c>
      <c r="H133" s="4" t="s">
        <v>80</v>
      </c>
      <c r="K133" s="4" t="s">
        <v>132</v>
      </c>
      <c r="L133" s="4" t="s">
        <v>98</v>
      </c>
      <c r="N133" s="13">
        <v>0</v>
      </c>
      <c r="O133" s="4">
        <f t="shared" si="4"/>
        <v>0</v>
      </c>
      <c r="P133" s="59">
        <f t="shared" si="5"/>
        <v>1200</v>
      </c>
      <c r="Q133" s="4" t="s">
        <v>97</v>
      </c>
      <c r="R133" s="4" t="s">
        <v>191</v>
      </c>
    </row>
    <row r="134" spans="1:18" s="5" customFormat="1" ht="22.5" customHeight="1" x14ac:dyDescent="0.25">
      <c r="A134" s="84">
        <v>46007</v>
      </c>
      <c r="B134" s="5" t="s">
        <v>300</v>
      </c>
      <c r="C134" s="5" t="s">
        <v>88</v>
      </c>
      <c r="D134" s="64">
        <v>4000</v>
      </c>
      <c r="E134" s="5" t="s">
        <v>26</v>
      </c>
      <c r="F134" s="5" t="s">
        <v>89</v>
      </c>
      <c r="G134" s="5" t="s">
        <v>297</v>
      </c>
      <c r="H134" s="5" t="s">
        <v>167</v>
      </c>
      <c r="K134" s="5" t="s">
        <v>95</v>
      </c>
      <c r="L134" s="5" t="s">
        <v>86</v>
      </c>
      <c r="M134" s="5" t="s">
        <v>301</v>
      </c>
      <c r="N134" s="23">
        <v>15</v>
      </c>
      <c r="O134" s="5">
        <f t="shared" si="4"/>
        <v>600</v>
      </c>
      <c r="P134" s="64">
        <f t="shared" si="5"/>
        <v>4600</v>
      </c>
      <c r="Q134" s="5" t="s">
        <v>91</v>
      </c>
      <c r="R134" s="5" t="s">
        <v>230</v>
      </c>
    </row>
    <row r="135" spans="1:18" ht="22.5" customHeight="1" x14ac:dyDescent="0.25">
      <c r="A135" s="76">
        <v>46008</v>
      </c>
      <c r="B135" s="4" t="s">
        <v>257</v>
      </c>
      <c r="C135" s="4" t="s">
        <v>79</v>
      </c>
      <c r="D135" s="59">
        <v>21.6</v>
      </c>
      <c r="E135" s="4" t="s">
        <v>22</v>
      </c>
      <c r="F135" s="4" t="s">
        <v>115</v>
      </c>
      <c r="G135" s="18" t="s">
        <v>297</v>
      </c>
      <c r="H135" s="4" t="s">
        <v>115</v>
      </c>
      <c r="K135" s="4" t="s">
        <v>99</v>
      </c>
      <c r="L135" s="4" t="s">
        <v>98</v>
      </c>
      <c r="N135" s="13">
        <v>15</v>
      </c>
      <c r="O135" s="4">
        <f t="shared" si="4"/>
        <v>3.24</v>
      </c>
      <c r="P135" s="59">
        <f t="shared" si="5"/>
        <v>24.840000000000003</v>
      </c>
      <c r="Q135" s="4" t="s">
        <v>97</v>
      </c>
      <c r="R135" s="4" t="s">
        <v>191</v>
      </c>
    </row>
    <row r="136" spans="1:18" ht="22.5" customHeight="1" x14ac:dyDescent="0.25">
      <c r="A136" s="76">
        <v>46008</v>
      </c>
      <c r="B136" s="4" t="s">
        <v>75</v>
      </c>
      <c r="C136" s="4" t="s">
        <v>79</v>
      </c>
      <c r="D136" s="59">
        <v>40</v>
      </c>
      <c r="E136" s="4" t="s">
        <v>22</v>
      </c>
      <c r="F136" s="4" t="s">
        <v>57</v>
      </c>
      <c r="G136" s="18" t="s">
        <v>297</v>
      </c>
      <c r="H136" s="4" t="s">
        <v>81</v>
      </c>
      <c r="K136" s="4" t="s">
        <v>99</v>
      </c>
      <c r="L136" s="4" t="s">
        <v>98</v>
      </c>
      <c r="N136" s="13">
        <v>15</v>
      </c>
      <c r="O136" s="4">
        <f t="shared" si="4"/>
        <v>6</v>
      </c>
      <c r="P136" s="59">
        <f t="shared" si="5"/>
        <v>46</v>
      </c>
      <c r="Q136" s="4" t="s">
        <v>97</v>
      </c>
      <c r="R136" s="4" t="s">
        <v>191</v>
      </c>
    </row>
    <row r="137" spans="1:18" ht="22.5" customHeight="1" x14ac:dyDescent="0.25">
      <c r="A137" s="76">
        <v>46008</v>
      </c>
      <c r="B137" s="4" t="s">
        <v>302</v>
      </c>
      <c r="C137" s="4" t="s">
        <v>79</v>
      </c>
      <c r="D137" s="59">
        <v>15</v>
      </c>
      <c r="E137" s="4" t="s">
        <v>22</v>
      </c>
      <c r="F137" s="4" t="s">
        <v>166</v>
      </c>
      <c r="G137" s="18" t="s">
        <v>297</v>
      </c>
      <c r="H137" s="4" t="s">
        <v>80</v>
      </c>
      <c r="K137" s="4" t="s">
        <v>303</v>
      </c>
      <c r="L137" s="4" t="s">
        <v>98</v>
      </c>
      <c r="N137" s="13">
        <v>0</v>
      </c>
      <c r="O137" s="4">
        <f t="shared" si="4"/>
        <v>0</v>
      </c>
      <c r="P137" s="59">
        <f t="shared" si="5"/>
        <v>15</v>
      </c>
      <c r="Q137" s="4" t="s">
        <v>97</v>
      </c>
      <c r="R137" s="4" t="s">
        <v>191</v>
      </c>
    </row>
    <row r="138" spans="1:18" ht="22.5" customHeight="1" x14ac:dyDescent="0.25">
      <c r="A138" s="76">
        <v>46008</v>
      </c>
      <c r="B138" s="4" t="s">
        <v>304</v>
      </c>
      <c r="C138" s="4" t="s">
        <v>79</v>
      </c>
      <c r="D138" s="59">
        <v>28</v>
      </c>
      <c r="E138" s="4" t="s">
        <v>22</v>
      </c>
      <c r="F138" s="4" t="s">
        <v>166</v>
      </c>
      <c r="H138" s="4" t="s">
        <v>80</v>
      </c>
      <c r="K138" s="4" t="s">
        <v>99</v>
      </c>
      <c r="L138" s="4" t="s">
        <v>98</v>
      </c>
      <c r="N138" s="13">
        <v>0</v>
      </c>
      <c r="O138" s="4">
        <f t="shared" ref="O138:O201" si="6">IF(OR(D138="", N138=""), "", ROUND(D138 * N138 / 100, 2))</f>
        <v>0</v>
      </c>
      <c r="P138" s="59">
        <f t="shared" ref="P138:P201" si="7">IF(D138="", "", D138 + O138)</f>
        <v>28</v>
      </c>
      <c r="Q138" s="4" t="s">
        <v>97</v>
      </c>
      <c r="R138" s="4" t="s">
        <v>137</v>
      </c>
    </row>
    <row r="139" spans="1:18" ht="22.5" customHeight="1" x14ac:dyDescent="0.25">
      <c r="A139" s="76">
        <v>46009</v>
      </c>
      <c r="B139" s="4" t="s">
        <v>186</v>
      </c>
      <c r="C139" s="4" t="s">
        <v>79</v>
      </c>
      <c r="D139" s="59">
        <v>217.3</v>
      </c>
      <c r="E139" s="4" t="s">
        <v>22</v>
      </c>
      <c r="F139" s="4" t="s">
        <v>115</v>
      </c>
      <c r="H139" s="4" t="s">
        <v>115</v>
      </c>
      <c r="K139" s="4" t="s">
        <v>99</v>
      </c>
      <c r="L139" s="4" t="s">
        <v>98</v>
      </c>
      <c r="N139" s="13">
        <v>15</v>
      </c>
      <c r="O139" s="4">
        <f t="shared" si="6"/>
        <v>32.6</v>
      </c>
      <c r="P139" s="59">
        <f t="shared" si="7"/>
        <v>249.9</v>
      </c>
      <c r="Q139" s="4" t="s">
        <v>97</v>
      </c>
      <c r="R139" s="4" t="s">
        <v>137</v>
      </c>
    </row>
    <row r="140" spans="1:18" ht="22.5" customHeight="1" x14ac:dyDescent="0.25">
      <c r="A140" s="76">
        <v>46009</v>
      </c>
      <c r="B140" s="4" t="s">
        <v>305</v>
      </c>
      <c r="C140" s="4" t="s">
        <v>79</v>
      </c>
      <c r="D140" s="59">
        <v>188</v>
      </c>
      <c r="E140" s="4" t="s">
        <v>22</v>
      </c>
      <c r="F140" s="4" t="s">
        <v>25</v>
      </c>
      <c r="H140" s="4" t="s">
        <v>196</v>
      </c>
      <c r="K140" s="4" t="s">
        <v>162</v>
      </c>
      <c r="L140" s="4" t="s">
        <v>163</v>
      </c>
      <c r="N140" s="13">
        <v>0</v>
      </c>
      <c r="O140" s="4">
        <f t="shared" si="6"/>
        <v>0</v>
      </c>
      <c r="P140" s="59">
        <f t="shared" si="7"/>
        <v>188</v>
      </c>
      <c r="Q140" s="4" t="s">
        <v>97</v>
      </c>
      <c r="R140" s="4" t="s">
        <v>232</v>
      </c>
    </row>
    <row r="141" spans="1:18" ht="22.5" customHeight="1" x14ac:dyDescent="0.25">
      <c r="A141" s="76">
        <v>46009</v>
      </c>
      <c r="B141" s="4" t="s">
        <v>306</v>
      </c>
      <c r="C141" s="4" t="s">
        <v>79</v>
      </c>
      <c r="D141" s="59">
        <v>2000</v>
      </c>
      <c r="E141" s="21" t="s">
        <v>29</v>
      </c>
      <c r="F141" s="21" t="s">
        <v>29</v>
      </c>
      <c r="H141" s="4" t="s">
        <v>22</v>
      </c>
      <c r="K141" s="4" t="s">
        <v>307</v>
      </c>
      <c r="L141" s="4" t="s">
        <v>154</v>
      </c>
      <c r="N141" s="13">
        <v>0</v>
      </c>
      <c r="O141" s="4">
        <f t="shared" si="6"/>
        <v>0</v>
      </c>
      <c r="P141" s="59">
        <f t="shared" si="7"/>
        <v>2000</v>
      </c>
      <c r="Q141" s="4" t="s">
        <v>97</v>
      </c>
      <c r="R141" s="4" t="s">
        <v>308</v>
      </c>
    </row>
    <row r="142" spans="1:18" ht="22.5" customHeight="1" x14ac:dyDescent="0.25">
      <c r="A142" s="76">
        <v>46009</v>
      </c>
      <c r="B142" s="4" t="s">
        <v>161</v>
      </c>
      <c r="C142" s="4" t="s">
        <v>79</v>
      </c>
      <c r="D142" s="59">
        <v>2358</v>
      </c>
      <c r="E142" s="4" t="s">
        <v>22</v>
      </c>
      <c r="F142" s="4" t="s">
        <v>25</v>
      </c>
      <c r="H142" s="4" t="s">
        <v>196</v>
      </c>
      <c r="K142" s="4" t="s">
        <v>162</v>
      </c>
      <c r="L142" s="4" t="s">
        <v>163</v>
      </c>
      <c r="N142" s="13">
        <v>0</v>
      </c>
      <c r="O142" s="4">
        <f t="shared" si="6"/>
        <v>0</v>
      </c>
      <c r="P142" s="59">
        <f t="shared" si="7"/>
        <v>2358</v>
      </c>
      <c r="Q142" s="4" t="s">
        <v>97</v>
      </c>
      <c r="R142" s="4" t="s">
        <v>232</v>
      </c>
    </row>
    <row r="143" spans="1:18" ht="22.5" customHeight="1" x14ac:dyDescent="0.25">
      <c r="A143" s="76">
        <v>46009</v>
      </c>
      <c r="B143" s="4" t="s">
        <v>309</v>
      </c>
      <c r="C143" s="4" t="s">
        <v>79</v>
      </c>
      <c r="D143" s="59">
        <v>6806</v>
      </c>
      <c r="E143" s="4" t="s">
        <v>29</v>
      </c>
      <c r="F143" s="4" t="s">
        <v>29</v>
      </c>
      <c r="H143" s="4" t="s">
        <v>22</v>
      </c>
      <c r="K143" s="4" t="s">
        <v>153</v>
      </c>
      <c r="L143" s="4" t="s">
        <v>154</v>
      </c>
      <c r="N143" s="13">
        <v>0</v>
      </c>
      <c r="O143" s="4">
        <f t="shared" si="6"/>
        <v>0</v>
      </c>
      <c r="P143" s="59">
        <f t="shared" si="7"/>
        <v>6806</v>
      </c>
      <c r="Q143" s="4" t="s">
        <v>97</v>
      </c>
      <c r="R143" s="4" t="s">
        <v>308</v>
      </c>
    </row>
    <row r="144" spans="1:18" s="27" customFormat="1" ht="22.5" customHeight="1" x14ac:dyDescent="0.25">
      <c r="A144" s="76">
        <v>46009</v>
      </c>
      <c r="B144" s="27" t="s">
        <v>396</v>
      </c>
      <c r="C144" s="27" t="s">
        <v>79</v>
      </c>
      <c r="D144" s="61">
        <v>500</v>
      </c>
      <c r="E144" s="27" t="s">
        <v>22</v>
      </c>
      <c r="F144" s="27" t="s">
        <v>58</v>
      </c>
      <c r="G144" s="44"/>
      <c r="H144" s="27" t="s">
        <v>183</v>
      </c>
      <c r="K144" s="27" t="s">
        <v>171</v>
      </c>
      <c r="L144" s="27" t="s">
        <v>98</v>
      </c>
      <c r="N144" s="32">
        <v>0</v>
      </c>
      <c r="O144" s="27">
        <f t="shared" si="6"/>
        <v>0</v>
      </c>
      <c r="P144" s="61">
        <f t="shared" si="7"/>
        <v>500</v>
      </c>
      <c r="Q144" s="27" t="s">
        <v>97</v>
      </c>
      <c r="R144" s="27" t="s">
        <v>397</v>
      </c>
    </row>
    <row r="145" spans="1:18" s="6" customFormat="1" ht="22.5" customHeight="1" x14ac:dyDescent="0.25">
      <c r="A145" s="83">
        <v>46009</v>
      </c>
      <c r="B145" s="6" t="s">
        <v>310</v>
      </c>
      <c r="C145" s="6" t="s">
        <v>88</v>
      </c>
      <c r="D145" s="60">
        <v>750</v>
      </c>
      <c r="E145" s="6" t="s">
        <v>22</v>
      </c>
      <c r="F145" s="6" t="s">
        <v>89</v>
      </c>
      <c r="G145" s="31" t="s">
        <v>311</v>
      </c>
      <c r="H145" s="6" t="s">
        <v>167</v>
      </c>
      <c r="K145" s="6" t="s">
        <v>124</v>
      </c>
      <c r="L145" s="6" t="s">
        <v>86</v>
      </c>
      <c r="N145" s="14">
        <v>15</v>
      </c>
      <c r="O145" s="6">
        <f t="shared" si="6"/>
        <v>112.5</v>
      </c>
      <c r="P145" s="60">
        <f t="shared" si="7"/>
        <v>862.5</v>
      </c>
      <c r="Q145" s="6" t="s">
        <v>97</v>
      </c>
      <c r="R145" s="6" t="s">
        <v>100</v>
      </c>
    </row>
    <row r="146" spans="1:18" ht="22.5" customHeight="1" x14ac:dyDescent="0.25">
      <c r="A146" s="76">
        <v>46009</v>
      </c>
      <c r="B146" s="4" t="s">
        <v>312</v>
      </c>
      <c r="C146" s="4" t="s">
        <v>79</v>
      </c>
      <c r="D146" s="59">
        <v>300</v>
      </c>
      <c r="E146" s="4" t="s">
        <v>22</v>
      </c>
      <c r="F146" s="4" t="s">
        <v>166</v>
      </c>
      <c r="G146" s="18" t="s">
        <v>311</v>
      </c>
      <c r="H146" s="4" t="s">
        <v>80</v>
      </c>
      <c r="K146" s="4" t="s">
        <v>99</v>
      </c>
      <c r="L146" s="4" t="s">
        <v>98</v>
      </c>
      <c r="N146" s="13">
        <v>15</v>
      </c>
      <c r="O146" s="4">
        <f t="shared" si="6"/>
        <v>45</v>
      </c>
      <c r="P146" s="59">
        <f t="shared" si="7"/>
        <v>345</v>
      </c>
      <c r="Q146" s="4" t="s">
        <v>97</v>
      </c>
      <c r="R146" s="4" t="s">
        <v>191</v>
      </c>
    </row>
    <row r="147" spans="1:18" s="5" customFormat="1" ht="22.5" customHeight="1" x14ac:dyDescent="0.25">
      <c r="A147" s="84">
        <v>46011</v>
      </c>
      <c r="B147" s="5" t="s">
        <v>313</v>
      </c>
      <c r="C147" s="5" t="s">
        <v>88</v>
      </c>
      <c r="D147" s="64">
        <v>3600</v>
      </c>
      <c r="E147" s="5" t="s">
        <v>26</v>
      </c>
      <c r="F147" s="5" t="s">
        <v>89</v>
      </c>
      <c r="G147" s="5" t="s">
        <v>247</v>
      </c>
      <c r="H147" s="5" t="s">
        <v>167</v>
      </c>
      <c r="K147" s="5" t="s">
        <v>314</v>
      </c>
      <c r="L147" s="5" t="s">
        <v>86</v>
      </c>
      <c r="M147" s="5" t="s">
        <v>320</v>
      </c>
      <c r="N147" s="23">
        <v>15</v>
      </c>
      <c r="O147" s="5">
        <f t="shared" si="6"/>
        <v>540</v>
      </c>
      <c r="P147" s="64">
        <f t="shared" si="7"/>
        <v>4140</v>
      </c>
      <c r="Q147" s="5" t="s">
        <v>91</v>
      </c>
      <c r="R147" s="5" t="s">
        <v>230</v>
      </c>
    </row>
    <row r="148" spans="1:18" ht="22.5" customHeight="1" x14ac:dyDescent="0.25">
      <c r="A148" s="76">
        <v>46012</v>
      </c>
      <c r="B148" s="29" t="s">
        <v>317</v>
      </c>
      <c r="C148" s="4" t="s">
        <v>79</v>
      </c>
      <c r="D148" s="59">
        <v>1500</v>
      </c>
      <c r="E148" s="4" t="s">
        <v>22</v>
      </c>
      <c r="F148" s="4" t="s">
        <v>249</v>
      </c>
      <c r="G148" s="47" t="s">
        <v>218</v>
      </c>
      <c r="H148" s="4" t="s">
        <v>183</v>
      </c>
      <c r="K148" s="4" t="s">
        <v>132</v>
      </c>
      <c r="L148" s="4" t="s">
        <v>98</v>
      </c>
      <c r="N148" s="13">
        <v>0</v>
      </c>
      <c r="O148" s="4">
        <f t="shared" si="6"/>
        <v>0</v>
      </c>
      <c r="P148" s="59">
        <f t="shared" si="7"/>
        <v>1500</v>
      </c>
      <c r="Q148" s="4" t="s">
        <v>97</v>
      </c>
      <c r="R148" s="4" t="s">
        <v>191</v>
      </c>
    </row>
    <row r="149" spans="1:18" ht="22.5" customHeight="1" x14ac:dyDescent="0.25">
      <c r="A149" s="76">
        <v>46012</v>
      </c>
      <c r="B149" s="4" t="s">
        <v>318</v>
      </c>
      <c r="C149" s="4" t="s">
        <v>79</v>
      </c>
      <c r="D149" s="59">
        <v>300</v>
      </c>
      <c r="E149" s="4" t="s">
        <v>22</v>
      </c>
      <c r="F149" s="4" t="s">
        <v>166</v>
      </c>
      <c r="G149" s="47" t="s">
        <v>218</v>
      </c>
      <c r="H149" s="4" t="s">
        <v>80</v>
      </c>
      <c r="K149" s="4" t="s">
        <v>99</v>
      </c>
      <c r="L149" s="4" t="s">
        <v>98</v>
      </c>
      <c r="N149" s="13">
        <v>15</v>
      </c>
      <c r="O149" s="4">
        <f t="shared" si="6"/>
        <v>45</v>
      </c>
      <c r="P149" s="59">
        <f t="shared" si="7"/>
        <v>345</v>
      </c>
      <c r="Q149" s="4" t="s">
        <v>97</v>
      </c>
      <c r="R149" s="4" t="s">
        <v>191</v>
      </c>
    </row>
    <row r="150" spans="1:18" ht="22.5" customHeight="1" x14ac:dyDescent="0.25">
      <c r="A150" s="76">
        <v>46012</v>
      </c>
      <c r="B150" s="4" t="s">
        <v>257</v>
      </c>
      <c r="C150" s="4" t="s">
        <v>79</v>
      </c>
      <c r="D150" s="59">
        <v>50</v>
      </c>
      <c r="E150" s="4" t="s">
        <v>22</v>
      </c>
      <c r="F150" s="4" t="s">
        <v>115</v>
      </c>
      <c r="G150" s="47" t="s">
        <v>218</v>
      </c>
      <c r="H150" s="4" t="s">
        <v>115</v>
      </c>
      <c r="K150" s="4" t="s">
        <v>99</v>
      </c>
      <c r="L150" s="4" t="s">
        <v>98</v>
      </c>
      <c r="N150" s="13">
        <v>15</v>
      </c>
      <c r="O150" s="4">
        <f t="shared" si="6"/>
        <v>7.5</v>
      </c>
      <c r="P150" s="59">
        <f t="shared" si="7"/>
        <v>57.5</v>
      </c>
      <c r="Q150" s="4" t="s">
        <v>97</v>
      </c>
      <c r="R150" s="4" t="s">
        <v>191</v>
      </c>
    </row>
    <row r="151" spans="1:18" ht="22.5" customHeight="1" x14ac:dyDescent="0.25">
      <c r="A151" s="76">
        <v>46012</v>
      </c>
      <c r="B151" s="4" t="s">
        <v>75</v>
      </c>
      <c r="C151" s="4" t="s">
        <v>79</v>
      </c>
      <c r="D151" s="59">
        <v>70</v>
      </c>
      <c r="E151" s="4" t="s">
        <v>22</v>
      </c>
      <c r="F151" s="4" t="s">
        <v>57</v>
      </c>
      <c r="G151" s="47" t="s">
        <v>218</v>
      </c>
      <c r="H151" s="4" t="s">
        <v>81</v>
      </c>
      <c r="K151" s="4" t="s">
        <v>99</v>
      </c>
      <c r="L151" s="4" t="s">
        <v>98</v>
      </c>
      <c r="N151" s="13">
        <v>0</v>
      </c>
      <c r="O151" s="4">
        <f t="shared" si="6"/>
        <v>0</v>
      </c>
      <c r="P151" s="59">
        <f t="shared" si="7"/>
        <v>70</v>
      </c>
      <c r="Q151" s="4" t="s">
        <v>97</v>
      </c>
      <c r="R151" s="4" t="s">
        <v>191</v>
      </c>
    </row>
    <row r="152" spans="1:18" s="5" customFormat="1" ht="22.5" customHeight="1" x14ac:dyDescent="0.25">
      <c r="A152" s="84">
        <v>46012</v>
      </c>
      <c r="B152" s="5" t="s">
        <v>319</v>
      </c>
      <c r="C152" s="5" t="s">
        <v>88</v>
      </c>
      <c r="D152" s="64">
        <v>8500</v>
      </c>
      <c r="E152" s="5" t="s">
        <v>26</v>
      </c>
      <c r="F152" s="5" t="s">
        <v>89</v>
      </c>
      <c r="G152" s="30" t="s">
        <v>218</v>
      </c>
      <c r="H152" s="5" t="s">
        <v>167</v>
      </c>
      <c r="K152" s="5" t="s">
        <v>314</v>
      </c>
      <c r="L152" s="5" t="s">
        <v>86</v>
      </c>
      <c r="M152" s="5" t="s">
        <v>219</v>
      </c>
      <c r="N152" s="23">
        <v>15</v>
      </c>
      <c r="O152" s="5">
        <f t="shared" si="6"/>
        <v>1275</v>
      </c>
      <c r="P152" s="64">
        <f t="shared" si="7"/>
        <v>9775</v>
      </c>
      <c r="Q152" s="5" t="s">
        <v>91</v>
      </c>
      <c r="R152" s="5" t="s">
        <v>230</v>
      </c>
    </row>
    <row r="153" spans="1:18" s="6" customFormat="1" ht="22.5" customHeight="1" x14ac:dyDescent="0.25">
      <c r="A153" s="83">
        <v>46012</v>
      </c>
      <c r="B153" s="6" t="s">
        <v>324</v>
      </c>
      <c r="C153" s="6" t="s">
        <v>88</v>
      </c>
      <c r="D153" s="60">
        <v>5000</v>
      </c>
      <c r="E153" s="6" t="s">
        <v>22</v>
      </c>
      <c r="F153" s="6" t="s">
        <v>89</v>
      </c>
      <c r="G153" s="31" t="s">
        <v>321</v>
      </c>
      <c r="H153" s="6" t="s">
        <v>167</v>
      </c>
      <c r="K153" s="6" t="s">
        <v>322</v>
      </c>
      <c r="L153" s="6" t="s">
        <v>86</v>
      </c>
      <c r="M153" s="6" t="s">
        <v>323</v>
      </c>
      <c r="N153" s="14">
        <v>15</v>
      </c>
      <c r="O153" s="6">
        <f t="shared" si="6"/>
        <v>750</v>
      </c>
      <c r="P153" s="60">
        <f t="shared" si="7"/>
        <v>5750</v>
      </c>
      <c r="Q153" s="6" t="s">
        <v>97</v>
      </c>
      <c r="R153" s="6" t="s">
        <v>100</v>
      </c>
    </row>
    <row r="154" spans="1:18" ht="22.5" customHeight="1" x14ac:dyDescent="0.25">
      <c r="A154" s="76">
        <v>46013</v>
      </c>
      <c r="B154" s="4" t="s">
        <v>186</v>
      </c>
      <c r="C154" s="4" t="s">
        <v>79</v>
      </c>
      <c r="D154" s="59">
        <v>173.9</v>
      </c>
      <c r="E154" s="4" t="s">
        <v>22</v>
      </c>
      <c r="F154" s="4" t="s">
        <v>115</v>
      </c>
      <c r="H154" s="4" t="s">
        <v>115</v>
      </c>
      <c r="K154" s="4" t="s">
        <v>99</v>
      </c>
      <c r="L154" s="4" t="s">
        <v>98</v>
      </c>
      <c r="N154" s="13">
        <v>15</v>
      </c>
      <c r="O154" s="4">
        <f t="shared" si="6"/>
        <v>26.09</v>
      </c>
      <c r="P154" s="59">
        <f t="shared" si="7"/>
        <v>199.99</v>
      </c>
      <c r="Q154" s="4" t="s">
        <v>97</v>
      </c>
      <c r="R154" s="4" t="s">
        <v>137</v>
      </c>
    </row>
    <row r="155" spans="1:18" ht="22.5" customHeight="1" x14ac:dyDescent="0.25">
      <c r="A155" s="76">
        <v>46013</v>
      </c>
      <c r="B155" s="4" t="s">
        <v>75</v>
      </c>
      <c r="C155" s="4" t="s">
        <v>79</v>
      </c>
      <c r="D155" s="59">
        <v>19.13</v>
      </c>
      <c r="E155" s="4" t="s">
        <v>22</v>
      </c>
      <c r="F155" s="4" t="s">
        <v>57</v>
      </c>
      <c r="H155" s="4" t="s">
        <v>81</v>
      </c>
      <c r="K155" s="4" t="s">
        <v>99</v>
      </c>
      <c r="L155" s="4" t="s">
        <v>98</v>
      </c>
      <c r="N155" s="13">
        <v>15</v>
      </c>
      <c r="O155" s="4">
        <f t="shared" si="6"/>
        <v>2.87</v>
      </c>
      <c r="P155" s="59">
        <f t="shared" si="7"/>
        <v>22</v>
      </c>
      <c r="Q155" s="4" t="s">
        <v>97</v>
      </c>
      <c r="R155" s="4" t="s">
        <v>137</v>
      </c>
    </row>
    <row r="156" spans="1:18" ht="22.5" customHeight="1" x14ac:dyDescent="0.25">
      <c r="A156" s="76">
        <v>46013</v>
      </c>
      <c r="B156" s="4" t="s">
        <v>325</v>
      </c>
      <c r="C156" s="4" t="s">
        <v>79</v>
      </c>
      <c r="D156" s="59">
        <v>3373.9</v>
      </c>
      <c r="E156" s="4" t="s">
        <v>22</v>
      </c>
      <c r="F156" s="4" t="s">
        <v>203</v>
      </c>
      <c r="H156" s="4" t="s">
        <v>206</v>
      </c>
      <c r="K156" s="4" t="s">
        <v>99</v>
      </c>
      <c r="L156" s="4" t="s">
        <v>98</v>
      </c>
      <c r="N156" s="13">
        <v>15</v>
      </c>
      <c r="O156" s="4">
        <f t="shared" si="6"/>
        <v>506.09</v>
      </c>
      <c r="P156" s="59">
        <f t="shared" si="7"/>
        <v>3879.9900000000002</v>
      </c>
      <c r="Q156" s="4" t="s">
        <v>97</v>
      </c>
      <c r="R156" s="4" t="s">
        <v>137</v>
      </c>
    </row>
    <row r="157" spans="1:18" ht="22.5" customHeight="1" x14ac:dyDescent="0.25">
      <c r="A157" s="76">
        <v>46013</v>
      </c>
      <c r="B157" s="4" t="s">
        <v>309</v>
      </c>
      <c r="C157" s="4" t="s">
        <v>79</v>
      </c>
      <c r="D157" s="59">
        <v>2500</v>
      </c>
      <c r="E157" s="4" t="s">
        <v>29</v>
      </c>
      <c r="F157" s="4" t="s">
        <v>29</v>
      </c>
      <c r="H157" s="4" t="s">
        <v>22</v>
      </c>
      <c r="K157" s="4" t="s">
        <v>153</v>
      </c>
      <c r="L157" s="4" t="s">
        <v>154</v>
      </c>
      <c r="N157" s="13">
        <v>0</v>
      </c>
      <c r="O157" s="4">
        <f t="shared" si="6"/>
        <v>0</v>
      </c>
      <c r="P157" s="59">
        <f t="shared" si="7"/>
        <v>2500</v>
      </c>
      <c r="Q157" s="4" t="s">
        <v>97</v>
      </c>
      <c r="R157" s="4" t="s">
        <v>308</v>
      </c>
    </row>
    <row r="158" spans="1:18" ht="22.5" customHeight="1" x14ac:dyDescent="0.25">
      <c r="A158" s="76">
        <v>46014</v>
      </c>
      <c r="B158" s="4" t="s">
        <v>75</v>
      </c>
      <c r="C158" s="4" t="s">
        <v>79</v>
      </c>
      <c r="D158" s="59">
        <v>10.43</v>
      </c>
      <c r="E158" s="4" t="s">
        <v>22</v>
      </c>
      <c r="F158" s="4" t="s">
        <v>57</v>
      </c>
      <c r="H158" s="4" t="s">
        <v>81</v>
      </c>
      <c r="K158" s="4" t="s">
        <v>99</v>
      </c>
      <c r="L158" s="4" t="s">
        <v>98</v>
      </c>
      <c r="N158" s="13">
        <v>15</v>
      </c>
      <c r="O158" s="4">
        <f t="shared" si="6"/>
        <v>1.56</v>
      </c>
      <c r="P158" s="59">
        <f t="shared" si="7"/>
        <v>11.99</v>
      </c>
      <c r="Q158" s="4" t="s">
        <v>97</v>
      </c>
      <c r="R158" s="4" t="s">
        <v>137</v>
      </c>
    </row>
    <row r="159" spans="1:18" ht="22.5" customHeight="1" x14ac:dyDescent="0.25">
      <c r="A159" s="76">
        <v>46014</v>
      </c>
      <c r="B159" s="4" t="s">
        <v>257</v>
      </c>
      <c r="C159" s="4" t="s">
        <v>79</v>
      </c>
      <c r="D159" s="59">
        <v>39.14</v>
      </c>
      <c r="E159" s="4" t="s">
        <v>22</v>
      </c>
      <c r="F159" s="4" t="s">
        <v>115</v>
      </c>
      <c r="H159" s="4" t="s">
        <v>115</v>
      </c>
      <c r="K159" s="4" t="s">
        <v>99</v>
      </c>
      <c r="L159" s="4" t="s">
        <v>98</v>
      </c>
      <c r="N159" s="13">
        <v>15</v>
      </c>
      <c r="O159" s="4">
        <f t="shared" si="6"/>
        <v>5.87</v>
      </c>
      <c r="P159" s="59">
        <f t="shared" si="7"/>
        <v>45.01</v>
      </c>
      <c r="Q159" s="4" t="s">
        <v>97</v>
      </c>
      <c r="R159" s="4" t="s">
        <v>137</v>
      </c>
    </row>
    <row r="160" spans="1:18" ht="22.5" customHeight="1" x14ac:dyDescent="0.25">
      <c r="A160" s="76">
        <v>46014</v>
      </c>
      <c r="B160" s="4" t="s">
        <v>327</v>
      </c>
      <c r="C160" s="4" t="s">
        <v>79</v>
      </c>
      <c r="D160" s="59">
        <v>55</v>
      </c>
      <c r="E160" s="4" t="s">
        <v>22</v>
      </c>
      <c r="F160" s="4" t="s">
        <v>166</v>
      </c>
      <c r="H160" s="4" t="s">
        <v>80</v>
      </c>
      <c r="K160" s="4" t="s">
        <v>99</v>
      </c>
      <c r="L160" s="4" t="s">
        <v>98</v>
      </c>
      <c r="N160" s="13">
        <v>0</v>
      </c>
      <c r="O160" s="4">
        <f t="shared" si="6"/>
        <v>0</v>
      </c>
      <c r="P160" s="59">
        <f t="shared" si="7"/>
        <v>55</v>
      </c>
      <c r="Q160" s="4" t="s">
        <v>97</v>
      </c>
      <c r="R160" s="4" t="s">
        <v>137</v>
      </c>
    </row>
    <row r="161" spans="1:18" ht="22.5" customHeight="1" x14ac:dyDescent="0.25">
      <c r="A161" s="76">
        <v>46015</v>
      </c>
      <c r="B161" s="4" t="s">
        <v>328</v>
      </c>
      <c r="C161" s="4" t="s">
        <v>79</v>
      </c>
      <c r="D161" s="59">
        <v>20</v>
      </c>
      <c r="E161" s="4" t="s">
        <v>22</v>
      </c>
      <c r="F161" s="4" t="s">
        <v>166</v>
      </c>
      <c r="G161" s="47" t="s">
        <v>218</v>
      </c>
      <c r="H161" s="4" t="s">
        <v>80</v>
      </c>
      <c r="K161" s="4" t="s">
        <v>99</v>
      </c>
      <c r="L161" s="4" t="s">
        <v>98</v>
      </c>
      <c r="N161" s="13">
        <v>15</v>
      </c>
      <c r="O161" s="4">
        <f t="shared" si="6"/>
        <v>3</v>
      </c>
      <c r="P161" s="59">
        <f t="shared" si="7"/>
        <v>23</v>
      </c>
      <c r="Q161" s="4" t="s">
        <v>97</v>
      </c>
      <c r="R161" s="4" t="s">
        <v>212</v>
      </c>
    </row>
    <row r="162" spans="1:18" ht="22.5" customHeight="1" x14ac:dyDescent="0.25">
      <c r="A162" s="76">
        <v>46016</v>
      </c>
      <c r="B162" s="4" t="s">
        <v>257</v>
      </c>
      <c r="C162" s="4" t="s">
        <v>79</v>
      </c>
      <c r="D162" s="59">
        <v>86.9</v>
      </c>
      <c r="E162" s="4" t="s">
        <v>22</v>
      </c>
      <c r="F162" s="4" t="s">
        <v>115</v>
      </c>
      <c r="G162" s="47" t="s">
        <v>218</v>
      </c>
      <c r="H162" s="4" t="s">
        <v>115</v>
      </c>
      <c r="K162" s="4" t="s">
        <v>99</v>
      </c>
      <c r="L162" s="4" t="s">
        <v>98</v>
      </c>
      <c r="N162" s="13">
        <v>15</v>
      </c>
      <c r="O162" s="4">
        <f t="shared" si="6"/>
        <v>13.04</v>
      </c>
      <c r="P162" s="59">
        <f t="shared" si="7"/>
        <v>99.94</v>
      </c>
      <c r="Q162" s="4" t="s">
        <v>97</v>
      </c>
      <c r="R162" s="4" t="s">
        <v>212</v>
      </c>
    </row>
    <row r="163" spans="1:18" ht="22.5" customHeight="1" x14ac:dyDescent="0.25">
      <c r="A163" s="76">
        <v>46016</v>
      </c>
      <c r="B163" s="4" t="s">
        <v>75</v>
      </c>
      <c r="C163" s="4" t="s">
        <v>79</v>
      </c>
      <c r="D163" s="59">
        <v>101</v>
      </c>
      <c r="E163" s="4" t="s">
        <v>22</v>
      </c>
      <c r="F163" s="4" t="s">
        <v>57</v>
      </c>
      <c r="G163" s="47" t="s">
        <v>218</v>
      </c>
      <c r="H163" s="4" t="s">
        <v>81</v>
      </c>
      <c r="K163" s="4" t="s">
        <v>99</v>
      </c>
      <c r="L163" s="4" t="s">
        <v>98</v>
      </c>
      <c r="N163" s="13">
        <v>0</v>
      </c>
      <c r="O163" s="4">
        <f t="shared" si="6"/>
        <v>0</v>
      </c>
      <c r="P163" s="59">
        <f t="shared" si="7"/>
        <v>101</v>
      </c>
      <c r="Q163" s="4" t="s">
        <v>97</v>
      </c>
      <c r="R163" s="4" t="s">
        <v>212</v>
      </c>
    </row>
    <row r="164" spans="1:18" ht="22.5" customHeight="1" x14ac:dyDescent="0.25">
      <c r="A164" s="76">
        <v>46016</v>
      </c>
      <c r="B164" s="4" t="s">
        <v>329</v>
      </c>
      <c r="C164" s="4" t="s">
        <v>79</v>
      </c>
      <c r="D164" s="59">
        <v>15</v>
      </c>
      <c r="E164" s="4" t="s">
        <v>22</v>
      </c>
      <c r="F164" s="4" t="s">
        <v>166</v>
      </c>
      <c r="G164" s="47" t="s">
        <v>218</v>
      </c>
      <c r="H164" s="4" t="s">
        <v>80</v>
      </c>
      <c r="K164" s="4" t="s">
        <v>99</v>
      </c>
      <c r="L164" s="4" t="s">
        <v>98</v>
      </c>
      <c r="N164" s="13">
        <v>0</v>
      </c>
      <c r="O164" s="4">
        <f t="shared" si="6"/>
        <v>0</v>
      </c>
      <c r="P164" s="59">
        <f t="shared" si="7"/>
        <v>15</v>
      </c>
      <c r="Q164" s="4" t="s">
        <v>97</v>
      </c>
      <c r="R164" s="4" t="s">
        <v>212</v>
      </c>
    </row>
    <row r="165" spans="1:18" ht="22.5" customHeight="1" x14ac:dyDescent="0.25">
      <c r="A165" s="76">
        <v>46018</v>
      </c>
      <c r="B165" s="4" t="s">
        <v>330</v>
      </c>
      <c r="C165" s="4" t="s">
        <v>79</v>
      </c>
      <c r="D165" s="59">
        <v>100</v>
      </c>
      <c r="E165" s="4" t="s">
        <v>22</v>
      </c>
      <c r="F165" s="4" t="s">
        <v>59</v>
      </c>
      <c r="H165" s="4" t="s">
        <v>59</v>
      </c>
      <c r="K165" s="4" t="s">
        <v>231</v>
      </c>
      <c r="L165" s="4" t="s">
        <v>98</v>
      </c>
      <c r="N165" s="13">
        <v>0</v>
      </c>
      <c r="O165" s="4">
        <f t="shared" si="6"/>
        <v>0</v>
      </c>
      <c r="P165" s="59">
        <f t="shared" si="7"/>
        <v>100</v>
      </c>
      <c r="Q165" s="4" t="s">
        <v>97</v>
      </c>
      <c r="R165" s="4" t="s">
        <v>137</v>
      </c>
    </row>
    <row r="166" spans="1:18" ht="22.5" customHeight="1" x14ac:dyDescent="0.25">
      <c r="A166" s="76">
        <v>46018</v>
      </c>
      <c r="B166" s="4" t="s">
        <v>331</v>
      </c>
      <c r="C166" s="4" t="s">
        <v>79</v>
      </c>
      <c r="D166" s="59">
        <v>86.9</v>
      </c>
      <c r="E166" s="4" t="s">
        <v>22</v>
      </c>
      <c r="F166" s="4" t="s">
        <v>115</v>
      </c>
      <c r="H166" s="4" t="s">
        <v>115</v>
      </c>
      <c r="K166" s="4" t="s">
        <v>99</v>
      </c>
      <c r="L166" s="4" t="s">
        <v>98</v>
      </c>
      <c r="N166" s="13">
        <v>15</v>
      </c>
      <c r="O166" s="4">
        <f t="shared" si="6"/>
        <v>13.04</v>
      </c>
      <c r="P166" s="59">
        <f t="shared" si="7"/>
        <v>99.94</v>
      </c>
      <c r="Q166" s="4" t="s">
        <v>97</v>
      </c>
      <c r="R166" s="4" t="s">
        <v>137</v>
      </c>
    </row>
    <row r="167" spans="1:18" ht="22.5" customHeight="1" x14ac:dyDescent="0.25">
      <c r="A167" s="76">
        <v>46019</v>
      </c>
      <c r="B167" s="4" t="s">
        <v>186</v>
      </c>
      <c r="C167" s="4" t="s">
        <v>79</v>
      </c>
      <c r="D167" s="59">
        <v>173</v>
      </c>
      <c r="E167" s="4" t="s">
        <v>22</v>
      </c>
      <c r="F167" s="4" t="s">
        <v>115</v>
      </c>
      <c r="H167" s="4" t="s">
        <v>115</v>
      </c>
      <c r="K167" s="4" t="s">
        <v>99</v>
      </c>
      <c r="L167" s="4" t="s">
        <v>98</v>
      </c>
      <c r="N167" s="13">
        <v>15</v>
      </c>
      <c r="O167" s="4">
        <f t="shared" si="6"/>
        <v>25.95</v>
      </c>
      <c r="P167" s="59">
        <f t="shared" si="7"/>
        <v>198.95</v>
      </c>
      <c r="Q167" s="4" t="s">
        <v>97</v>
      </c>
      <c r="R167" s="4" t="s">
        <v>137</v>
      </c>
    </row>
    <row r="168" spans="1:18" ht="22.5" customHeight="1" x14ac:dyDescent="0.25">
      <c r="A168" s="76">
        <v>46019</v>
      </c>
      <c r="B168" s="4" t="s">
        <v>75</v>
      </c>
      <c r="C168" s="4" t="s">
        <v>79</v>
      </c>
      <c r="D168" s="59">
        <v>11</v>
      </c>
      <c r="E168" s="4" t="s">
        <v>22</v>
      </c>
      <c r="F168" s="4" t="s">
        <v>57</v>
      </c>
      <c r="H168" s="4" t="s">
        <v>81</v>
      </c>
      <c r="K168" s="4" t="s">
        <v>99</v>
      </c>
      <c r="L168" s="4" t="s">
        <v>98</v>
      </c>
      <c r="N168" s="13">
        <v>15</v>
      </c>
      <c r="O168" s="4">
        <f t="shared" si="6"/>
        <v>1.65</v>
      </c>
      <c r="P168" s="59">
        <f t="shared" si="7"/>
        <v>12.65</v>
      </c>
      <c r="Q168" s="4" t="s">
        <v>97</v>
      </c>
      <c r="R168" s="4" t="s">
        <v>137</v>
      </c>
    </row>
    <row r="169" spans="1:18" ht="22.5" customHeight="1" x14ac:dyDescent="0.25">
      <c r="A169" s="76">
        <v>46019</v>
      </c>
      <c r="B169" s="4" t="s">
        <v>332</v>
      </c>
      <c r="C169" s="4" t="s">
        <v>79</v>
      </c>
      <c r="D169" s="59">
        <v>4000</v>
      </c>
      <c r="E169" s="4" t="s">
        <v>26</v>
      </c>
      <c r="F169" s="4" t="s">
        <v>89</v>
      </c>
      <c r="H169" s="4" t="s">
        <v>167</v>
      </c>
      <c r="K169" s="4" t="s">
        <v>95</v>
      </c>
      <c r="L169" s="4" t="s">
        <v>86</v>
      </c>
      <c r="N169" s="13">
        <v>15</v>
      </c>
      <c r="O169" s="4">
        <f t="shared" si="6"/>
        <v>600</v>
      </c>
      <c r="P169" s="59">
        <f t="shared" si="7"/>
        <v>4600</v>
      </c>
      <c r="Q169" s="4" t="s">
        <v>97</v>
      </c>
      <c r="R169" s="4" t="s">
        <v>286</v>
      </c>
    </row>
    <row r="170" spans="1:18" s="6" customFormat="1" ht="22.5" customHeight="1" x14ac:dyDescent="0.25">
      <c r="A170" s="83">
        <v>46019</v>
      </c>
      <c r="B170" s="6" t="s">
        <v>333</v>
      </c>
      <c r="C170" s="6" t="s">
        <v>88</v>
      </c>
      <c r="D170" s="60">
        <v>4000</v>
      </c>
      <c r="E170" s="6" t="s">
        <v>22</v>
      </c>
      <c r="F170" s="6" t="s">
        <v>89</v>
      </c>
      <c r="G170" s="6" t="s">
        <v>297</v>
      </c>
      <c r="H170" s="6" t="s">
        <v>167</v>
      </c>
      <c r="K170" s="6" t="s">
        <v>95</v>
      </c>
      <c r="L170" s="6" t="s">
        <v>86</v>
      </c>
      <c r="M170" s="6" t="s">
        <v>301</v>
      </c>
      <c r="N170" s="14">
        <v>15</v>
      </c>
      <c r="O170" s="6">
        <f t="shared" si="6"/>
        <v>600</v>
      </c>
      <c r="P170" s="60">
        <f t="shared" si="7"/>
        <v>4600</v>
      </c>
      <c r="Q170" s="6" t="s">
        <v>97</v>
      </c>
      <c r="R170" s="6" t="s">
        <v>100</v>
      </c>
    </row>
    <row r="171" spans="1:18" s="6" customFormat="1" ht="22.5" customHeight="1" x14ac:dyDescent="0.25">
      <c r="A171" s="83">
        <v>46019</v>
      </c>
      <c r="B171" s="6" t="s">
        <v>334</v>
      </c>
      <c r="C171" s="6" t="s">
        <v>88</v>
      </c>
      <c r="D171" s="60">
        <v>3000</v>
      </c>
      <c r="E171" s="6" t="s">
        <v>22</v>
      </c>
      <c r="F171" s="6" t="s">
        <v>89</v>
      </c>
      <c r="G171" s="6" t="s">
        <v>335</v>
      </c>
      <c r="H171" s="6" t="s">
        <v>167</v>
      </c>
      <c r="K171" s="6" t="s">
        <v>124</v>
      </c>
      <c r="L171" s="6" t="s">
        <v>86</v>
      </c>
      <c r="M171" s="6" t="s">
        <v>349</v>
      </c>
      <c r="N171" s="14">
        <v>15</v>
      </c>
      <c r="O171" s="6">
        <f t="shared" si="6"/>
        <v>450</v>
      </c>
      <c r="P171" s="60">
        <f t="shared" si="7"/>
        <v>3450</v>
      </c>
      <c r="Q171" s="6" t="s">
        <v>97</v>
      </c>
      <c r="R171" s="6" t="s">
        <v>100</v>
      </c>
    </row>
    <row r="172" spans="1:18" ht="22.5" customHeight="1" x14ac:dyDescent="0.25">
      <c r="A172" s="76">
        <v>46019</v>
      </c>
      <c r="B172" s="4" t="s">
        <v>130</v>
      </c>
      <c r="C172" s="4" t="s">
        <v>79</v>
      </c>
      <c r="D172" s="59">
        <v>950</v>
      </c>
      <c r="E172" s="4" t="s">
        <v>22</v>
      </c>
      <c r="F172" s="4" t="s">
        <v>251</v>
      </c>
      <c r="G172" s="18" t="s">
        <v>335</v>
      </c>
      <c r="H172" s="4" t="s">
        <v>251</v>
      </c>
      <c r="K172" s="4" t="s">
        <v>136</v>
      </c>
      <c r="L172" s="4" t="s">
        <v>98</v>
      </c>
      <c r="N172" s="13">
        <v>0</v>
      </c>
      <c r="O172" s="4">
        <f t="shared" si="6"/>
        <v>0</v>
      </c>
      <c r="P172" s="59">
        <f t="shared" si="7"/>
        <v>950</v>
      </c>
      <c r="Q172" s="4" t="s">
        <v>97</v>
      </c>
      <c r="R172" s="4" t="s">
        <v>336</v>
      </c>
    </row>
    <row r="173" spans="1:18" ht="22.5" customHeight="1" x14ac:dyDescent="0.25">
      <c r="A173" s="76">
        <v>46019</v>
      </c>
      <c r="B173" s="4" t="s">
        <v>337</v>
      </c>
      <c r="C173" s="4" t="s">
        <v>79</v>
      </c>
      <c r="D173" s="59">
        <v>1200</v>
      </c>
      <c r="E173" s="4" t="s">
        <v>22</v>
      </c>
      <c r="F173" s="4" t="s">
        <v>253</v>
      </c>
      <c r="H173" s="4" t="s">
        <v>338</v>
      </c>
      <c r="K173" s="4" t="s">
        <v>339</v>
      </c>
      <c r="L173" s="4" t="s">
        <v>98</v>
      </c>
      <c r="N173" s="13">
        <v>0</v>
      </c>
      <c r="O173" s="4">
        <f t="shared" si="6"/>
        <v>0</v>
      </c>
      <c r="P173" s="59">
        <f t="shared" si="7"/>
        <v>1200</v>
      </c>
      <c r="Q173" s="4" t="s">
        <v>97</v>
      </c>
      <c r="R173" s="4" t="s">
        <v>137</v>
      </c>
    </row>
    <row r="174" spans="1:18" ht="22.5" customHeight="1" x14ac:dyDescent="0.25">
      <c r="A174" s="76">
        <v>46019</v>
      </c>
      <c r="B174" s="4" t="s">
        <v>161</v>
      </c>
      <c r="C174" s="4" t="s">
        <v>79</v>
      </c>
      <c r="D174" s="59">
        <v>3000</v>
      </c>
      <c r="E174" s="4" t="s">
        <v>22</v>
      </c>
      <c r="F174" s="4" t="s">
        <v>25</v>
      </c>
      <c r="H174" s="4" t="s">
        <v>196</v>
      </c>
      <c r="K174" s="4" t="s">
        <v>162</v>
      </c>
      <c r="L174" s="4" t="s">
        <v>163</v>
      </c>
      <c r="N174" s="13">
        <v>0</v>
      </c>
      <c r="O174" s="4">
        <f t="shared" si="6"/>
        <v>0</v>
      </c>
      <c r="P174" s="59">
        <f t="shared" si="7"/>
        <v>3000</v>
      </c>
      <c r="Q174" s="4" t="s">
        <v>97</v>
      </c>
      <c r="R174" s="4" t="s">
        <v>232</v>
      </c>
    </row>
    <row r="175" spans="1:18" ht="22.5" customHeight="1" x14ac:dyDescent="0.25">
      <c r="A175" s="76">
        <v>46019</v>
      </c>
      <c r="B175" s="4" t="s">
        <v>59</v>
      </c>
      <c r="C175" s="4" t="s">
        <v>79</v>
      </c>
      <c r="D175" s="59">
        <v>100</v>
      </c>
      <c r="E175" s="4" t="s">
        <v>22</v>
      </c>
      <c r="F175" s="4" t="s">
        <v>59</v>
      </c>
      <c r="H175" s="4" t="s">
        <v>59</v>
      </c>
      <c r="K175" s="4" t="s">
        <v>231</v>
      </c>
      <c r="L175" s="4" t="s">
        <v>98</v>
      </c>
      <c r="N175" s="13">
        <v>0</v>
      </c>
      <c r="O175" s="4">
        <f t="shared" si="6"/>
        <v>0</v>
      </c>
      <c r="P175" s="59">
        <f t="shared" si="7"/>
        <v>100</v>
      </c>
      <c r="Q175" s="4" t="s">
        <v>97</v>
      </c>
      <c r="R175" s="4" t="s">
        <v>191</v>
      </c>
    </row>
    <row r="176" spans="1:18" ht="22.5" customHeight="1" x14ac:dyDescent="0.25">
      <c r="A176" s="76">
        <v>46019</v>
      </c>
      <c r="B176" s="4" t="s">
        <v>340</v>
      </c>
      <c r="C176" s="4" t="s">
        <v>79</v>
      </c>
      <c r="D176" s="59">
        <v>1800</v>
      </c>
      <c r="E176" s="4" t="s">
        <v>22</v>
      </c>
      <c r="F176" s="4" t="s">
        <v>253</v>
      </c>
      <c r="H176" s="4" t="s">
        <v>338</v>
      </c>
      <c r="K176" s="4" t="s">
        <v>169</v>
      </c>
      <c r="L176" s="4" t="s">
        <v>154</v>
      </c>
      <c r="N176" s="13">
        <v>0</v>
      </c>
      <c r="O176" s="4">
        <f t="shared" si="6"/>
        <v>0</v>
      </c>
      <c r="P176" s="59">
        <f t="shared" si="7"/>
        <v>1800</v>
      </c>
      <c r="Q176" s="4" t="s">
        <v>97</v>
      </c>
      <c r="R176" s="4" t="s">
        <v>137</v>
      </c>
    </row>
    <row r="177" spans="1:18" ht="22.5" customHeight="1" x14ac:dyDescent="0.25">
      <c r="A177" s="76">
        <v>46019</v>
      </c>
      <c r="B177" s="4" t="s">
        <v>258</v>
      </c>
      <c r="C177" s="4" t="s">
        <v>79</v>
      </c>
      <c r="D177" s="59">
        <v>100</v>
      </c>
      <c r="E177" s="4" t="s">
        <v>22</v>
      </c>
      <c r="F177" s="4" t="s">
        <v>253</v>
      </c>
      <c r="H177" s="4" t="s">
        <v>338</v>
      </c>
      <c r="K177" s="4" t="s">
        <v>169</v>
      </c>
      <c r="L177" s="4" t="s">
        <v>154</v>
      </c>
      <c r="N177" s="13">
        <v>15</v>
      </c>
      <c r="O177" s="4">
        <f t="shared" si="6"/>
        <v>15</v>
      </c>
      <c r="P177" s="59">
        <f t="shared" si="7"/>
        <v>115</v>
      </c>
      <c r="Q177" s="4" t="s">
        <v>97</v>
      </c>
      <c r="R177" s="4" t="s">
        <v>137</v>
      </c>
    </row>
    <row r="178" spans="1:18" ht="22.5" customHeight="1" x14ac:dyDescent="0.25">
      <c r="A178" s="76">
        <v>46019</v>
      </c>
      <c r="B178" s="4" t="s">
        <v>156</v>
      </c>
      <c r="C178" s="4" t="s">
        <v>79</v>
      </c>
      <c r="D178" s="59">
        <v>900</v>
      </c>
      <c r="E178" s="4" t="s">
        <v>22</v>
      </c>
      <c r="F178" s="4" t="s">
        <v>166</v>
      </c>
      <c r="G178" s="48" t="s">
        <v>218</v>
      </c>
      <c r="H178" s="4" t="s">
        <v>80</v>
      </c>
      <c r="K178" s="4" t="s">
        <v>99</v>
      </c>
      <c r="L178" s="4" t="s">
        <v>98</v>
      </c>
      <c r="N178" s="13">
        <v>0</v>
      </c>
      <c r="O178" s="4">
        <f t="shared" si="6"/>
        <v>0</v>
      </c>
      <c r="P178" s="59">
        <f t="shared" si="7"/>
        <v>900</v>
      </c>
      <c r="Q178" s="4" t="s">
        <v>97</v>
      </c>
      <c r="R178" s="4" t="s">
        <v>191</v>
      </c>
    </row>
    <row r="179" spans="1:18" ht="22.5" customHeight="1" x14ac:dyDescent="0.25">
      <c r="A179" s="76">
        <v>46019</v>
      </c>
      <c r="B179" s="4" t="s">
        <v>341</v>
      </c>
      <c r="C179" s="4" t="s">
        <v>79</v>
      </c>
      <c r="D179" s="59">
        <v>270</v>
      </c>
      <c r="E179" s="4" t="s">
        <v>22</v>
      </c>
      <c r="F179" s="4" t="s">
        <v>253</v>
      </c>
      <c r="H179" s="4" t="s">
        <v>338</v>
      </c>
      <c r="K179" s="4" t="s">
        <v>153</v>
      </c>
      <c r="L179" s="4" t="s">
        <v>154</v>
      </c>
      <c r="N179" s="13">
        <v>0</v>
      </c>
      <c r="O179" s="4">
        <f t="shared" si="6"/>
        <v>0</v>
      </c>
      <c r="P179" s="59">
        <f t="shared" si="7"/>
        <v>270</v>
      </c>
      <c r="Q179" s="4" t="s">
        <v>97</v>
      </c>
      <c r="R179" s="4" t="s">
        <v>137</v>
      </c>
    </row>
    <row r="180" spans="1:18" ht="22.5" customHeight="1" x14ac:dyDescent="0.25">
      <c r="A180" s="76">
        <v>46019</v>
      </c>
      <c r="B180" s="4" t="s">
        <v>342</v>
      </c>
      <c r="C180" s="4" t="s">
        <v>79</v>
      </c>
      <c r="D180" s="59">
        <v>150</v>
      </c>
      <c r="E180" s="4" t="s">
        <v>22</v>
      </c>
      <c r="F180" s="4" t="s">
        <v>253</v>
      </c>
      <c r="H180" s="4" t="s">
        <v>338</v>
      </c>
      <c r="K180" s="4" t="s">
        <v>343</v>
      </c>
      <c r="L180" s="4" t="s">
        <v>98</v>
      </c>
      <c r="N180" s="13">
        <v>0</v>
      </c>
      <c r="O180" s="4">
        <f t="shared" si="6"/>
        <v>0</v>
      </c>
      <c r="P180" s="59">
        <f t="shared" si="7"/>
        <v>150</v>
      </c>
      <c r="Q180" s="4" t="s">
        <v>97</v>
      </c>
      <c r="R180" s="4" t="s">
        <v>137</v>
      </c>
    </row>
    <row r="181" spans="1:18" ht="22.5" customHeight="1" x14ac:dyDescent="0.25">
      <c r="A181" s="76">
        <v>46019</v>
      </c>
      <c r="B181" s="4" t="s">
        <v>344</v>
      </c>
      <c r="C181" s="4" t="s">
        <v>79</v>
      </c>
      <c r="D181" s="59">
        <v>304.35000000000002</v>
      </c>
      <c r="E181" s="4" t="s">
        <v>22</v>
      </c>
      <c r="F181" s="4" t="s">
        <v>203</v>
      </c>
      <c r="H181" s="4" t="s">
        <v>206</v>
      </c>
      <c r="K181" s="4" t="s">
        <v>99</v>
      </c>
      <c r="L181" s="4" t="s">
        <v>98</v>
      </c>
      <c r="N181" s="13">
        <v>15</v>
      </c>
      <c r="O181" s="4">
        <f t="shared" si="6"/>
        <v>45.65</v>
      </c>
      <c r="P181" s="59">
        <f t="shared" si="7"/>
        <v>350</v>
      </c>
      <c r="Q181" s="4" t="s">
        <v>97</v>
      </c>
      <c r="R181" s="4" t="s">
        <v>137</v>
      </c>
    </row>
    <row r="182" spans="1:18" ht="22.5" customHeight="1" x14ac:dyDescent="0.25">
      <c r="A182" s="76">
        <v>46020</v>
      </c>
      <c r="B182" s="4" t="s">
        <v>257</v>
      </c>
      <c r="C182" s="4" t="s">
        <v>79</v>
      </c>
      <c r="D182" s="59">
        <v>60.87</v>
      </c>
      <c r="E182" s="4" t="s">
        <v>22</v>
      </c>
      <c r="F182" s="4" t="s">
        <v>115</v>
      </c>
      <c r="G182" s="18" t="s">
        <v>345</v>
      </c>
      <c r="H182" s="4" t="s">
        <v>115</v>
      </c>
      <c r="K182" s="4" t="s">
        <v>99</v>
      </c>
      <c r="L182" s="4" t="s">
        <v>98</v>
      </c>
      <c r="N182" s="13">
        <v>15</v>
      </c>
      <c r="O182" s="4">
        <f t="shared" si="6"/>
        <v>9.1300000000000008</v>
      </c>
      <c r="P182" s="59">
        <f t="shared" si="7"/>
        <v>70</v>
      </c>
      <c r="Q182" s="4" t="s">
        <v>97</v>
      </c>
      <c r="R182" s="4" t="s">
        <v>191</v>
      </c>
    </row>
    <row r="183" spans="1:18" ht="22.5" customHeight="1" x14ac:dyDescent="0.25">
      <c r="A183" s="76">
        <v>46020</v>
      </c>
      <c r="B183" s="4" t="s">
        <v>75</v>
      </c>
      <c r="C183" s="4" t="s">
        <v>79</v>
      </c>
      <c r="D183" s="59">
        <v>10</v>
      </c>
      <c r="E183" s="4" t="s">
        <v>22</v>
      </c>
      <c r="F183" s="4" t="s">
        <v>57</v>
      </c>
      <c r="G183" s="18" t="s">
        <v>345</v>
      </c>
      <c r="H183" s="4" t="s">
        <v>81</v>
      </c>
      <c r="K183" s="4" t="s">
        <v>99</v>
      </c>
      <c r="L183" s="4" t="s">
        <v>98</v>
      </c>
      <c r="N183" s="13">
        <v>0</v>
      </c>
      <c r="O183" s="4">
        <f t="shared" si="6"/>
        <v>0</v>
      </c>
      <c r="P183" s="59">
        <f t="shared" si="7"/>
        <v>10</v>
      </c>
      <c r="Q183" s="4" t="s">
        <v>97</v>
      </c>
      <c r="R183" s="4" t="s">
        <v>191</v>
      </c>
    </row>
    <row r="184" spans="1:18" ht="22.5" customHeight="1" x14ac:dyDescent="0.25">
      <c r="A184" s="76">
        <v>46021</v>
      </c>
      <c r="B184" s="4" t="s">
        <v>257</v>
      </c>
      <c r="C184" s="4" t="s">
        <v>79</v>
      </c>
      <c r="D184" s="59">
        <v>26</v>
      </c>
      <c r="E184" s="4" t="s">
        <v>22</v>
      </c>
      <c r="F184" s="4" t="s">
        <v>115</v>
      </c>
      <c r="H184" s="4" t="s">
        <v>115</v>
      </c>
      <c r="K184" s="4" t="s">
        <v>99</v>
      </c>
      <c r="L184" s="4" t="s">
        <v>98</v>
      </c>
      <c r="N184" s="13">
        <v>15</v>
      </c>
      <c r="O184" s="4">
        <f t="shared" si="6"/>
        <v>3.9</v>
      </c>
      <c r="P184" s="59">
        <f t="shared" si="7"/>
        <v>29.9</v>
      </c>
      <c r="Q184" s="4" t="s">
        <v>97</v>
      </c>
      <c r="R184" s="4" t="s">
        <v>137</v>
      </c>
    </row>
    <row r="185" spans="1:18" ht="22.5" customHeight="1" x14ac:dyDescent="0.25">
      <c r="A185" s="76">
        <v>46022</v>
      </c>
      <c r="B185" s="4" t="s">
        <v>75</v>
      </c>
      <c r="C185" s="4" t="s">
        <v>79</v>
      </c>
      <c r="D185" s="59">
        <v>10</v>
      </c>
      <c r="E185" s="4" t="s">
        <v>22</v>
      </c>
      <c r="F185" s="4" t="s">
        <v>57</v>
      </c>
      <c r="H185" s="4" t="s">
        <v>81</v>
      </c>
      <c r="K185" s="4" t="s">
        <v>99</v>
      </c>
      <c r="L185" s="4" t="s">
        <v>98</v>
      </c>
      <c r="N185" s="13">
        <v>0</v>
      </c>
      <c r="O185" s="4">
        <f t="shared" si="6"/>
        <v>0</v>
      </c>
      <c r="P185" s="59">
        <f t="shared" si="7"/>
        <v>10</v>
      </c>
      <c r="Q185" s="4" t="s">
        <v>97</v>
      </c>
      <c r="R185" s="4" t="s">
        <v>137</v>
      </c>
    </row>
    <row r="186" spans="1:18" ht="22.5" customHeight="1" x14ac:dyDescent="0.25">
      <c r="A186" s="76">
        <v>46023</v>
      </c>
      <c r="B186" s="4" t="s">
        <v>186</v>
      </c>
      <c r="C186" s="4" t="s">
        <v>79</v>
      </c>
      <c r="D186" s="59">
        <v>286.89999999999998</v>
      </c>
      <c r="E186" s="4" t="s">
        <v>22</v>
      </c>
      <c r="F186" s="4" t="s">
        <v>115</v>
      </c>
      <c r="H186" s="4" t="s">
        <v>115</v>
      </c>
      <c r="K186" s="4" t="s">
        <v>99</v>
      </c>
      <c r="L186" s="4" t="s">
        <v>98</v>
      </c>
      <c r="N186" s="13">
        <v>15</v>
      </c>
      <c r="O186" s="4">
        <f t="shared" si="6"/>
        <v>43.04</v>
      </c>
      <c r="P186" s="59">
        <f t="shared" si="7"/>
        <v>329.94</v>
      </c>
      <c r="Q186" s="4" t="s">
        <v>97</v>
      </c>
      <c r="R186" s="4" t="s">
        <v>137</v>
      </c>
    </row>
    <row r="187" spans="1:18" ht="22.5" customHeight="1" x14ac:dyDescent="0.25">
      <c r="A187" s="76">
        <v>46023</v>
      </c>
      <c r="B187" s="4" t="s">
        <v>346</v>
      </c>
      <c r="C187" s="4" t="s">
        <v>79</v>
      </c>
      <c r="D187" s="59">
        <v>30</v>
      </c>
      <c r="E187" s="4" t="s">
        <v>22</v>
      </c>
      <c r="F187" s="4" t="s">
        <v>253</v>
      </c>
      <c r="H187" s="4" t="s">
        <v>338</v>
      </c>
      <c r="K187" s="4" t="s">
        <v>231</v>
      </c>
      <c r="L187" s="4" t="s">
        <v>154</v>
      </c>
      <c r="N187" s="13">
        <v>15</v>
      </c>
      <c r="O187" s="4">
        <f t="shared" si="6"/>
        <v>4.5</v>
      </c>
      <c r="P187" s="59">
        <f t="shared" si="7"/>
        <v>34.5</v>
      </c>
      <c r="Q187" s="4" t="s">
        <v>97</v>
      </c>
      <c r="R187" s="4" t="s">
        <v>137</v>
      </c>
    </row>
    <row r="188" spans="1:18" ht="22.5" customHeight="1" x14ac:dyDescent="0.25">
      <c r="A188" s="76">
        <v>46024</v>
      </c>
      <c r="B188" s="4" t="s">
        <v>257</v>
      </c>
      <c r="C188" s="4" t="s">
        <v>79</v>
      </c>
      <c r="D188" s="59">
        <v>26</v>
      </c>
      <c r="E188" s="4" t="s">
        <v>22</v>
      </c>
      <c r="F188" s="4" t="s">
        <v>115</v>
      </c>
      <c r="H188" s="4" t="s">
        <v>115</v>
      </c>
      <c r="K188" s="4" t="s">
        <v>99</v>
      </c>
      <c r="L188" s="4" t="s">
        <v>98</v>
      </c>
      <c r="N188" s="13">
        <v>15</v>
      </c>
      <c r="O188" s="4">
        <f t="shared" si="6"/>
        <v>3.9</v>
      </c>
      <c r="P188" s="59">
        <f t="shared" si="7"/>
        <v>29.9</v>
      </c>
      <c r="Q188" s="4" t="s">
        <v>97</v>
      </c>
      <c r="R188" s="4" t="s">
        <v>137</v>
      </c>
    </row>
    <row r="189" spans="1:18" ht="22.5" customHeight="1" x14ac:dyDescent="0.25">
      <c r="A189" s="76">
        <v>46025</v>
      </c>
      <c r="B189" s="4" t="s">
        <v>75</v>
      </c>
      <c r="C189" s="4" t="s">
        <v>79</v>
      </c>
      <c r="D189" s="59">
        <v>45</v>
      </c>
      <c r="E189" s="4" t="s">
        <v>22</v>
      </c>
      <c r="F189" s="4" t="s">
        <v>57</v>
      </c>
      <c r="G189" s="48" t="s">
        <v>218</v>
      </c>
      <c r="H189" s="4" t="s">
        <v>81</v>
      </c>
      <c r="K189" s="4" t="s">
        <v>99</v>
      </c>
      <c r="L189" s="4" t="s">
        <v>98</v>
      </c>
      <c r="N189" s="13">
        <v>0</v>
      </c>
      <c r="O189" s="4">
        <f t="shared" si="6"/>
        <v>0</v>
      </c>
      <c r="P189" s="59">
        <f t="shared" si="7"/>
        <v>45</v>
      </c>
      <c r="Q189" s="4" t="s">
        <v>97</v>
      </c>
      <c r="R189" s="4" t="s">
        <v>191</v>
      </c>
    </row>
    <row r="190" spans="1:18" ht="22.5" customHeight="1" x14ac:dyDescent="0.25">
      <c r="A190" s="76">
        <v>46025</v>
      </c>
      <c r="B190" s="4" t="s">
        <v>318</v>
      </c>
      <c r="C190" s="4" t="s">
        <v>79</v>
      </c>
      <c r="D190" s="59">
        <v>17.39</v>
      </c>
      <c r="E190" s="4" t="s">
        <v>22</v>
      </c>
      <c r="F190" s="4" t="s">
        <v>166</v>
      </c>
      <c r="G190" s="48" t="s">
        <v>218</v>
      </c>
      <c r="H190" s="4" t="s">
        <v>80</v>
      </c>
      <c r="K190" s="4" t="s">
        <v>134</v>
      </c>
      <c r="L190" s="4" t="s">
        <v>98</v>
      </c>
      <c r="N190" s="13">
        <v>15</v>
      </c>
      <c r="O190" s="4">
        <f t="shared" si="6"/>
        <v>2.61</v>
      </c>
      <c r="P190" s="59">
        <f t="shared" si="7"/>
        <v>20</v>
      </c>
      <c r="Q190" s="4" t="s">
        <v>97</v>
      </c>
      <c r="R190" s="4" t="s">
        <v>191</v>
      </c>
    </row>
    <row r="191" spans="1:18" s="8" customFormat="1" ht="22.5" customHeight="1" x14ac:dyDescent="0.25">
      <c r="A191" s="76">
        <v>46025</v>
      </c>
      <c r="B191" s="8" t="s">
        <v>347</v>
      </c>
      <c r="C191" s="8" t="s">
        <v>79</v>
      </c>
      <c r="D191" s="65">
        <v>750</v>
      </c>
      <c r="E191" s="8" t="s">
        <v>22</v>
      </c>
      <c r="F191" s="8" t="s">
        <v>166</v>
      </c>
      <c r="G191" s="49" t="s">
        <v>210</v>
      </c>
      <c r="H191" s="8" t="s">
        <v>80</v>
      </c>
      <c r="K191" s="8" t="s">
        <v>216</v>
      </c>
      <c r="L191" s="8" t="s">
        <v>98</v>
      </c>
      <c r="N191" s="41">
        <v>0</v>
      </c>
      <c r="O191" s="8">
        <f t="shared" si="6"/>
        <v>0</v>
      </c>
      <c r="P191" s="65">
        <f t="shared" si="7"/>
        <v>750</v>
      </c>
      <c r="Q191" s="8" t="s">
        <v>97</v>
      </c>
      <c r="R191" s="8" t="s">
        <v>348</v>
      </c>
    </row>
    <row r="192" spans="1:18" ht="22.5" customHeight="1" x14ac:dyDescent="0.25">
      <c r="A192" s="76">
        <v>46026</v>
      </c>
      <c r="B192" s="4" t="s">
        <v>75</v>
      </c>
      <c r="C192" s="4" t="s">
        <v>79</v>
      </c>
      <c r="D192" s="59">
        <v>20</v>
      </c>
      <c r="E192" s="4" t="s">
        <v>22</v>
      </c>
      <c r="F192" s="4" t="s">
        <v>57</v>
      </c>
      <c r="G192" s="48" t="s">
        <v>218</v>
      </c>
      <c r="H192" s="4" t="s">
        <v>81</v>
      </c>
      <c r="K192" s="4" t="s">
        <v>99</v>
      </c>
      <c r="L192" s="4" t="s">
        <v>98</v>
      </c>
      <c r="N192" s="13">
        <v>0</v>
      </c>
      <c r="O192" s="4">
        <f t="shared" si="6"/>
        <v>0</v>
      </c>
      <c r="P192" s="59">
        <f t="shared" si="7"/>
        <v>20</v>
      </c>
      <c r="Q192" s="4" t="s">
        <v>97</v>
      </c>
      <c r="R192" s="4" t="s">
        <v>191</v>
      </c>
    </row>
    <row r="193" spans="1:18" ht="22.5" customHeight="1" x14ac:dyDescent="0.25">
      <c r="A193" s="76">
        <v>46027</v>
      </c>
      <c r="B193" s="4" t="s">
        <v>186</v>
      </c>
      <c r="C193" s="4" t="s">
        <v>79</v>
      </c>
      <c r="D193" s="59">
        <v>43.47</v>
      </c>
      <c r="E193" s="4" t="s">
        <v>22</v>
      </c>
      <c r="F193" s="4" t="s">
        <v>115</v>
      </c>
      <c r="H193" s="4" t="s">
        <v>115</v>
      </c>
      <c r="K193" s="4" t="s">
        <v>99</v>
      </c>
      <c r="L193" s="4" t="s">
        <v>98</v>
      </c>
      <c r="N193" s="13">
        <v>15</v>
      </c>
      <c r="O193" s="4">
        <f t="shared" si="6"/>
        <v>6.52</v>
      </c>
      <c r="P193" s="59">
        <f t="shared" si="7"/>
        <v>49.989999999999995</v>
      </c>
      <c r="Q193" s="4" t="s">
        <v>97</v>
      </c>
      <c r="R193" s="4" t="s">
        <v>137</v>
      </c>
    </row>
    <row r="194" spans="1:18" ht="22.5" customHeight="1" x14ac:dyDescent="0.25">
      <c r="A194" s="76">
        <v>46027</v>
      </c>
      <c r="B194" s="4" t="s">
        <v>350</v>
      </c>
      <c r="C194" s="4" t="s">
        <v>79</v>
      </c>
      <c r="D194" s="59">
        <v>83</v>
      </c>
      <c r="E194" s="4" t="s">
        <v>22</v>
      </c>
      <c r="F194" s="4" t="s">
        <v>253</v>
      </c>
      <c r="H194" s="4" t="s">
        <v>338</v>
      </c>
      <c r="K194" s="4" t="s">
        <v>99</v>
      </c>
      <c r="L194" s="4" t="s">
        <v>98</v>
      </c>
      <c r="N194" s="13">
        <v>0</v>
      </c>
      <c r="O194" s="4">
        <f t="shared" si="6"/>
        <v>0</v>
      </c>
      <c r="P194" s="59">
        <f t="shared" si="7"/>
        <v>83</v>
      </c>
      <c r="Q194" s="4" t="s">
        <v>97</v>
      </c>
      <c r="R194" s="4" t="s">
        <v>137</v>
      </c>
    </row>
    <row r="195" spans="1:18" ht="22.5" customHeight="1" x14ac:dyDescent="0.25">
      <c r="A195" s="76">
        <v>46027</v>
      </c>
      <c r="B195" s="4" t="s">
        <v>257</v>
      </c>
      <c r="C195" s="4" t="s">
        <v>79</v>
      </c>
      <c r="D195" s="59">
        <v>43.48</v>
      </c>
      <c r="E195" s="4" t="s">
        <v>22</v>
      </c>
      <c r="F195" s="4" t="s">
        <v>115</v>
      </c>
      <c r="H195" s="4" t="s">
        <v>115</v>
      </c>
      <c r="K195" s="4" t="s">
        <v>99</v>
      </c>
      <c r="L195" s="4" t="s">
        <v>98</v>
      </c>
      <c r="N195" s="13">
        <v>15</v>
      </c>
      <c r="O195" s="4">
        <f t="shared" si="6"/>
        <v>6.52</v>
      </c>
      <c r="P195" s="59">
        <f t="shared" si="7"/>
        <v>50</v>
      </c>
      <c r="Q195" s="4" t="s">
        <v>97</v>
      </c>
      <c r="R195" s="4" t="s">
        <v>137</v>
      </c>
    </row>
    <row r="196" spans="1:18" ht="22.5" customHeight="1" x14ac:dyDescent="0.25">
      <c r="A196" s="76">
        <v>46027</v>
      </c>
      <c r="B196" s="4" t="s">
        <v>75</v>
      </c>
      <c r="C196" s="4" t="s">
        <v>79</v>
      </c>
      <c r="D196" s="59">
        <v>73</v>
      </c>
      <c r="E196" s="4" t="s">
        <v>22</v>
      </c>
      <c r="F196" s="4" t="s">
        <v>57</v>
      </c>
      <c r="G196" s="18" t="s">
        <v>374</v>
      </c>
      <c r="H196" s="4" t="s">
        <v>81</v>
      </c>
      <c r="K196" s="4" t="s">
        <v>99</v>
      </c>
      <c r="L196" s="4" t="s">
        <v>98</v>
      </c>
      <c r="N196" s="13">
        <v>15</v>
      </c>
      <c r="O196" s="4">
        <f t="shared" si="6"/>
        <v>10.95</v>
      </c>
      <c r="P196" s="59">
        <f t="shared" si="7"/>
        <v>83.95</v>
      </c>
      <c r="Q196" s="4" t="s">
        <v>97</v>
      </c>
      <c r="R196" s="4" t="s">
        <v>137</v>
      </c>
    </row>
    <row r="197" spans="1:18" ht="22.5" customHeight="1" x14ac:dyDescent="0.25">
      <c r="A197" s="76">
        <v>46027</v>
      </c>
      <c r="B197" s="4" t="s">
        <v>351</v>
      </c>
      <c r="C197" s="4" t="s">
        <v>79</v>
      </c>
      <c r="D197" s="59">
        <v>100</v>
      </c>
      <c r="E197" s="4" t="s">
        <v>22</v>
      </c>
      <c r="F197" s="4" t="s">
        <v>203</v>
      </c>
      <c r="H197" s="4" t="s">
        <v>338</v>
      </c>
      <c r="K197" s="4" t="s">
        <v>99</v>
      </c>
      <c r="L197" s="4" t="s">
        <v>98</v>
      </c>
      <c r="N197" s="13">
        <v>15</v>
      </c>
      <c r="O197" s="4">
        <f t="shared" si="6"/>
        <v>15</v>
      </c>
      <c r="P197" s="59">
        <f t="shared" si="7"/>
        <v>115</v>
      </c>
      <c r="Q197" s="4" t="s">
        <v>97</v>
      </c>
      <c r="R197" s="4" t="s">
        <v>137</v>
      </c>
    </row>
    <row r="198" spans="1:18" ht="22.5" customHeight="1" x14ac:dyDescent="0.25">
      <c r="A198" s="76">
        <v>46027</v>
      </c>
      <c r="B198" s="4" t="s">
        <v>186</v>
      </c>
      <c r="C198" s="4" t="s">
        <v>79</v>
      </c>
      <c r="D198" s="59">
        <v>43.48</v>
      </c>
      <c r="E198" s="4" t="s">
        <v>22</v>
      </c>
      <c r="F198" s="4" t="s">
        <v>115</v>
      </c>
      <c r="H198" s="4" t="s">
        <v>115</v>
      </c>
      <c r="K198" s="4" t="s">
        <v>99</v>
      </c>
      <c r="L198" s="4" t="s">
        <v>98</v>
      </c>
      <c r="N198" s="13">
        <v>15</v>
      </c>
      <c r="O198" s="4">
        <f t="shared" si="6"/>
        <v>6.52</v>
      </c>
      <c r="P198" s="59">
        <f t="shared" si="7"/>
        <v>50</v>
      </c>
      <c r="Q198" s="4" t="s">
        <v>97</v>
      </c>
      <c r="R198" s="4" t="s">
        <v>137</v>
      </c>
    </row>
    <row r="199" spans="1:18" ht="22.5" customHeight="1" x14ac:dyDescent="0.25">
      <c r="A199" s="76">
        <v>46027</v>
      </c>
      <c r="B199" s="4" t="s">
        <v>318</v>
      </c>
      <c r="C199" s="4" t="s">
        <v>79</v>
      </c>
      <c r="D199" s="59">
        <v>168.8</v>
      </c>
      <c r="E199" s="4" t="s">
        <v>22</v>
      </c>
      <c r="F199" s="4" t="s">
        <v>166</v>
      </c>
      <c r="G199" s="18" t="s">
        <v>375</v>
      </c>
      <c r="H199" s="4" t="s">
        <v>80</v>
      </c>
      <c r="K199" s="4" t="s">
        <v>99</v>
      </c>
      <c r="L199" s="4" t="s">
        <v>98</v>
      </c>
      <c r="N199" s="13">
        <v>15</v>
      </c>
      <c r="O199" s="4">
        <f t="shared" si="6"/>
        <v>25.32</v>
      </c>
      <c r="P199" s="59">
        <f t="shared" si="7"/>
        <v>194.12</v>
      </c>
      <c r="Q199" s="4" t="s">
        <v>97</v>
      </c>
      <c r="R199" s="4" t="s">
        <v>191</v>
      </c>
    </row>
    <row r="200" spans="1:18" s="42" customFormat="1" ht="22.5" customHeight="1" x14ac:dyDescent="0.25">
      <c r="A200" s="85">
        <v>46027</v>
      </c>
      <c r="B200" s="42" t="s">
        <v>352</v>
      </c>
      <c r="C200" s="42" t="s">
        <v>88</v>
      </c>
      <c r="D200" s="66">
        <v>1500</v>
      </c>
      <c r="E200" s="42" t="s">
        <v>22</v>
      </c>
      <c r="F200" s="42" t="s">
        <v>89</v>
      </c>
      <c r="G200" s="50" t="s">
        <v>353</v>
      </c>
      <c r="H200" s="42" t="s">
        <v>167</v>
      </c>
      <c r="K200" s="42" t="s">
        <v>609</v>
      </c>
      <c r="L200" s="42" t="s">
        <v>86</v>
      </c>
      <c r="N200" s="43">
        <v>0</v>
      </c>
      <c r="O200" s="42">
        <f t="shared" si="6"/>
        <v>0</v>
      </c>
      <c r="P200" s="66">
        <f t="shared" si="7"/>
        <v>1500</v>
      </c>
      <c r="Q200" s="42" t="s">
        <v>97</v>
      </c>
      <c r="R200" s="42" t="s">
        <v>355</v>
      </c>
    </row>
    <row r="201" spans="1:18" ht="22.5" customHeight="1" x14ac:dyDescent="0.25">
      <c r="A201" s="76">
        <v>46028</v>
      </c>
      <c r="B201" s="4" t="s">
        <v>257</v>
      </c>
      <c r="C201" s="4" t="s">
        <v>79</v>
      </c>
      <c r="D201" s="59">
        <v>43.48</v>
      </c>
      <c r="E201" s="4" t="s">
        <v>22</v>
      </c>
      <c r="F201" s="4" t="s">
        <v>115</v>
      </c>
      <c r="G201" s="18" t="s">
        <v>375</v>
      </c>
      <c r="H201" s="4" t="s">
        <v>115</v>
      </c>
      <c r="K201" s="4" t="s">
        <v>99</v>
      </c>
      <c r="L201" s="4" t="s">
        <v>98</v>
      </c>
      <c r="N201" s="13">
        <v>15</v>
      </c>
      <c r="O201" s="4">
        <f t="shared" si="6"/>
        <v>6.52</v>
      </c>
      <c r="P201" s="59">
        <f t="shared" si="7"/>
        <v>50</v>
      </c>
      <c r="Q201" s="4" t="s">
        <v>97</v>
      </c>
      <c r="R201" s="4" t="s">
        <v>191</v>
      </c>
    </row>
    <row r="202" spans="1:18" ht="22.5" customHeight="1" x14ac:dyDescent="0.25">
      <c r="A202" s="76">
        <v>46028</v>
      </c>
      <c r="B202" s="4" t="s">
        <v>75</v>
      </c>
      <c r="C202" s="4" t="s">
        <v>79</v>
      </c>
      <c r="D202" s="59">
        <v>21.74</v>
      </c>
      <c r="E202" s="4" t="s">
        <v>22</v>
      </c>
      <c r="F202" s="4" t="s">
        <v>57</v>
      </c>
      <c r="G202" s="18" t="s">
        <v>375</v>
      </c>
      <c r="H202" s="4" t="s">
        <v>81</v>
      </c>
      <c r="K202" s="4" t="s">
        <v>99</v>
      </c>
      <c r="L202" s="4" t="s">
        <v>98</v>
      </c>
      <c r="N202" s="13">
        <v>15</v>
      </c>
      <c r="O202" s="4">
        <f t="shared" ref="O202:O263" si="8">IF(OR(D202="", N202=""), "", ROUND(D202 * N202 / 100, 2))</f>
        <v>3.26</v>
      </c>
      <c r="P202" s="59">
        <f t="shared" ref="P202:P263" si="9">IF(D202="", "", D202 + O202)</f>
        <v>25</v>
      </c>
      <c r="Q202" s="4" t="s">
        <v>97</v>
      </c>
      <c r="R202" s="4" t="s">
        <v>191</v>
      </c>
    </row>
    <row r="203" spans="1:18" ht="22.5" customHeight="1" x14ac:dyDescent="0.25">
      <c r="A203" s="76">
        <v>46028</v>
      </c>
      <c r="B203" s="4" t="s">
        <v>318</v>
      </c>
      <c r="C203" s="4" t="s">
        <v>79</v>
      </c>
      <c r="D203" s="59">
        <v>73.91</v>
      </c>
      <c r="E203" s="4" t="s">
        <v>22</v>
      </c>
      <c r="F203" s="4" t="s">
        <v>166</v>
      </c>
      <c r="G203" s="18" t="s">
        <v>375</v>
      </c>
      <c r="H203" s="4" t="s">
        <v>80</v>
      </c>
      <c r="K203" s="4" t="s">
        <v>99</v>
      </c>
      <c r="L203" s="4" t="s">
        <v>98</v>
      </c>
      <c r="N203" s="13">
        <v>15</v>
      </c>
      <c r="O203" s="4">
        <f t="shared" si="8"/>
        <v>11.09</v>
      </c>
      <c r="P203" s="59">
        <f t="shared" si="9"/>
        <v>85</v>
      </c>
      <c r="Q203" s="4" t="s">
        <v>97</v>
      </c>
      <c r="R203" s="4" t="s">
        <v>212</v>
      </c>
    </row>
    <row r="204" spans="1:18" ht="22.5" customHeight="1" x14ac:dyDescent="0.25">
      <c r="A204" s="76">
        <v>46028</v>
      </c>
      <c r="B204" s="4" t="s">
        <v>356</v>
      </c>
      <c r="C204" s="4" t="s">
        <v>79</v>
      </c>
      <c r="D204" s="59">
        <v>200</v>
      </c>
      <c r="E204" s="4" t="s">
        <v>22</v>
      </c>
      <c r="F204" s="4" t="s">
        <v>57</v>
      </c>
      <c r="H204" s="4" t="s">
        <v>81</v>
      </c>
      <c r="K204" s="4" t="s">
        <v>357</v>
      </c>
      <c r="L204" s="4" t="s">
        <v>98</v>
      </c>
      <c r="N204" s="13">
        <v>0</v>
      </c>
      <c r="O204" s="4">
        <f t="shared" si="8"/>
        <v>0</v>
      </c>
      <c r="P204" s="59">
        <f t="shared" si="9"/>
        <v>200</v>
      </c>
      <c r="Q204" s="4" t="s">
        <v>97</v>
      </c>
      <c r="R204" s="4" t="s">
        <v>137</v>
      </c>
    </row>
    <row r="205" spans="1:18" ht="22.5" customHeight="1" x14ac:dyDescent="0.25">
      <c r="A205" s="76">
        <v>46028</v>
      </c>
      <c r="B205" s="4" t="s">
        <v>358</v>
      </c>
      <c r="C205" s="4" t="s">
        <v>79</v>
      </c>
      <c r="D205" s="59">
        <v>100</v>
      </c>
      <c r="E205" s="4" t="s">
        <v>22</v>
      </c>
      <c r="F205" s="4" t="s">
        <v>252</v>
      </c>
      <c r="H205" s="4" t="s">
        <v>196</v>
      </c>
      <c r="K205" s="4" t="s">
        <v>359</v>
      </c>
      <c r="L205" s="4" t="s">
        <v>98</v>
      </c>
      <c r="N205" s="13">
        <v>0</v>
      </c>
      <c r="O205" s="4">
        <f t="shared" si="8"/>
        <v>0</v>
      </c>
      <c r="P205" s="59">
        <f t="shared" si="9"/>
        <v>100</v>
      </c>
      <c r="Q205" s="4" t="s">
        <v>97</v>
      </c>
      <c r="R205" s="4" t="s">
        <v>137</v>
      </c>
    </row>
    <row r="206" spans="1:18" ht="22.5" customHeight="1" x14ac:dyDescent="0.25">
      <c r="A206" s="76">
        <v>46028</v>
      </c>
      <c r="B206" s="4" t="s">
        <v>360</v>
      </c>
      <c r="C206" s="4" t="s">
        <v>79</v>
      </c>
      <c r="D206" s="59">
        <v>300</v>
      </c>
      <c r="E206" s="4" t="s">
        <v>22</v>
      </c>
      <c r="F206" s="4" t="s">
        <v>59</v>
      </c>
      <c r="H206" s="4" t="s">
        <v>59</v>
      </c>
      <c r="K206" s="4" t="s">
        <v>231</v>
      </c>
      <c r="L206" s="4" t="s">
        <v>98</v>
      </c>
      <c r="N206" s="13">
        <v>0</v>
      </c>
      <c r="O206" s="4">
        <f t="shared" si="8"/>
        <v>0</v>
      </c>
      <c r="P206" s="59">
        <f t="shared" si="9"/>
        <v>300</v>
      </c>
      <c r="Q206" s="4" t="s">
        <v>97</v>
      </c>
      <c r="R206" s="4" t="s">
        <v>137</v>
      </c>
    </row>
    <row r="207" spans="1:18" ht="22.5" customHeight="1" x14ac:dyDescent="0.25">
      <c r="A207" s="76">
        <v>46029</v>
      </c>
      <c r="B207" s="4" t="s">
        <v>257</v>
      </c>
      <c r="C207" s="4" t="s">
        <v>79</v>
      </c>
      <c r="D207" s="59">
        <v>43.48</v>
      </c>
      <c r="E207" s="4" t="s">
        <v>22</v>
      </c>
      <c r="F207" s="4" t="s">
        <v>115</v>
      </c>
      <c r="H207" s="4" t="s">
        <v>115</v>
      </c>
      <c r="K207" s="4" t="s">
        <v>99</v>
      </c>
      <c r="L207" s="4" t="s">
        <v>98</v>
      </c>
      <c r="N207" s="13">
        <v>15</v>
      </c>
      <c r="O207" s="4">
        <f t="shared" si="8"/>
        <v>6.52</v>
      </c>
      <c r="P207" s="59">
        <f t="shared" si="9"/>
        <v>50</v>
      </c>
      <c r="Q207" s="4" t="s">
        <v>97</v>
      </c>
      <c r="R207" s="4" t="s">
        <v>137</v>
      </c>
    </row>
    <row r="208" spans="1:18" ht="22.5" customHeight="1" x14ac:dyDescent="0.25">
      <c r="A208" s="76">
        <v>46030</v>
      </c>
      <c r="B208" s="4" t="s">
        <v>75</v>
      </c>
      <c r="C208" s="4" t="s">
        <v>79</v>
      </c>
      <c r="D208" s="59">
        <v>30.43</v>
      </c>
      <c r="E208" s="4" t="s">
        <v>22</v>
      </c>
      <c r="F208" s="4" t="s">
        <v>57</v>
      </c>
      <c r="H208" s="4" t="s">
        <v>81</v>
      </c>
      <c r="K208" s="4" t="s">
        <v>99</v>
      </c>
      <c r="L208" s="4" t="s">
        <v>98</v>
      </c>
      <c r="N208" s="13">
        <v>15</v>
      </c>
      <c r="O208" s="4">
        <f t="shared" si="8"/>
        <v>4.5599999999999996</v>
      </c>
      <c r="P208" s="59">
        <f t="shared" si="9"/>
        <v>34.99</v>
      </c>
      <c r="Q208" s="4" t="s">
        <v>97</v>
      </c>
      <c r="R208" s="4" t="s">
        <v>137</v>
      </c>
    </row>
    <row r="209" spans="1:18" ht="22.5" customHeight="1" x14ac:dyDescent="0.25">
      <c r="A209" s="76">
        <v>46030</v>
      </c>
      <c r="B209" s="4" t="s">
        <v>257</v>
      </c>
      <c r="C209" s="4" t="s">
        <v>79</v>
      </c>
      <c r="D209" s="59">
        <v>43.48</v>
      </c>
      <c r="E209" s="4" t="s">
        <v>22</v>
      </c>
      <c r="F209" s="4" t="s">
        <v>115</v>
      </c>
      <c r="H209" s="4" t="s">
        <v>115</v>
      </c>
      <c r="K209" s="4" t="s">
        <v>99</v>
      </c>
      <c r="L209" s="4" t="s">
        <v>98</v>
      </c>
      <c r="N209" s="13">
        <v>15</v>
      </c>
      <c r="O209" s="4">
        <f t="shared" si="8"/>
        <v>6.52</v>
      </c>
      <c r="P209" s="59">
        <f t="shared" si="9"/>
        <v>50</v>
      </c>
      <c r="Q209" s="4" t="s">
        <v>97</v>
      </c>
      <c r="R209" s="4" t="s">
        <v>137</v>
      </c>
    </row>
    <row r="210" spans="1:18" ht="22.5" customHeight="1" x14ac:dyDescent="0.25">
      <c r="A210" s="76">
        <v>46030</v>
      </c>
      <c r="B210" s="4" t="s">
        <v>361</v>
      </c>
      <c r="C210" s="4" t="s">
        <v>79</v>
      </c>
      <c r="D210" s="59">
        <v>5</v>
      </c>
      <c r="E210" s="4" t="s">
        <v>22</v>
      </c>
      <c r="F210" s="4" t="s">
        <v>203</v>
      </c>
      <c r="H210" s="4" t="s">
        <v>338</v>
      </c>
      <c r="K210" s="4" t="s">
        <v>99</v>
      </c>
      <c r="L210" s="4" t="s">
        <v>98</v>
      </c>
      <c r="N210" s="13">
        <v>0</v>
      </c>
      <c r="O210" s="4">
        <f t="shared" si="8"/>
        <v>0</v>
      </c>
      <c r="P210" s="59">
        <f t="shared" si="9"/>
        <v>5</v>
      </c>
      <c r="Q210" s="4" t="s">
        <v>97</v>
      </c>
      <c r="R210" s="4" t="s">
        <v>137</v>
      </c>
    </row>
    <row r="211" spans="1:18" ht="22.5" customHeight="1" x14ac:dyDescent="0.25">
      <c r="A211" s="76">
        <v>46030</v>
      </c>
      <c r="B211" s="4" t="s">
        <v>318</v>
      </c>
      <c r="C211" s="4" t="s">
        <v>79</v>
      </c>
      <c r="D211" s="59">
        <v>1226.0999999999999</v>
      </c>
      <c r="E211" s="4" t="s">
        <v>22</v>
      </c>
      <c r="F211" s="4" t="s">
        <v>166</v>
      </c>
      <c r="H211" s="4" t="s">
        <v>362</v>
      </c>
      <c r="K211" s="4" t="s">
        <v>190</v>
      </c>
      <c r="L211" s="4" t="s">
        <v>98</v>
      </c>
      <c r="N211" s="13">
        <v>15</v>
      </c>
      <c r="O211" s="4">
        <f t="shared" si="8"/>
        <v>183.92</v>
      </c>
      <c r="P211" s="59">
        <f t="shared" si="9"/>
        <v>1410.02</v>
      </c>
      <c r="Q211" s="4" t="s">
        <v>97</v>
      </c>
      <c r="R211" s="4" t="s">
        <v>137</v>
      </c>
    </row>
    <row r="212" spans="1:18" s="6" customFormat="1" ht="22.5" customHeight="1" x14ac:dyDescent="0.25">
      <c r="A212" s="83">
        <v>46030</v>
      </c>
      <c r="B212" s="6" t="s">
        <v>366</v>
      </c>
      <c r="C212" s="6" t="s">
        <v>88</v>
      </c>
      <c r="D212" s="60">
        <v>1800</v>
      </c>
      <c r="E212" s="6" t="s">
        <v>22</v>
      </c>
      <c r="F212" s="6" t="s">
        <v>89</v>
      </c>
      <c r="G212" s="6" t="s">
        <v>363</v>
      </c>
      <c r="H212" s="6" t="s">
        <v>167</v>
      </c>
      <c r="K212" s="6" t="s">
        <v>364</v>
      </c>
      <c r="L212" s="6" t="s">
        <v>86</v>
      </c>
      <c r="M212" s="6" t="s">
        <v>365</v>
      </c>
      <c r="N212" s="14">
        <v>15</v>
      </c>
      <c r="O212" s="6">
        <f t="shared" si="8"/>
        <v>270</v>
      </c>
      <c r="P212" s="60">
        <f t="shared" si="9"/>
        <v>2070</v>
      </c>
      <c r="Q212" s="6" t="s">
        <v>97</v>
      </c>
      <c r="R212" s="6" t="s">
        <v>227</v>
      </c>
    </row>
    <row r="213" spans="1:18" ht="22.5" customHeight="1" x14ac:dyDescent="0.25">
      <c r="A213" s="76">
        <v>46030</v>
      </c>
      <c r="B213" s="4" t="s">
        <v>161</v>
      </c>
      <c r="C213" s="4" t="s">
        <v>79</v>
      </c>
      <c r="D213" s="59">
        <v>200</v>
      </c>
      <c r="E213" s="4" t="s">
        <v>22</v>
      </c>
      <c r="F213" s="4" t="s">
        <v>25</v>
      </c>
      <c r="H213" s="4" t="s">
        <v>167</v>
      </c>
      <c r="K213" s="4" t="s">
        <v>162</v>
      </c>
      <c r="L213" s="4" t="s">
        <v>163</v>
      </c>
      <c r="N213" s="13">
        <v>0</v>
      </c>
      <c r="O213" s="4">
        <f t="shared" si="8"/>
        <v>0</v>
      </c>
      <c r="P213" s="59">
        <f t="shared" si="9"/>
        <v>200</v>
      </c>
      <c r="Q213" s="4" t="s">
        <v>97</v>
      </c>
      <c r="R213" s="4" t="s">
        <v>232</v>
      </c>
    </row>
    <row r="214" spans="1:18" s="24" customFormat="1" ht="22.5" customHeight="1" x14ac:dyDescent="0.25">
      <c r="A214" s="79">
        <v>46030</v>
      </c>
      <c r="B214" s="24" t="s">
        <v>318</v>
      </c>
      <c r="C214" s="24" t="s">
        <v>79</v>
      </c>
      <c r="D214" s="62">
        <v>800</v>
      </c>
      <c r="E214" s="24" t="s">
        <v>22</v>
      </c>
      <c r="F214" s="24" t="s">
        <v>166</v>
      </c>
      <c r="G214" s="26" t="s">
        <v>363</v>
      </c>
      <c r="H214" s="24" t="s">
        <v>80</v>
      </c>
      <c r="K214" s="24" t="s">
        <v>368</v>
      </c>
      <c r="L214" s="24" t="s">
        <v>98</v>
      </c>
      <c r="N214" s="25">
        <v>0</v>
      </c>
      <c r="O214" s="24">
        <f t="shared" si="8"/>
        <v>0</v>
      </c>
      <c r="P214" s="62">
        <f t="shared" si="9"/>
        <v>800</v>
      </c>
      <c r="Q214" s="24" t="s">
        <v>91</v>
      </c>
      <c r="R214" s="24" t="s">
        <v>212</v>
      </c>
    </row>
    <row r="215" spans="1:18" ht="22.5" customHeight="1" x14ac:dyDescent="0.25">
      <c r="A215" s="76">
        <v>46030</v>
      </c>
      <c r="B215" s="4" t="s">
        <v>59</v>
      </c>
      <c r="C215" s="4" t="s">
        <v>79</v>
      </c>
      <c r="D215" s="59">
        <v>200</v>
      </c>
      <c r="E215" s="4" t="s">
        <v>22</v>
      </c>
      <c r="F215" s="4" t="s">
        <v>59</v>
      </c>
      <c r="G215" s="45" t="s">
        <v>363</v>
      </c>
      <c r="H215" s="4" t="s">
        <v>59</v>
      </c>
      <c r="K215" s="4" t="s">
        <v>99</v>
      </c>
      <c r="L215" s="4" t="s">
        <v>98</v>
      </c>
      <c r="N215" s="13">
        <v>0</v>
      </c>
      <c r="O215" s="4">
        <f t="shared" si="8"/>
        <v>0</v>
      </c>
      <c r="P215" s="59">
        <f t="shared" si="9"/>
        <v>200</v>
      </c>
      <c r="Q215" s="4" t="s">
        <v>97</v>
      </c>
      <c r="R215" s="4" t="s">
        <v>191</v>
      </c>
    </row>
    <row r="216" spans="1:18" s="24" customFormat="1" ht="22.5" customHeight="1" x14ac:dyDescent="0.25">
      <c r="A216" s="79">
        <v>46030</v>
      </c>
      <c r="B216" s="24" t="s">
        <v>369</v>
      </c>
      <c r="C216" s="24" t="s">
        <v>79</v>
      </c>
      <c r="D216" s="62">
        <v>1000</v>
      </c>
      <c r="E216" s="24" t="s">
        <v>22</v>
      </c>
      <c r="F216" s="24" t="s">
        <v>249</v>
      </c>
      <c r="G216" s="24" t="s">
        <v>335</v>
      </c>
      <c r="H216" s="24" t="s">
        <v>80</v>
      </c>
      <c r="K216" s="24" t="s">
        <v>132</v>
      </c>
      <c r="L216" s="24" t="s">
        <v>98</v>
      </c>
      <c r="N216" s="25">
        <v>0</v>
      </c>
      <c r="O216" s="24">
        <f t="shared" si="8"/>
        <v>0</v>
      </c>
      <c r="P216" s="62">
        <f t="shared" si="9"/>
        <v>1000</v>
      </c>
      <c r="Q216" s="24" t="s">
        <v>91</v>
      </c>
      <c r="R216" s="24" t="s">
        <v>191</v>
      </c>
    </row>
    <row r="217" spans="1:18" ht="22.5" customHeight="1" x14ac:dyDescent="0.25">
      <c r="A217" s="76">
        <v>46031</v>
      </c>
      <c r="B217" s="4" t="s">
        <v>202</v>
      </c>
      <c r="C217" s="4" t="s">
        <v>79</v>
      </c>
      <c r="D217" s="59">
        <v>90</v>
      </c>
      <c r="E217" s="4" t="s">
        <v>22</v>
      </c>
      <c r="F217" s="4" t="s">
        <v>203</v>
      </c>
      <c r="H217" s="4" t="s">
        <v>206</v>
      </c>
      <c r="K217" s="4" t="s">
        <v>99</v>
      </c>
      <c r="L217" s="4" t="s">
        <v>98</v>
      </c>
      <c r="N217" s="13">
        <v>15</v>
      </c>
      <c r="O217" s="4">
        <f t="shared" si="8"/>
        <v>13.5</v>
      </c>
      <c r="P217" s="59">
        <f t="shared" si="9"/>
        <v>103.5</v>
      </c>
      <c r="Q217" s="4" t="s">
        <v>97</v>
      </c>
      <c r="R217" s="4" t="s">
        <v>137</v>
      </c>
    </row>
    <row r="218" spans="1:18" ht="22.5" customHeight="1" x14ac:dyDescent="0.25">
      <c r="A218" s="76">
        <v>46032</v>
      </c>
      <c r="B218" s="4" t="s">
        <v>186</v>
      </c>
      <c r="C218" s="4" t="s">
        <v>79</v>
      </c>
      <c r="D218" s="59">
        <v>173.9</v>
      </c>
      <c r="E218" s="4" t="s">
        <v>22</v>
      </c>
      <c r="F218" s="4" t="s">
        <v>115</v>
      </c>
      <c r="H218" s="4" t="s">
        <v>115</v>
      </c>
      <c r="K218" s="4" t="s">
        <v>99</v>
      </c>
      <c r="L218" s="4" t="s">
        <v>98</v>
      </c>
      <c r="N218" s="13">
        <v>15</v>
      </c>
      <c r="O218" s="4">
        <f t="shared" si="8"/>
        <v>26.09</v>
      </c>
      <c r="P218" s="59">
        <f t="shared" si="9"/>
        <v>199.99</v>
      </c>
      <c r="Q218" s="4" t="s">
        <v>97</v>
      </c>
      <c r="R218" s="4" t="s">
        <v>137</v>
      </c>
    </row>
    <row r="219" spans="1:18" ht="22.5" customHeight="1" x14ac:dyDescent="0.25">
      <c r="A219" s="76">
        <v>46032</v>
      </c>
      <c r="B219" s="4" t="s">
        <v>257</v>
      </c>
      <c r="C219" s="4" t="s">
        <v>79</v>
      </c>
      <c r="D219" s="59">
        <v>43.48</v>
      </c>
      <c r="E219" s="4" t="s">
        <v>22</v>
      </c>
      <c r="F219" s="4" t="s">
        <v>115</v>
      </c>
      <c r="H219" s="4" t="s">
        <v>115</v>
      </c>
      <c r="K219" s="4" t="s">
        <v>99</v>
      </c>
      <c r="L219" s="4" t="s">
        <v>98</v>
      </c>
      <c r="N219" s="13">
        <v>15</v>
      </c>
      <c r="O219" s="4">
        <f t="shared" si="8"/>
        <v>6.52</v>
      </c>
      <c r="P219" s="59">
        <f t="shared" si="9"/>
        <v>50</v>
      </c>
      <c r="Q219" s="4" t="s">
        <v>97</v>
      </c>
      <c r="R219" s="4" t="s">
        <v>137</v>
      </c>
    </row>
    <row r="220" spans="1:18" ht="22.5" customHeight="1" x14ac:dyDescent="0.25">
      <c r="A220" s="76">
        <v>46032</v>
      </c>
      <c r="B220" s="4" t="s">
        <v>75</v>
      </c>
      <c r="C220" s="4" t="s">
        <v>79</v>
      </c>
      <c r="D220" s="59">
        <v>14</v>
      </c>
      <c r="E220" s="4" t="s">
        <v>22</v>
      </c>
      <c r="F220" s="4" t="s">
        <v>57</v>
      </c>
      <c r="H220" s="4" t="s">
        <v>81</v>
      </c>
      <c r="K220" s="4" t="s">
        <v>99</v>
      </c>
      <c r="L220" s="4" t="s">
        <v>98</v>
      </c>
      <c r="N220" s="13">
        <v>0</v>
      </c>
      <c r="O220" s="4">
        <f t="shared" si="8"/>
        <v>0</v>
      </c>
      <c r="P220" s="59">
        <f t="shared" si="9"/>
        <v>14</v>
      </c>
      <c r="Q220" s="4" t="s">
        <v>97</v>
      </c>
      <c r="R220" s="4" t="s">
        <v>137</v>
      </c>
    </row>
    <row r="221" spans="1:18" ht="22.5" customHeight="1" x14ac:dyDescent="0.25">
      <c r="A221" s="76">
        <v>46033</v>
      </c>
      <c r="B221" s="4" t="s">
        <v>257</v>
      </c>
      <c r="C221" s="4" t="s">
        <v>79</v>
      </c>
      <c r="D221" s="59">
        <v>43.48</v>
      </c>
      <c r="E221" s="4" t="s">
        <v>22</v>
      </c>
      <c r="F221" s="4" t="s">
        <v>115</v>
      </c>
      <c r="H221" s="4" t="s">
        <v>115</v>
      </c>
      <c r="K221" s="4" t="s">
        <v>99</v>
      </c>
      <c r="L221" s="4" t="s">
        <v>98</v>
      </c>
      <c r="N221" s="13">
        <v>15</v>
      </c>
      <c r="O221" s="4">
        <f t="shared" si="8"/>
        <v>6.52</v>
      </c>
      <c r="P221" s="59">
        <f t="shared" si="9"/>
        <v>50</v>
      </c>
      <c r="Q221" s="4" t="s">
        <v>97</v>
      </c>
      <c r="R221" s="4" t="s">
        <v>137</v>
      </c>
    </row>
    <row r="222" spans="1:18" ht="22.5" customHeight="1" x14ac:dyDescent="0.25">
      <c r="A222" s="76">
        <v>46033</v>
      </c>
      <c r="B222" s="4" t="s">
        <v>331</v>
      </c>
      <c r="C222" s="4" t="s">
        <v>79</v>
      </c>
      <c r="D222" s="59">
        <v>43.48</v>
      </c>
      <c r="E222" s="4" t="s">
        <v>22</v>
      </c>
      <c r="F222" s="4" t="s">
        <v>115</v>
      </c>
      <c r="H222" s="4" t="s">
        <v>115</v>
      </c>
      <c r="K222" s="4" t="s">
        <v>99</v>
      </c>
      <c r="L222" s="4" t="s">
        <v>98</v>
      </c>
      <c r="N222" s="13">
        <v>15</v>
      </c>
      <c r="O222" s="4">
        <f t="shared" si="8"/>
        <v>6.52</v>
      </c>
      <c r="P222" s="59">
        <f t="shared" si="9"/>
        <v>50</v>
      </c>
      <c r="Q222" s="4" t="s">
        <v>97</v>
      </c>
      <c r="R222" s="4" t="s">
        <v>137</v>
      </c>
    </row>
    <row r="223" spans="1:18" ht="22.5" customHeight="1" x14ac:dyDescent="0.25">
      <c r="A223" s="76">
        <v>46033</v>
      </c>
      <c r="B223" s="4" t="s">
        <v>186</v>
      </c>
      <c r="C223" s="4" t="s">
        <v>79</v>
      </c>
      <c r="D223" s="59">
        <v>43.48</v>
      </c>
      <c r="E223" s="4" t="s">
        <v>22</v>
      </c>
      <c r="F223" s="4" t="s">
        <v>115</v>
      </c>
      <c r="G223" s="18" t="s">
        <v>375</v>
      </c>
      <c r="H223" s="4" t="s">
        <v>115</v>
      </c>
      <c r="K223" s="4" t="s">
        <v>99</v>
      </c>
      <c r="L223" s="4" t="s">
        <v>98</v>
      </c>
      <c r="N223" s="13">
        <v>15</v>
      </c>
      <c r="O223" s="4">
        <f t="shared" si="8"/>
        <v>6.52</v>
      </c>
      <c r="P223" s="59">
        <f t="shared" si="9"/>
        <v>50</v>
      </c>
      <c r="Q223" s="4" t="s">
        <v>97</v>
      </c>
      <c r="R223" s="4" t="s">
        <v>137</v>
      </c>
    </row>
    <row r="224" spans="1:18" ht="22.5" customHeight="1" x14ac:dyDescent="0.25">
      <c r="A224" s="76">
        <v>46033</v>
      </c>
      <c r="B224" s="4" t="s">
        <v>75</v>
      </c>
      <c r="C224" s="4" t="s">
        <v>79</v>
      </c>
      <c r="D224" s="59">
        <v>11</v>
      </c>
      <c r="E224" s="4" t="s">
        <v>22</v>
      </c>
      <c r="F224" s="4" t="s">
        <v>57</v>
      </c>
      <c r="H224" s="4" t="s">
        <v>81</v>
      </c>
      <c r="K224" s="4" t="s">
        <v>99</v>
      </c>
      <c r="L224" s="4" t="s">
        <v>98</v>
      </c>
      <c r="N224" s="13">
        <v>0</v>
      </c>
      <c r="O224" s="4">
        <f t="shared" si="8"/>
        <v>0</v>
      </c>
      <c r="P224" s="59">
        <f t="shared" si="9"/>
        <v>11</v>
      </c>
      <c r="Q224" s="4" t="s">
        <v>97</v>
      </c>
      <c r="R224" s="4" t="s">
        <v>137</v>
      </c>
    </row>
    <row r="225" spans="1:18" ht="22.5" customHeight="1" x14ac:dyDescent="0.25">
      <c r="A225" s="76">
        <v>46033</v>
      </c>
      <c r="B225" s="4" t="s">
        <v>271</v>
      </c>
      <c r="C225" s="4" t="s">
        <v>79</v>
      </c>
      <c r="D225" s="59">
        <v>800</v>
      </c>
      <c r="E225" s="4" t="s">
        <v>22</v>
      </c>
      <c r="F225" s="4" t="s">
        <v>272</v>
      </c>
      <c r="H225" s="4" t="s">
        <v>196</v>
      </c>
      <c r="K225" s="4" t="s">
        <v>99</v>
      </c>
      <c r="L225" s="4" t="s">
        <v>98</v>
      </c>
      <c r="N225" s="13">
        <v>0</v>
      </c>
      <c r="O225" s="4">
        <f t="shared" si="8"/>
        <v>0</v>
      </c>
      <c r="P225" s="59">
        <f t="shared" si="9"/>
        <v>800</v>
      </c>
      <c r="Q225" s="4" t="s">
        <v>97</v>
      </c>
      <c r="R225" s="4" t="s">
        <v>137</v>
      </c>
    </row>
    <row r="226" spans="1:18" ht="22.5" customHeight="1" x14ac:dyDescent="0.25">
      <c r="A226" s="76">
        <v>46033</v>
      </c>
      <c r="B226" s="4" t="s">
        <v>370</v>
      </c>
      <c r="C226" s="4" t="s">
        <v>79</v>
      </c>
      <c r="D226" s="59">
        <v>400</v>
      </c>
      <c r="E226" s="4" t="s">
        <v>22</v>
      </c>
      <c r="F226" s="4" t="s">
        <v>253</v>
      </c>
      <c r="H226" s="4" t="s">
        <v>338</v>
      </c>
      <c r="K226" s="4" t="s">
        <v>99</v>
      </c>
      <c r="L226" s="4" t="s">
        <v>98</v>
      </c>
      <c r="N226" s="13">
        <v>0</v>
      </c>
      <c r="O226" s="4">
        <f t="shared" si="8"/>
        <v>0</v>
      </c>
      <c r="P226" s="59">
        <f t="shared" si="9"/>
        <v>400</v>
      </c>
      <c r="Q226" s="4" t="s">
        <v>97</v>
      </c>
      <c r="R226" s="4" t="s">
        <v>137</v>
      </c>
    </row>
    <row r="227" spans="1:18" ht="22.5" customHeight="1" x14ac:dyDescent="0.25">
      <c r="A227" s="76">
        <v>46033</v>
      </c>
      <c r="B227" s="4" t="s">
        <v>161</v>
      </c>
      <c r="C227" s="4" t="s">
        <v>79</v>
      </c>
      <c r="D227" s="59">
        <v>100</v>
      </c>
      <c r="E227" s="4" t="s">
        <v>22</v>
      </c>
      <c r="F227" s="4" t="s">
        <v>25</v>
      </c>
      <c r="H227" s="4" t="s">
        <v>167</v>
      </c>
      <c r="K227" s="4" t="s">
        <v>162</v>
      </c>
      <c r="L227" s="4" t="s">
        <v>163</v>
      </c>
      <c r="N227" s="13">
        <v>0</v>
      </c>
      <c r="O227" s="4">
        <f t="shared" si="8"/>
        <v>0</v>
      </c>
      <c r="P227" s="59">
        <f t="shared" si="9"/>
        <v>100</v>
      </c>
      <c r="Q227" s="4" t="s">
        <v>97</v>
      </c>
      <c r="R227" s="4" t="s">
        <v>232</v>
      </c>
    </row>
    <row r="228" spans="1:18" ht="22.5" customHeight="1" x14ac:dyDescent="0.25">
      <c r="A228" s="76">
        <v>46033</v>
      </c>
      <c r="B228" s="4" t="s">
        <v>371</v>
      </c>
      <c r="C228" s="4" t="s">
        <v>79</v>
      </c>
      <c r="D228" s="59">
        <v>700</v>
      </c>
      <c r="E228" s="4" t="s">
        <v>22</v>
      </c>
      <c r="F228" s="4" t="s">
        <v>252</v>
      </c>
      <c r="H228" s="4" t="s">
        <v>80</v>
      </c>
      <c r="K228" s="4" t="s">
        <v>368</v>
      </c>
      <c r="L228" s="4" t="s">
        <v>98</v>
      </c>
      <c r="N228" s="13">
        <v>0</v>
      </c>
      <c r="O228" s="4">
        <f t="shared" si="8"/>
        <v>0</v>
      </c>
      <c r="P228" s="59">
        <f t="shared" si="9"/>
        <v>700</v>
      </c>
      <c r="Q228" s="4" t="s">
        <v>97</v>
      </c>
      <c r="R228" s="4" t="s">
        <v>191</v>
      </c>
    </row>
    <row r="229" spans="1:18" s="21" customFormat="1" ht="22.5" customHeight="1" x14ac:dyDescent="0.25">
      <c r="A229" s="76">
        <v>46033</v>
      </c>
      <c r="B229" s="21" t="s">
        <v>372</v>
      </c>
      <c r="C229" s="21" t="s">
        <v>79</v>
      </c>
      <c r="D229" s="63">
        <v>4300</v>
      </c>
      <c r="E229" s="21" t="s">
        <v>26</v>
      </c>
      <c r="F229" s="21" t="s">
        <v>89</v>
      </c>
      <c r="G229" s="45"/>
      <c r="H229" s="21" t="s">
        <v>167</v>
      </c>
      <c r="K229" s="21" t="s">
        <v>105</v>
      </c>
      <c r="L229" s="21" t="s">
        <v>86</v>
      </c>
      <c r="M229" s="21" t="s">
        <v>278</v>
      </c>
      <c r="N229" s="22">
        <v>15</v>
      </c>
      <c r="O229" s="21">
        <f t="shared" si="8"/>
        <v>645</v>
      </c>
      <c r="P229" s="63">
        <f t="shared" si="9"/>
        <v>4945</v>
      </c>
      <c r="Q229" s="21" t="s">
        <v>91</v>
      </c>
      <c r="R229" s="21" t="s">
        <v>373</v>
      </c>
    </row>
    <row r="230" spans="1:18" s="6" customFormat="1" ht="22.5" customHeight="1" x14ac:dyDescent="0.25">
      <c r="A230" s="83">
        <v>46033</v>
      </c>
      <c r="B230" s="6" t="s">
        <v>275</v>
      </c>
      <c r="C230" s="6" t="s">
        <v>88</v>
      </c>
      <c r="D230" s="60">
        <v>4300</v>
      </c>
      <c r="E230" s="6" t="s">
        <v>22</v>
      </c>
      <c r="F230" s="6" t="s">
        <v>89</v>
      </c>
      <c r="G230" s="6" t="s">
        <v>189</v>
      </c>
      <c r="H230" s="6" t="s">
        <v>167</v>
      </c>
      <c r="K230" s="6" t="s">
        <v>105</v>
      </c>
      <c r="L230" s="6" t="s">
        <v>86</v>
      </c>
      <c r="M230" s="6" t="s">
        <v>278</v>
      </c>
      <c r="N230" s="14">
        <v>15</v>
      </c>
      <c r="O230" s="6">
        <f t="shared" si="8"/>
        <v>645</v>
      </c>
      <c r="P230" s="60">
        <f t="shared" si="9"/>
        <v>4945</v>
      </c>
      <c r="Q230" s="6" t="s">
        <v>97</v>
      </c>
      <c r="R230" s="6" t="s">
        <v>227</v>
      </c>
    </row>
    <row r="231" spans="1:18" s="6" customFormat="1" ht="22.5" customHeight="1" x14ac:dyDescent="0.25">
      <c r="A231" s="83">
        <v>46034</v>
      </c>
      <c r="B231" s="6" t="s">
        <v>275</v>
      </c>
      <c r="C231" s="6" t="s">
        <v>88</v>
      </c>
      <c r="D231" s="60">
        <v>1920</v>
      </c>
      <c r="E231" s="6" t="s">
        <v>22</v>
      </c>
      <c r="F231" s="6" t="s">
        <v>89</v>
      </c>
      <c r="G231" s="6" t="s">
        <v>375</v>
      </c>
      <c r="H231" s="6" t="s">
        <v>167</v>
      </c>
      <c r="K231" s="6" t="s">
        <v>364</v>
      </c>
      <c r="L231" s="6" t="s">
        <v>86</v>
      </c>
      <c r="M231" s="6" t="s">
        <v>376</v>
      </c>
      <c r="N231" s="14">
        <v>15</v>
      </c>
      <c r="O231" s="6">
        <f t="shared" si="8"/>
        <v>288</v>
      </c>
      <c r="P231" s="60">
        <f t="shared" si="9"/>
        <v>2208</v>
      </c>
      <c r="Q231" s="6" t="s">
        <v>97</v>
      </c>
      <c r="R231" s="6" t="s">
        <v>227</v>
      </c>
    </row>
    <row r="232" spans="1:18" ht="22.5" customHeight="1" x14ac:dyDescent="0.25">
      <c r="A232" s="76">
        <v>46034</v>
      </c>
      <c r="B232" s="4" t="s">
        <v>186</v>
      </c>
      <c r="C232" s="4" t="s">
        <v>79</v>
      </c>
      <c r="D232" s="59">
        <v>43.48</v>
      </c>
      <c r="E232" s="4" t="s">
        <v>22</v>
      </c>
      <c r="F232" s="4" t="s">
        <v>115</v>
      </c>
      <c r="G232" s="18" t="s">
        <v>375</v>
      </c>
      <c r="H232" s="4" t="s">
        <v>115</v>
      </c>
      <c r="K232" s="4" t="s">
        <v>99</v>
      </c>
      <c r="L232" s="4" t="s">
        <v>98</v>
      </c>
      <c r="N232" s="22">
        <v>15</v>
      </c>
      <c r="O232" s="4">
        <f t="shared" si="8"/>
        <v>6.52</v>
      </c>
      <c r="P232" s="59">
        <f t="shared" si="9"/>
        <v>50</v>
      </c>
      <c r="Q232" s="4" t="s">
        <v>97</v>
      </c>
      <c r="R232" s="4" t="s">
        <v>191</v>
      </c>
    </row>
    <row r="233" spans="1:18" ht="22.5" customHeight="1" x14ac:dyDescent="0.25">
      <c r="A233" s="76">
        <v>46034</v>
      </c>
      <c r="B233" s="4" t="s">
        <v>257</v>
      </c>
      <c r="C233" s="4" t="s">
        <v>79</v>
      </c>
      <c r="D233" s="59">
        <v>43.48</v>
      </c>
      <c r="E233" s="4" t="s">
        <v>22</v>
      </c>
      <c r="F233" s="4" t="s">
        <v>115</v>
      </c>
      <c r="H233" s="4" t="s">
        <v>115</v>
      </c>
      <c r="K233" s="4" t="s">
        <v>99</v>
      </c>
      <c r="L233" s="4" t="s">
        <v>98</v>
      </c>
      <c r="N233" s="22">
        <v>15</v>
      </c>
      <c r="O233" s="4">
        <f t="shared" si="8"/>
        <v>6.52</v>
      </c>
      <c r="P233" s="59">
        <f t="shared" si="9"/>
        <v>50</v>
      </c>
      <c r="Q233" s="4" t="s">
        <v>97</v>
      </c>
      <c r="R233" s="4" t="s">
        <v>137</v>
      </c>
    </row>
    <row r="234" spans="1:18" ht="22.5" customHeight="1" x14ac:dyDescent="0.25">
      <c r="A234" s="76">
        <v>46034</v>
      </c>
      <c r="B234" s="4" t="s">
        <v>75</v>
      </c>
      <c r="C234" s="4" t="s">
        <v>79</v>
      </c>
      <c r="D234" s="59">
        <v>20</v>
      </c>
      <c r="E234" s="4" t="s">
        <v>22</v>
      </c>
      <c r="F234" s="4" t="s">
        <v>57</v>
      </c>
      <c r="H234" s="4" t="s">
        <v>81</v>
      </c>
      <c r="K234" s="4" t="s">
        <v>99</v>
      </c>
      <c r="L234" s="4" t="s">
        <v>98</v>
      </c>
      <c r="N234" s="22">
        <v>15</v>
      </c>
      <c r="O234" s="4">
        <f t="shared" si="8"/>
        <v>3</v>
      </c>
      <c r="P234" s="59">
        <f t="shared" si="9"/>
        <v>23</v>
      </c>
      <c r="Q234" s="4" t="s">
        <v>97</v>
      </c>
      <c r="R234" s="4" t="s">
        <v>137</v>
      </c>
    </row>
    <row r="235" spans="1:18" ht="22.5" customHeight="1" x14ac:dyDescent="0.25">
      <c r="A235" s="76">
        <v>46034</v>
      </c>
      <c r="B235" s="4" t="s">
        <v>161</v>
      </c>
      <c r="C235" s="4" t="s">
        <v>79</v>
      </c>
      <c r="D235" s="59">
        <v>50</v>
      </c>
      <c r="E235" s="4" t="s">
        <v>22</v>
      </c>
      <c r="F235" s="4" t="s">
        <v>25</v>
      </c>
      <c r="H235" s="4" t="s">
        <v>167</v>
      </c>
      <c r="K235" s="4" t="s">
        <v>162</v>
      </c>
      <c r="L235" s="4" t="s">
        <v>163</v>
      </c>
      <c r="N235" s="13">
        <v>0</v>
      </c>
      <c r="O235" s="4">
        <f t="shared" si="8"/>
        <v>0</v>
      </c>
      <c r="P235" s="59">
        <f t="shared" si="9"/>
        <v>50</v>
      </c>
      <c r="Q235" s="4" t="s">
        <v>97</v>
      </c>
      <c r="R235" s="4" t="s">
        <v>232</v>
      </c>
    </row>
    <row r="236" spans="1:18" ht="22.5" customHeight="1" x14ac:dyDescent="0.25">
      <c r="A236" s="76">
        <v>46035</v>
      </c>
      <c r="B236" s="4" t="s">
        <v>75</v>
      </c>
      <c r="C236" s="4" t="s">
        <v>79</v>
      </c>
      <c r="D236" s="59">
        <v>5</v>
      </c>
      <c r="E236" s="4" t="s">
        <v>22</v>
      </c>
      <c r="F236" s="4" t="s">
        <v>57</v>
      </c>
      <c r="H236" s="4" t="s">
        <v>81</v>
      </c>
      <c r="K236" s="4" t="s">
        <v>99</v>
      </c>
      <c r="L236" s="4" t="s">
        <v>98</v>
      </c>
      <c r="N236" s="13">
        <v>0</v>
      </c>
      <c r="O236" s="4">
        <f t="shared" si="8"/>
        <v>0</v>
      </c>
      <c r="P236" s="59">
        <f t="shared" si="9"/>
        <v>5</v>
      </c>
      <c r="Q236" s="4" t="s">
        <v>97</v>
      </c>
      <c r="R236" s="4" t="s">
        <v>137</v>
      </c>
    </row>
    <row r="237" spans="1:18" ht="22.5" customHeight="1" x14ac:dyDescent="0.25">
      <c r="A237" s="81">
        <v>46035</v>
      </c>
      <c r="B237" s="4" t="s">
        <v>395</v>
      </c>
      <c r="C237" s="4" t="s">
        <v>79</v>
      </c>
      <c r="D237" s="59">
        <v>100</v>
      </c>
      <c r="E237" s="4" t="s">
        <v>22</v>
      </c>
      <c r="F237" s="4" t="s">
        <v>252</v>
      </c>
      <c r="H237" s="4" t="s">
        <v>167</v>
      </c>
      <c r="K237" s="4" t="s">
        <v>231</v>
      </c>
      <c r="L237" s="4" t="s">
        <v>98</v>
      </c>
      <c r="N237" s="13">
        <v>0</v>
      </c>
      <c r="O237" s="4">
        <f t="shared" si="8"/>
        <v>0</v>
      </c>
      <c r="P237" s="59">
        <f t="shared" si="9"/>
        <v>100</v>
      </c>
      <c r="Q237" s="4" t="s">
        <v>97</v>
      </c>
      <c r="R237" s="4" t="s">
        <v>377</v>
      </c>
    </row>
    <row r="238" spans="1:18" ht="22.5" customHeight="1" x14ac:dyDescent="0.25">
      <c r="A238" s="76">
        <v>46035</v>
      </c>
      <c r="B238" s="4" t="s">
        <v>186</v>
      </c>
      <c r="C238" s="4" t="s">
        <v>79</v>
      </c>
      <c r="D238" s="59">
        <v>121.7</v>
      </c>
      <c r="E238" s="4" t="s">
        <v>22</v>
      </c>
      <c r="F238" s="4" t="s">
        <v>115</v>
      </c>
      <c r="H238" s="4" t="s">
        <v>115</v>
      </c>
      <c r="K238" s="4" t="s">
        <v>99</v>
      </c>
      <c r="L238" s="4" t="s">
        <v>98</v>
      </c>
      <c r="N238" s="22">
        <v>15</v>
      </c>
      <c r="O238" s="4">
        <f t="shared" si="8"/>
        <v>18.260000000000002</v>
      </c>
      <c r="P238" s="59">
        <f t="shared" si="9"/>
        <v>139.96</v>
      </c>
      <c r="Q238" s="4" t="s">
        <v>97</v>
      </c>
      <c r="R238" s="4" t="s">
        <v>137</v>
      </c>
    </row>
    <row r="239" spans="1:18" ht="22.5" customHeight="1" x14ac:dyDescent="0.25">
      <c r="A239" s="76">
        <v>46035</v>
      </c>
      <c r="B239" s="4" t="s">
        <v>161</v>
      </c>
      <c r="C239" s="4" t="s">
        <v>79</v>
      </c>
      <c r="D239" s="59">
        <v>100</v>
      </c>
      <c r="E239" s="4" t="s">
        <v>22</v>
      </c>
      <c r="F239" s="4" t="s">
        <v>25</v>
      </c>
      <c r="H239" s="4" t="s">
        <v>196</v>
      </c>
      <c r="K239" s="4" t="s">
        <v>162</v>
      </c>
      <c r="L239" s="4" t="s">
        <v>163</v>
      </c>
      <c r="N239" s="13">
        <v>0</v>
      </c>
      <c r="O239" s="4">
        <f t="shared" si="8"/>
        <v>0</v>
      </c>
      <c r="P239" s="59">
        <f t="shared" si="9"/>
        <v>100</v>
      </c>
      <c r="Q239" s="4" t="s">
        <v>97</v>
      </c>
      <c r="R239" s="4" t="s">
        <v>232</v>
      </c>
    </row>
    <row r="240" spans="1:18" ht="22.5" customHeight="1" x14ac:dyDescent="0.25">
      <c r="A240" s="76">
        <v>46035</v>
      </c>
      <c r="B240" s="4" t="s">
        <v>241</v>
      </c>
      <c r="C240" s="4" t="s">
        <v>79</v>
      </c>
      <c r="D240" s="59">
        <v>350</v>
      </c>
      <c r="E240" s="4" t="s">
        <v>22</v>
      </c>
      <c r="F240" s="4" t="s">
        <v>253</v>
      </c>
      <c r="H240" s="4" t="s">
        <v>196</v>
      </c>
      <c r="K240" s="4" t="s">
        <v>610</v>
      </c>
      <c r="L240" s="4" t="s">
        <v>98</v>
      </c>
      <c r="N240" s="13">
        <v>0</v>
      </c>
      <c r="O240" s="4">
        <f t="shared" si="8"/>
        <v>0</v>
      </c>
      <c r="P240" s="59">
        <f t="shared" si="9"/>
        <v>350</v>
      </c>
      <c r="Q240" s="4" t="s">
        <v>97</v>
      </c>
      <c r="R240" s="4" t="s">
        <v>137</v>
      </c>
    </row>
    <row r="241" spans="1:18" ht="22.5" customHeight="1" x14ac:dyDescent="0.25">
      <c r="A241" s="76">
        <v>46035</v>
      </c>
      <c r="B241" s="4" t="s">
        <v>378</v>
      </c>
      <c r="C241" s="4" t="s">
        <v>79</v>
      </c>
      <c r="D241" s="59">
        <v>5</v>
      </c>
      <c r="E241" s="4" t="s">
        <v>22</v>
      </c>
      <c r="F241" s="4" t="s">
        <v>378</v>
      </c>
      <c r="H241" s="4" t="s">
        <v>379</v>
      </c>
      <c r="K241" s="4" t="s">
        <v>99</v>
      </c>
      <c r="L241" s="4" t="s">
        <v>98</v>
      </c>
      <c r="N241" s="13">
        <v>0</v>
      </c>
      <c r="O241" s="4">
        <f t="shared" si="8"/>
        <v>0</v>
      </c>
      <c r="P241" s="59">
        <f t="shared" si="9"/>
        <v>5</v>
      </c>
      <c r="Q241" s="4" t="s">
        <v>97</v>
      </c>
      <c r="R241" s="4" t="s">
        <v>137</v>
      </c>
    </row>
    <row r="242" spans="1:18" ht="22.5" customHeight="1" x14ac:dyDescent="0.25">
      <c r="A242" s="76">
        <v>46036</v>
      </c>
      <c r="B242" s="4" t="s">
        <v>75</v>
      </c>
      <c r="C242" s="4" t="s">
        <v>79</v>
      </c>
      <c r="D242" s="59">
        <v>29</v>
      </c>
      <c r="E242" s="4" t="s">
        <v>22</v>
      </c>
      <c r="F242" s="4" t="s">
        <v>57</v>
      </c>
      <c r="G242" s="18" t="s">
        <v>353</v>
      </c>
      <c r="H242" s="4" t="s">
        <v>81</v>
      </c>
      <c r="K242" s="4" t="s">
        <v>99</v>
      </c>
      <c r="L242" s="4" t="s">
        <v>98</v>
      </c>
      <c r="N242" s="22">
        <v>15</v>
      </c>
      <c r="O242" s="4">
        <f t="shared" si="8"/>
        <v>4.3499999999999996</v>
      </c>
      <c r="P242" s="59">
        <f t="shared" si="9"/>
        <v>33.35</v>
      </c>
      <c r="Q242" s="4" t="s">
        <v>97</v>
      </c>
      <c r="R242" s="4" t="s">
        <v>191</v>
      </c>
    </row>
    <row r="243" spans="1:18" ht="22.5" customHeight="1" x14ac:dyDescent="0.25">
      <c r="A243" s="76">
        <v>46036</v>
      </c>
      <c r="B243" s="4" t="s">
        <v>378</v>
      </c>
      <c r="C243" s="4" t="s">
        <v>79</v>
      </c>
      <c r="D243" s="59">
        <v>15</v>
      </c>
      <c r="E243" s="4" t="s">
        <v>22</v>
      </c>
      <c r="F243" s="4" t="s">
        <v>378</v>
      </c>
      <c r="G243" s="18" t="s">
        <v>353</v>
      </c>
      <c r="H243" s="4" t="s">
        <v>379</v>
      </c>
      <c r="K243" s="4" t="s">
        <v>99</v>
      </c>
      <c r="L243" s="4" t="s">
        <v>98</v>
      </c>
      <c r="N243" s="13">
        <v>0</v>
      </c>
      <c r="O243" s="4">
        <f t="shared" si="8"/>
        <v>0</v>
      </c>
      <c r="P243" s="59">
        <f t="shared" si="9"/>
        <v>15</v>
      </c>
      <c r="Q243" s="4" t="s">
        <v>97</v>
      </c>
      <c r="R243" s="4" t="s">
        <v>191</v>
      </c>
    </row>
    <row r="244" spans="1:18" ht="22.5" customHeight="1" x14ac:dyDescent="0.25">
      <c r="A244" s="76">
        <v>46036</v>
      </c>
      <c r="B244" s="4" t="s">
        <v>257</v>
      </c>
      <c r="C244" s="4" t="s">
        <v>79</v>
      </c>
      <c r="D244" s="59">
        <v>60.86</v>
      </c>
      <c r="E244" s="4" t="s">
        <v>22</v>
      </c>
      <c r="F244" s="4" t="s">
        <v>115</v>
      </c>
      <c r="G244" s="18" t="s">
        <v>353</v>
      </c>
      <c r="H244" s="4" t="s">
        <v>115</v>
      </c>
      <c r="K244" s="4" t="s">
        <v>99</v>
      </c>
      <c r="L244" s="4" t="s">
        <v>98</v>
      </c>
      <c r="N244" s="13">
        <v>15</v>
      </c>
      <c r="O244" s="4">
        <f t="shared" si="8"/>
        <v>9.1300000000000008</v>
      </c>
      <c r="P244" s="59">
        <f t="shared" si="9"/>
        <v>69.989999999999995</v>
      </c>
      <c r="Q244" s="4" t="s">
        <v>97</v>
      </c>
      <c r="R244" s="4" t="s">
        <v>191</v>
      </c>
    </row>
    <row r="245" spans="1:18" ht="22.5" customHeight="1" x14ac:dyDescent="0.25">
      <c r="A245" s="76">
        <v>46036</v>
      </c>
      <c r="B245" s="4" t="s">
        <v>380</v>
      </c>
      <c r="C245" s="4" t="s">
        <v>79</v>
      </c>
      <c r="D245" s="59">
        <v>500</v>
      </c>
      <c r="E245" s="4" t="s">
        <v>22</v>
      </c>
      <c r="F245" s="4" t="s">
        <v>203</v>
      </c>
      <c r="H245" s="4" t="s">
        <v>206</v>
      </c>
      <c r="K245" s="4" t="s">
        <v>99</v>
      </c>
      <c r="L245" s="4" t="s">
        <v>98</v>
      </c>
      <c r="N245" s="13">
        <v>0</v>
      </c>
      <c r="O245" s="4">
        <f t="shared" si="8"/>
        <v>0</v>
      </c>
      <c r="P245" s="59">
        <f t="shared" si="9"/>
        <v>500</v>
      </c>
      <c r="Q245" s="4" t="s">
        <v>97</v>
      </c>
      <c r="R245" s="4" t="s">
        <v>137</v>
      </c>
    </row>
    <row r="246" spans="1:18" ht="22.5" customHeight="1" x14ac:dyDescent="0.25">
      <c r="A246" s="76">
        <v>46036</v>
      </c>
      <c r="B246" s="4" t="s">
        <v>161</v>
      </c>
      <c r="C246" s="4" t="s">
        <v>79</v>
      </c>
      <c r="D246" s="59">
        <v>100</v>
      </c>
      <c r="E246" s="4" t="s">
        <v>22</v>
      </c>
      <c r="F246" s="4" t="s">
        <v>25</v>
      </c>
      <c r="H246" s="4" t="s">
        <v>196</v>
      </c>
      <c r="K246" s="4" t="s">
        <v>162</v>
      </c>
      <c r="L246" s="4" t="s">
        <v>163</v>
      </c>
      <c r="N246" s="13">
        <v>0</v>
      </c>
      <c r="O246" s="4">
        <f t="shared" si="8"/>
        <v>0</v>
      </c>
      <c r="P246" s="59">
        <f t="shared" si="9"/>
        <v>100</v>
      </c>
      <c r="Q246" s="4" t="s">
        <v>97</v>
      </c>
      <c r="R246" s="4" t="s">
        <v>232</v>
      </c>
    </row>
    <row r="247" spans="1:18" ht="22.5" customHeight="1" x14ac:dyDescent="0.25">
      <c r="A247" s="76">
        <v>46036</v>
      </c>
      <c r="B247" s="4" t="s">
        <v>318</v>
      </c>
      <c r="C247" s="4" t="s">
        <v>79</v>
      </c>
      <c r="D247" s="59">
        <v>20</v>
      </c>
      <c r="E247" s="4" t="s">
        <v>22</v>
      </c>
      <c r="F247" s="4" t="s">
        <v>166</v>
      </c>
      <c r="G247" s="18" t="s">
        <v>353</v>
      </c>
      <c r="H247" s="4" t="s">
        <v>80</v>
      </c>
      <c r="K247" s="4" t="s">
        <v>99</v>
      </c>
      <c r="L247" s="4" t="s">
        <v>98</v>
      </c>
      <c r="N247" s="13">
        <v>0</v>
      </c>
      <c r="O247" s="4">
        <f t="shared" si="8"/>
        <v>0</v>
      </c>
      <c r="P247" s="59">
        <f t="shared" si="9"/>
        <v>20</v>
      </c>
      <c r="Q247" s="4" t="s">
        <v>97</v>
      </c>
      <c r="R247" s="4" t="s">
        <v>137</v>
      </c>
    </row>
    <row r="248" spans="1:18" ht="22.5" customHeight="1" x14ac:dyDescent="0.25">
      <c r="A248" s="76">
        <v>46036</v>
      </c>
      <c r="B248" s="4" t="s">
        <v>383</v>
      </c>
      <c r="C248" s="4" t="s">
        <v>79</v>
      </c>
      <c r="D248" s="59">
        <v>1000</v>
      </c>
      <c r="E248" s="4" t="s">
        <v>22</v>
      </c>
      <c r="F248" s="4" t="s">
        <v>251</v>
      </c>
      <c r="G248" s="18" t="s">
        <v>384</v>
      </c>
      <c r="H248" s="4" t="s">
        <v>251</v>
      </c>
      <c r="K248" s="4" t="s">
        <v>385</v>
      </c>
      <c r="L248" s="4" t="s">
        <v>98</v>
      </c>
      <c r="N248" s="13">
        <v>0</v>
      </c>
      <c r="O248" s="4">
        <f t="shared" si="8"/>
        <v>0</v>
      </c>
      <c r="P248" s="59">
        <f t="shared" si="9"/>
        <v>1000</v>
      </c>
      <c r="Q248" s="4" t="s">
        <v>97</v>
      </c>
      <c r="R248" s="4" t="s">
        <v>191</v>
      </c>
    </row>
    <row r="249" spans="1:18" ht="22.5" customHeight="1" x14ac:dyDescent="0.25">
      <c r="A249" s="76">
        <v>46036</v>
      </c>
      <c r="B249" s="4" t="s">
        <v>386</v>
      </c>
      <c r="C249" s="4" t="s">
        <v>79</v>
      </c>
      <c r="D249" s="59">
        <v>2608.61</v>
      </c>
      <c r="E249" s="4" t="s">
        <v>22</v>
      </c>
      <c r="F249" s="4" t="s">
        <v>166</v>
      </c>
      <c r="G249" s="18" t="s">
        <v>384</v>
      </c>
      <c r="H249" s="4" t="s">
        <v>80</v>
      </c>
      <c r="K249" s="4" t="s">
        <v>124</v>
      </c>
      <c r="L249" s="4" t="s">
        <v>86</v>
      </c>
      <c r="N249" s="13">
        <v>15</v>
      </c>
      <c r="O249" s="4">
        <f t="shared" si="8"/>
        <v>391.29</v>
      </c>
      <c r="P249" s="59">
        <f t="shared" si="9"/>
        <v>2999.9</v>
      </c>
      <c r="Q249" s="4" t="s">
        <v>97</v>
      </c>
      <c r="R249" s="4" t="s">
        <v>191</v>
      </c>
    </row>
    <row r="250" spans="1:18" s="24" customFormat="1" ht="22.5" customHeight="1" x14ac:dyDescent="0.25">
      <c r="A250" s="79">
        <v>46036</v>
      </c>
      <c r="B250" s="24" t="s">
        <v>388</v>
      </c>
      <c r="C250" s="24" t="s">
        <v>79</v>
      </c>
      <c r="D250" s="62">
        <v>2000</v>
      </c>
      <c r="E250" s="24" t="s">
        <v>27</v>
      </c>
      <c r="F250" s="24" t="s">
        <v>249</v>
      </c>
      <c r="G250" s="24" t="s">
        <v>353</v>
      </c>
      <c r="H250" s="24" t="s">
        <v>80</v>
      </c>
      <c r="K250" s="24" t="s">
        <v>389</v>
      </c>
      <c r="L250" s="24" t="s">
        <v>98</v>
      </c>
      <c r="N250" s="25">
        <v>0</v>
      </c>
      <c r="O250" s="24">
        <f t="shared" si="8"/>
        <v>0</v>
      </c>
      <c r="P250" s="62">
        <f t="shared" si="9"/>
        <v>2000</v>
      </c>
      <c r="Q250" s="24" t="s">
        <v>91</v>
      </c>
      <c r="R250" s="24" t="s">
        <v>191</v>
      </c>
    </row>
    <row r="251" spans="1:18" s="24" customFormat="1" ht="22.5" customHeight="1" x14ac:dyDescent="0.25">
      <c r="A251" s="79">
        <v>46036</v>
      </c>
      <c r="B251" s="24" t="s">
        <v>390</v>
      </c>
      <c r="C251" s="24" t="s">
        <v>79</v>
      </c>
      <c r="D251" s="62">
        <v>1000</v>
      </c>
      <c r="E251" s="24" t="s">
        <v>27</v>
      </c>
      <c r="F251" s="24" t="s">
        <v>166</v>
      </c>
      <c r="G251" s="24" t="s">
        <v>353</v>
      </c>
      <c r="H251" s="24" t="s">
        <v>80</v>
      </c>
      <c r="K251" s="24" t="s">
        <v>132</v>
      </c>
      <c r="L251" s="24" t="s">
        <v>98</v>
      </c>
      <c r="N251" s="25">
        <v>0</v>
      </c>
      <c r="O251" s="24">
        <f t="shared" si="8"/>
        <v>0</v>
      </c>
      <c r="P251" s="62">
        <f t="shared" si="9"/>
        <v>1000</v>
      </c>
      <c r="Q251" s="24" t="s">
        <v>91</v>
      </c>
      <c r="R251" s="24" t="s">
        <v>212</v>
      </c>
    </row>
    <row r="252" spans="1:18" ht="22.5" customHeight="1" x14ac:dyDescent="0.25">
      <c r="A252" s="76">
        <v>46037</v>
      </c>
      <c r="B252" s="4" t="s">
        <v>257</v>
      </c>
      <c r="C252" s="4" t="s">
        <v>79</v>
      </c>
      <c r="D252" s="59">
        <v>86.96</v>
      </c>
      <c r="E252" s="4" t="s">
        <v>22</v>
      </c>
      <c r="F252" s="4" t="s">
        <v>115</v>
      </c>
      <c r="G252" s="18" t="s">
        <v>353</v>
      </c>
      <c r="H252" s="4" t="s">
        <v>115</v>
      </c>
      <c r="K252" s="4" t="s">
        <v>99</v>
      </c>
      <c r="L252" s="4" t="s">
        <v>98</v>
      </c>
      <c r="N252" s="13">
        <v>15</v>
      </c>
      <c r="O252" s="4">
        <f t="shared" si="8"/>
        <v>13.04</v>
      </c>
      <c r="P252" s="59">
        <f t="shared" si="9"/>
        <v>100</v>
      </c>
      <c r="Q252" s="4" t="s">
        <v>97</v>
      </c>
      <c r="R252" s="4" t="s">
        <v>212</v>
      </c>
    </row>
    <row r="253" spans="1:18" ht="22.5" customHeight="1" x14ac:dyDescent="0.25">
      <c r="A253" s="76">
        <v>46037</v>
      </c>
      <c r="B253" s="4" t="s">
        <v>186</v>
      </c>
      <c r="C253" s="4" t="s">
        <v>79</v>
      </c>
      <c r="D253" s="59">
        <v>26.1</v>
      </c>
      <c r="E253" s="4" t="s">
        <v>22</v>
      </c>
      <c r="F253" s="4" t="s">
        <v>115</v>
      </c>
      <c r="G253" s="18" t="s">
        <v>353</v>
      </c>
      <c r="H253" s="4" t="s">
        <v>115</v>
      </c>
      <c r="K253" s="4" t="s">
        <v>99</v>
      </c>
      <c r="L253" s="4" t="s">
        <v>98</v>
      </c>
      <c r="N253" s="13">
        <v>15</v>
      </c>
      <c r="O253" s="4">
        <f t="shared" si="8"/>
        <v>3.92</v>
      </c>
      <c r="P253" s="59">
        <f t="shared" si="9"/>
        <v>30.020000000000003</v>
      </c>
      <c r="Q253" s="4" t="s">
        <v>97</v>
      </c>
      <c r="R253" s="4" t="s">
        <v>212</v>
      </c>
    </row>
    <row r="254" spans="1:18" ht="22.5" customHeight="1" x14ac:dyDescent="0.25">
      <c r="A254" s="76">
        <v>46037</v>
      </c>
      <c r="B254" s="4" t="s">
        <v>75</v>
      </c>
      <c r="C254" s="4" t="s">
        <v>79</v>
      </c>
      <c r="D254" s="59">
        <v>29.5</v>
      </c>
      <c r="E254" s="4" t="s">
        <v>22</v>
      </c>
      <c r="F254" s="4" t="s">
        <v>57</v>
      </c>
      <c r="G254" s="18" t="s">
        <v>353</v>
      </c>
      <c r="H254" s="4" t="s">
        <v>81</v>
      </c>
      <c r="K254" s="4" t="s">
        <v>99</v>
      </c>
      <c r="L254" s="4" t="s">
        <v>98</v>
      </c>
      <c r="N254" s="13">
        <v>15</v>
      </c>
      <c r="O254" s="4">
        <f t="shared" si="8"/>
        <v>4.43</v>
      </c>
      <c r="P254" s="59">
        <f t="shared" si="9"/>
        <v>33.93</v>
      </c>
      <c r="Q254" s="4" t="s">
        <v>97</v>
      </c>
      <c r="R254" s="4" t="s">
        <v>212</v>
      </c>
    </row>
    <row r="255" spans="1:18" ht="22.5" customHeight="1" x14ac:dyDescent="0.25">
      <c r="A255" s="76">
        <v>46037</v>
      </c>
      <c r="B255" s="4" t="s">
        <v>378</v>
      </c>
      <c r="C255" s="4" t="s">
        <v>79</v>
      </c>
      <c r="D255" s="59">
        <v>21</v>
      </c>
      <c r="E255" s="4" t="s">
        <v>22</v>
      </c>
      <c r="F255" s="4" t="s">
        <v>378</v>
      </c>
      <c r="G255" s="18" t="s">
        <v>353</v>
      </c>
      <c r="H255" s="4" t="s">
        <v>379</v>
      </c>
      <c r="K255" s="4" t="s">
        <v>99</v>
      </c>
      <c r="L255" s="4" t="s">
        <v>98</v>
      </c>
      <c r="N255" s="13">
        <v>0</v>
      </c>
      <c r="O255" s="4">
        <f t="shared" si="8"/>
        <v>0</v>
      </c>
      <c r="P255" s="59">
        <f t="shared" si="9"/>
        <v>21</v>
      </c>
      <c r="Q255" s="4" t="s">
        <v>97</v>
      </c>
      <c r="R255" s="4" t="s">
        <v>212</v>
      </c>
    </row>
    <row r="256" spans="1:18" ht="22.5" customHeight="1" x14ac:dyDescent="0.25">
      <c r="A256" s="76">
        <v>46037</v>
      </c>
      <c r="B256" s="4" t="s">
        <v>186</v>
      </c>
      <c r="C256" s="4" t="s">
        <v>79</v>
      </c>
      <c r="D256" s="59">
        <v>173.9</v>
      </c>
      <c r="E256" s="4" t="s">
        <v>22</v>
      </c>
      <c r="F256" s="4" t="s">
        <v>115</v>
      </c>
      <c r="H256" s="4" t="s">
        <v>115</v>
      </c>
      <c r="K256" s="4" t="s">
        <v>99</v>
      </c>
      <c r="L256" s="4" t="s">
        <v>98</v>
      </c>
      <c r="N256" s="13">
        <v>15</v>
      </c>
      <c r="O256" s="4">
        <f t="shared" si="8"/>
        <v>26.09</v>
      </c>
      <c r="P256" s="59">
        <f t="shared" si="9"/>
        <v>199.99</v>
      </c>
      <c r="Q256" s="4" t="s">
        <v>97</v>
      </c>
      <c r="R256" s="4" t="s">
        <v>137</v>
      </c>
    </row>
    <row r="257" spans="1:18" ht="22.5" customHeight="1" x14ac:dyDescent="0.25">
      <c r="A257" s="76">
        <v>46037</v>
      </c>
      <c r="B257" s="4" t="s">
        <v>318</v>
      </c>
      <c r="C257" s="4" t="s">
        <v>79</v>
      </c>
      <c r="D257" s="59">
        <v>13.1</v>
      </c>
      <c r="E257" s="4" t="s">
        <v>22</v>
      </c>
      <c r="F257" s="4" t="s">
        <v>166</v>
      </c>
      <c r="G257" s="18" t="s">
        <v>391</v>
      </c>
      <c r="H257" s="4" t="s">
        <v>80</v>
      </c>
      <c r="K257" s="4" t="s">
        <v>392</v>
      </c>
      <c r="L257" s="4" t="s">
        <v>98</v>
      </c>
      <c r="N257" s="13">
        <v>15</v>
      </c>
      <c r="O257" s="4">
        <f t="shared" si="8"/>
        <v>1.97</v>
      </c>
      <c r="P257" s="59">
        <f t="shared" si="9"/>
        <v>15.07</v>
      </c>
      <c r="Q257" s="4" t="s">
        <v>97</v>
      </c>
      <c r="R257" s="4" t="s">
        <v>212</v>
      </c>
    </row>
    <row r="258" spans="1:18" ht="22.5" customHeight="1" x14ac:dyDescent="0.25">
      <c r="A258" s="76">
        <v>46037</v>
      </c>
      <c r="B258" s="4" t="s">
        <v>393</v>
      </c>
      <c r="C258" s="4" t="s">
        <v>79</v>
      </c>
      <c r="D258" s="59">
        <v>113.4</v>
      </c>
      <c r="E258" s="4" t="s">
        <v>22</v>
      </c>
      <c r="F258" s="4" t="s">
        <v>166</v>
      </c>
      <c r="G258" s="18" t="s">
        <v>391</v>
      </c>
      <c r="H258" s="4" t="s">
        <v>80</v>
      </c>
      <c r="K258" s="4" t="s">
        <v>394</v>
      </c>
      <c r="L258" s="4" t="s">
        <v>98</v>
      </c>
      <c r="N258" s="13">
        <v>15</v>
      </c>
      <c r="O258" s="4">
        <f t="shared" si="8"/>
        <v>17.010000000000002</v>
      </c>
      <c r="P258" s="59">
        <f t="shared" si="9"/>
        <v>130.41</v>
      </c>
      <c r="Q258" s="4" t="s">
        <v>97</v>
      </c>
      <c r="R258" s="4" t="s">
        <v>212</v>
      </c>
    </row>
    <row r="259" spans="1:18" ht="22.5" customHeight="1" x14ac:dyDescent="0.25">
      <c r="A259" s="76">
        <v>46037</v>
      </c>
      <c r="B259" s="4" t="s">
        <v>75</v>
      </c>
      <c r="C259" s="4" t="s">
        <v>79</v>
      </c>
      <c r="D259" s="59">
        <v>60</v>
      </c>
      <c r="E259" s="4" t="s">
        <v>22</v>
      </c>
      <c r="F259" s="4" t="s">
        <v>57</v>
      </c>
      <c r="H259" s="4" t="s">
        <v>81</v>
      </c>
      <c r="K259" s="4" t="s">
        <v>99</v>
      </c>
      <c r="L259" s="4" t="s">
        <v>98</v>
      </c>
      <c r="N259" s="13">
        <v>0</v>
      </c>
      <c r="O259" s="4">
        <f t="shared" si="8"/>
        <v>0</v>
      </c>
      <c r="P259" s="59">
        <f t="shared" si="9"/>
        <v>60</v>
      </c>
      <c r="Q259" s="4" t="s">
        <v>97</v>
      </c>
      <c r="R259" s="4" t="s">
        <v>137</v>
      </c>
    </row>
    <row r="260" spans="1:18" ht="22.5" customHeight="1" x14ac:dyDescent="0.25">
      <c r="A260" s="76">
        <v>46037</v>
      </c>
      <c r="B260" s="4" t="s">
        <v>75</v>
      </c>
      <c r="C260" s="4" t="s">
        <v>79</v>
      </c>
      <c r="D260" s="59">
        <v>5</v>
      </c>
      <c r="E260" s="4" t="s">
        <v>22</v>
      </c>
      <c r="F260" s="4" t="s">
        <v>57</v>
      </c>
      <c r="H260" s="4" t="s">
        <v>81</v>
      </c>
      <c r="K260" s="4" t="s">
        <v>99</v>
      </c>
      <c r="L260" s="4" t="s">
        <v>98</v>
      </c>
      <c r="N260" s="13">
        <v>0</v>
      </c>
      <c r="O260" s="4">
        <f t="shared" si="8"/>
        <v>0</v>
      </c>
      <c r="P260" s="59">
        <f t="shared" si="9"/>
        <v>5</v>
      </c>
      <c r="Q260" s="4" t="s">
        <v>97</v>
      </c>
      <c r="R260" s="4" t="s">
        <v>137</v>
      </c>
    </row>
    <row r="261" spans="1:18" ht="22.5" customHeight="1" x14ac:dyDescent="0.25">
      <c r="A261" s="76">
        <v>46039</v>
      </c>
      <c r="B261" s="4" t="s">
        <v>186</v>
      </c>
      <c r="C261" s="4" t="s">
        <v>79</v>
      </c>
      <c r="D261" s="59">
        <v>130.44</v>
      </c>
      <c r="E261" s="4" t="s">
        <v>22</v>
      </c>
      <c r="F261" s="4" t="s">
        <v>115</v>
      </c>
      <c r="H261" s="4" t="s">
        <v>115</v>
      </c>
      <c r="K261" s="4" t="s">
        <v>99</v>
      </c>
      <c r="L261" s="4" t="s">
        <v>98</v>
      </c>
      <c r="N261" s="13">
        <v>15</v>
      </c>
      <c r="O261" s="4">
        <f t="shared" si="8"/>
        <v>19.57</v>
      </c>
      <c r="P261" s="59">
        <f t="shared" si="9"/>
        <v>150.01</v>
      </c>
      <c r="Q261" s="4" t="s">
        <v>97</v>
      </c>
      <c r="R261" s="4" t="s">
        <v>137</v>
      </c>
    </row>
    <row r="262" spans="1:18" ht="22.5" customHeight="1" x14ac:dyDescent="0.25">
      <c r="A262" s="76">
        <v>46039</v>
      </c>
      <c r="B262" s="4" t="s">
        <v>75</v>
      </c>
      <c r="C262" s="4" t="s">
        <v>79</v>
      </c>
      <c r="D262" s="59">
        <v>49.57</v>
      </c>
      <c r="E262" s="4" t="s">
        <v>22</v>
      </c>
      <c r="F262" s="4" t="s">
        <v>57</v>
      </c>
      <c r="H262" s="4" t="s">
        <v>81</v>
      </c>
      <c r="K262" s="4" t="s">
        <v>99</v>
      </c>
      <c r="L262" s="4" t="s">
        <v>98</v>
      </c>
      <c r="N262" s="13">
        <v>15</v>
      </c>
      <c r="O262" s="4">
        <f t="shared" si="8"/>
        <v>7.44</v>
      </c>
      <c r="P262" s="59">
        <f t="shared" si="9"/>
        <v>57.01</v>
      </c>
      <c r="Q262" s="4" t="s">
        <v>97</v>
      </c>
      <c r="R262" s="4" t="s">
        <v>137</v>
      </c>
    </row>
    <row r="263" spans="1:18" ht="22.5" customHeight="1" x14ac:dyDescent="0.25">
      <c r="A263" s="76">
        <v>46039</v>
      </c>
      <c r="B263" s="4" t="s">
        <v>398</v>
      </c>
      <c r="C263" s="4" t="s">
        <v>79</v>
      </c>
      <c r="D263" s="59">
        <v>26.3</v>
      </c>
      <c r="E263" s="4" t="s">
        <v>22</v>
      </c>
      <c r="F263" s="4" t="s">
        <v>166</v>
      </c>
      <c r="G263" s="18" t="s">
        <v>391</v>
      </c>
      <c r="H263" s="4" t="s">
        <v>80</v>
      </c>
      <c r="K263" s="4" t="s">
        <v>99</v>
      </c>
      <c r="L263" s="4" t="s">
        <v>98</v>
      </c>
      <c r="N263" s="13">
        <v>15</v>
      </c>
      <c r="O263" s="4">
        <f t="shared" si="8"/>
        <v>3.95</v>
      </c>
      <c r="P263" s="59">
        <f t="shared" si="9"/>
        <v>30.25</v>
      </c>
      <c r="Q263" s="4" t="s">
        <v>97</v>
      </c>
      <c r="R263" s="4" t="s">
        <v>212</v>
      </c>
    </row>
    <row r="264" spans="1:18" ht="22.5" customHeight="1" x14ac:dyDescent="0.25">
      <c r="A264" s="76">
        <v>46039</v>
      </c>
      <c r="B264" s="4" t="s">
        <v>318</v>
      </c>
      <c r="C264" s="4" t="s">
        <v>79</v>
      </c>
      <c r="D264" s="59">
        <v>13</v>
      </c>
      <c r="E264" s="4" t="s">
        <v>22</v>
      </c>
      <c r="F264" s="4" t="s">
        <v>166</v>
      </c>
      <c r="G264" s="18" t="s">
        <v>391</v>
      </c>
      <c r="H264" s="4" t="s">
        <v>80</v>
      </c>
      <c r="K264" s="4" t="s">
        <v>99</v>
      </c>
      <c r="L264" s="4" t="s">
        <v>98</v>
      </c>
      <c r="N264" s="13">
        <v>0</v>
      </c>
      <c r="O264" s="4">
        <f t="shared" ref="O264:O328" si="10">IF(OR(D264="", N264=""), "", ROUND(D264 * N264 / 100, 2))</f>
        <v>0</v>
      </c>
      <c r="P264" s="59">
        <f t="shared" ref="P264:P328" si="11">IF(D264="", "", D264 + O264)</f>
        <v>13</v>
      </c>
      <c r="Q264" s="4" t="s">
        <v>97</v>
      </c>
      <c r="R264" s="4" t="s">
        <v>191</v>
      </c>
    </row>
    <row r="265" spans="1:18" ht="22.5" customHeight="1" x14ac:dyDescent="0.25">
      <c r="A265" s="76">
        <v>46040</v>
      </c>
      <c r="B265" s="4" t="s">
        <v>75</v>
      </c>
      <c r="C265" s="4" t="s">
        <v>79</v>
      </c>
      <c r="D265" s="59">
        <v>23.48</v>
      </c>
      <c r="E265" s="4" t="s">
        <v>22</v>
      </c>
      <c r="F265" s="4" t="s">
        <v>57</v>
      </c>
      <c r="G265" s="18" t="s">
        <v>353</v>
      </c>
      <c r="H265" s="4" t="s">
        <v>81</v>
      </c>
      <c r="K265" s="4" t="s">
        <v>99</v>
      </c>
      <c r="L265" s="4" t="s">
        <v>98</v>
      </c>
      <c r="N265" s="13">
        <v>15</v>
      </c>
      <c r="O265" s="4">
        <f t="shared" si="10"/>
        <v>3.52</v>
      </c>
      <c r="P265" s="59">
        <f t="shared" si="11"/>
        <v>27</v>
      </c>
      <c r="Q265" s="4" t="s">
        <v>97</v>
      </c>
      <c r="R265" s="4" t="s">
        <v>191</v>
      </c>
    </row>
    <row r="266" spans="1:18" ht="22.5" customHeight="1" x14ac:dyDescent="0.25">
      <c r="A266" s="76">
        <v>46040</v>
      </c>
      <c r="B266" s="4" t="s">
        <v>399</v>
      </c>
      <c r="C266" s="4" t="s">
        <v>79</v>
      </c>
      <c r="D266" s="59">
        <v>29</v>
      </c>
      <c r="E266" s="4" t="s">
        <v>22</v>
      </c>
      <c r="F266" s="4" t="s">
        <v>399</v>
      </c>
      <c r="G266" s="18" t="s">
        <v>353</v>
      </c>
      <c r="H266" s="4" t="s">
        <v>379</v>
      </c>
      <c r="K266" s="4" t="s">
        <v>99</v>
      </c>
      <c r="L266" s="4" t="s">
        <v>98</v>
      </c>
      <c r="N266" s="13">
        <v>0</v>
      </c>
      <c r="O266" s="4">
        <f t="shared" si="10"/>
        <v>0</v>
      </c>
      <c r="P266" s="59">
        <f t="shared" si="11"/>
        <v>29</v>
      </c>
      <c r="Q266" s="4" t="s">
        <v>97</v>
      </c>
      <c r="R266" s="4" t="s">
        <v>191</v>
      </c>
    </row>
    <row r="267" spans="1:18" ht="22.5" customHeight="1" x14ac:dyDescent="0.25">
      <c r="A267" s="76">
        <v>46040</v>
      </c>
      <c r="B267" s="4" t="s">
        <v>257</v>
      </c>
      <c r="C267" s="4" t="s">
        <v>79</v>
      </c>
      <c r="D267" s="59">
        <v>82.61</v>
      </c>
      <c r="E267" s="4" t="s">
        <v>22</v>
      </c>
      <c r="F267" s="4" t="s">
        <v>115</v>
      </c>
      <c r="G267" s="18" t="s">
        <v>353</v>
      </c>
      <c r="H267" s="4" t="s">
        <v>115</v>
      </c>
      <c r="K267" s="4" t="s">
        <v>99</v>
      </c>
      <c r="L267" s="4" t="s">
        <v>98</v>
      </c>
      <c r="N267" s="13">
        <v>15</v>
      </c>
      <c r="O267" s="4">
        <f t="shared" si="10"/>
        <v>12.39</v>
      </c>
      <c r="P267" s="59">
        <f t="shared" si="11"/>
        <v>95</v>
      </c>
      <c r="Q267" s="4" t="s">
        <v>97</v>
      </c>
      <c r="R267" s="4" t="s">
        <v>191</v>
      </c>
    </row>
    <row r="268" spans="1:18" ht="22.5" customHeight="1" x14ac:dyDescent="0.25">
      <c r="A268" s="76">
        <v>46040</v>
      </c>
      <c r="B268" s="4" t="s">
        <v>161</v>
      </c>
      <c r="C268" s="4" t="s">
        <v>79</v>
      </c>
      <c r="D268" s="59">
        <v>710</v>
      </c>
      <c r="E268" s="4" t="s">
        <v>22</v>
      </c>
      <c r="F268" s="4" t="s">
        <v>25</v>
      </c>
      <c r="H268" s="4" t="s">
        <v>196</v>
      </c>
      <c r="K268" s="4" t="s">
        <v>162</v>
      </c>
      <c r="L268" s="4" t="s">
        <v>163</v>
      </c>
      <c r="N268" s="13">
        <v>0</v>
      </c>
      <c r="O268" s="4">
        <f t="shared" si="10"/>
        <v>0</v>
      </c>
      <c r="P268" s="59">
        <f t="shared" si="11"/>
        <v>710</v>
      </c>
      <c r="Q268" s="4" t="s">
        <v>97</v>
      </c>
      <c r="R268" s="4" t="s">
        <v>191</v>
      </c>
    </row>
    <row r="269" spans="1:18" ht="22.5" customHeight="1" x14ac:dyDescent="0.25">
      <c r="A269" s="76">
        <v>46040</v>
      </c>
      <c r="B269" s="4" t="s">
        <v>309</v>
      </c>
      <c r="C269" s="4" t="s">
        <v>79</v>
      </c>
      <c r="D269" s="59">
        <v>270</v>
      </c>
      <c r="E269" s="4" t="s">
        <v>29</v>
      </c>
      <c r="F269" s="4" t="s">
        <v>29</v>
      </c>
      <c r="H269" s="4" t="s">
        <v>22</v>
      </c>
      <c r="K269" s="4" t="s">
        <v>153</v>
      </c>
      <c r="L269" s="4" t="s">
        <v>154</v>
      </c>
      <c r="N269" s="13">
        <v>0</v>
      </c>
      <c r="O269" s="4">
        <f t="shared" si="10"/>
        <v>0</v>
      </c>
      <c r="P269" s="59">
        <f t="shared" si="11"/>
        <v>270</v>
      </c>
      <c r="Q269" s="4" t="s">
        <v>97</v>
      </c>
      <c r="R269" s="4" t="s">
        <v>137</v>
      </c>
    </row>
    <row r="270" spans="1:18" ht="22.5" customHeight="1" x14ac:dyDescent="0.25">
      <c r="A270" s="76">
        <v>46040</v>
      </c>
      <c r="B270" s="4" t="s">
        <v>400</v>
      </c>
      <c r="C270" s="4" t="s">
        <v>79</v>
      </c>
      <c r="D270" s="59">
        <v>110</v>
      </c>
      <c r="E270" s="4" t="s">
        <v>22</v>
      </c>
      <c r="F270" s="4" t="s">
        <v>166</v>
      </c>
      <c r="H270" s="4" t="s">
        <v>80</v>
      </c>
      <c r="K270" s="4" t="s">
        <v>99</v>
      </c>
      <c r="L270" s="4" t="s">
        <v>98</v>
      </c>
      <c r="N270" s="13">
        <v>0</v>
      </c>
      <c r="O270" s="4">
        <f t="shared" si="10"/>
        <v>0</v>
      </c>
      <c r="P270" s="59">
        <f t="shared" si="11"/>
        <v>110</v>
      </c>
      <c r="Q270" s="4" t="s">
        <v>97</v>
      </c>
      <c r="R270" s="4" t="s">
        <v>137</v>
      </c>
    </row>
    <row r="271" spans="1:18" ht="22.5" customHeight="1" x14ac:dyDescent="0.25">
      <c r="A271" s="76">
        <v>46040</v>
      </c>
      <c r="B271" s="4" t="s">
        <v>401</v>
      </c>
      <c r="C271" s="4" t="s">
        <v>79</v>
      </c>
      <c r="D271" s="59">
        <v>173.91</v>
      </c>
      <c r="E271" s="4" t="s">
        <v>22</v>
      </c>
      <c r="F271" s="4" t="s">
        <v>253</v>
      </c>
      <c r="H271" s="4" t="s">
        <v>338</v>
      </c>
      <c r="K271" s="4" t="s">
        <v>162</v>
      </c>
      <c r="L271" s="4" t="s">
        <v>163</v>
      </c>
      <c r="N271" s="13">
        <v>15</v>
      </c>
      <c r="O271" s="4">
        <f t="shared" si="10"/>
        <v>26.09</v>
      </c>
      <c r="P271" s="59">
        <f t="shared" si="11"/>
        <v>200</v>
      </c>
      <c r="Q271" s="4" t="s">
        <v>97</v>
      </c>
      <c r="R271" s="4" t="s">
        <v>137</v>
      </c>
    </row>
    <row r="272" spans="1:18" ht="22.5" customHeight="1" x14ac:dyDescent="0.25">
      <c r="A272" s="76">
        <v>46040</v>
      </c>
      <c r="B272" s="4" t="s">
        <v>186</v>
      </c>
      <c r="C272" s="4" t="s">
        <v>79</v>
      </c>
      <c r="D272" s="59">
        <v>86.96</v>
      </c>
      <c r="E272" s="4" t="s">
        <v>22</v>
      </c>
      <c r="F272" s="4" t="s">
        <v>115</v>
      </c>
      <c r="H272" s="4" t="s">
        <v>115</v>
      </c>
      <c r="K272" s="4" t="s">
        <v>99</v>
      </c>
      <c r="L272" s="4" t="s">
        <v>98</v>
      </c>
      <c r="N272" s="13">
        <v>15</v>
      </c>
      <c r="O272" s="4">
        <f t="shared" si="10"/>
        <v>13.04</v>
      </c>
      <c r="P272" s="59">
        <f t="shared" si="11"/>
        <v>100</v>
      </c>
      <c r="Q272" s="4" t="s">
        <v>97</v>
      </c>
      <c r="R272" s="4" t="s">
        <v>137</v>
      </c>
    </row>
    <row r="273" spans="1:18" ht="22.5" customHeight="1" x14ac:dyDescent="0.25">
      <c r="A273" s="76">
        <v>46040</v>
      </c>
      <c r="B273" s="4" t="s">
        <v>331</v>
      </c>
      <c r="C273" s="4" t="s">
        <v>79</v>
      </c>
      <c r="D273" s="59">
        <v>86.96</v>
      </c>
      <c r="E273" s="4" t="s">
        <v>22</v>
      </c>
      <c r="F273" s="4" t="s">
        <v>115</v>
      </c>
      <c r="H273" s="4" t="s">
        <v>115</v>
      </c>
      <c r="K273" s="4" t="s">
        <v>99</v>
      </c>
      <c r="L273" s="4" t="s">
        <v>98</v>
      </c>
      <c r="N273" s="13">
        <v>15</v>
      </c>
      <c r="O273" s="4">
        <f t="shared" si="10"/>
        <v>13.04</v>
      </c>
      <c r="P273" s="59">
        <f t="shared" si="11"/>
        <v>100</v>
      </c>
      <c r="Q273" s="4" t="s">
        <v>97</v>
      </c>
      <c r="R273" s="4" t="s">
        <v>137</v>
      </c>
    </row>
    <row r="274" spans="1:18" ht="22.5" customHeight="1" x14ac:dyDescent="0.25">
      <c r="A274" s="76">
        <v>46040</v>
      </c>
      <c r="B274" s="4" t="s">
        <v>402</v>
      </c>
      <c r="C274" s="4" t="s">
        <v>79</v>
      </c>
      <c r="D274" s="59" t="str">
        <f t="shared" ref="D274" si="12">IF(AND(I274&lt;&gt;"",J274&lt;&gt;""), I274*J274, "")</f>
        <v/>
      </c>
      <c r="O274" s="4" t="str">
        <f t="shared" si="10"/>
        <v/>
      </c>
      <c r="P274" s="59" t="str">
        <f t="shared" si="11"/>
        <v/>
      </c>
    </row>
    <row r="275" spans="1:18" ht="22.5" customHeight="1" x14ac:dyDescent="0.25">
      <c r="A275" s="76">
        <v>46041</v>
      </c>
      <c r="B275" s="4" t="s">
        <v>401</v>
      </c>
      <c r="C275" s="4" t="s">
        <v>79</v>
      </c>
      <c r="D275" s="59">
        <v>100</v>
      </c>
      <c r="E275" s="4" t="s">
        <v>22</v>
      </c>
      <c r="F275" s="4" t="s">
        <v>253</v>
      </c>
      <c r="H275" s="4" t="s">
        <v>338</v>
      </c>
      <c r="K275" s="4" t="s">
        <v>169</v>
      </c>
      <c r="L275" s="4" t="s">
        <v>154</v>
      </c>
      <c r="N275" s="13">
        <v>15</v>
      </c>
      <c r="O275" s="4">
        <f t="shared" si="10"/>
        <v>15</v>
      </c>
      <c r="P275" s="59">
        <f t="shared" si="11"/>
        <v>115</v>
      </c>
      <c r="Q275" s="4" t="s">
        <v>97</v>
      </c>
      <c r="R275" s="4" t="s">
        <v>137</v>
      </c>
    </row>
    <row r="276" spans="1:18" ht="22.5" customHeight="1" x14ac:dyDescent="0.25">
      <c r="A276" s="76">
        <v>46041</v>
      </c>
      <c r="B276" s="4" t="s">
        <v>257</v>
      </c>
      <c r="C276" s="4" t="s">
        <v>79</v>
      </c>
      <c r="D276" s="59">
        <v>86.9</v>
      </c>
      <c r="E276" s="4" t="s">
        <v>22</v>
      </c>
      <c r="F276" s="4" t="s">
        <v>115</v>
      </c>
      <c r="G276" s="18" t="s">
        <v>353</v>
      </c>
      <c r="H276" s="4" t="s">
        <v>115</v>
      </c>
      <c r="K276" s="4" t="s">
        <v>99</v>
      </c>
      <c r="L276" s="4" t="s">
        <v>98</v>
      </c>
      <c r="N276" s="13">
        <v>15</v>
      </c>
      <c r="O276" s="4">
        <f t="shared" si="10"/>
        <v>13.04</v>
      </c>
      <c r="P276" s="59">
        <f t="shared" si="11"/>
        <v>99.94</v>
      </c>
      <c r="Q276" s="4" t="s">
        <v>97</v>
      </c>
      <c r="R276" s="4" t="s">
        <v>191</v>
      </c>
    </row>
    <row r="277" spans="1:18" ht="22.5" customHeight="1" x14ac:dyDescent="0.25">
      <c r="A277" s="76">
        <v>46041</v>
      </c>
      <c r="B277" s="4" t="s">
        <v>403</v>
      </c>
      <c r="C277" s="4" t="s">
        <v>79</v>
      </c>
      <c r="D277" s="59">
        <v>43.48</v>
      </c>
      <c r="E277" s="4" t="s">
        <v>22</v>
      </c>
      <c r="F277" s="4" t="s">
        <v>166</v>
      </c>
      <c r="H277" s="4" t="s">
        <v>80</v>
      </c>
      <c r="K277" s="4" t="s">
        <v>99</v>
      </c>
      <c r="L277" s="4" t="s">
        <v>98</v>
      </c>
      <c r="N277" s="13">
        <v>15</v>
      </c>
      <c r="O277" s="4">
        <f t="shared" si="10"/>
        <v>6.52</v>
      </c>
      <c r="P277" s="59">
        <f t="shared" si="11"/>
        <v>50</v>
      </c>
      <c r="Q277" s="4" t="s">
        <v>97</v>
      </c>
      <c r="R277" s="4" t="s">
        <v>137</v>
      </c>
    </row>
    <row r="278" spans="1:18" ht="22.5" customHeight="1" x14ac:dyDescent="0.25">
      <c r="A278" s="76">
        <v>46041</v>
      </c>
      <c r="B278" s="4" t="s">
        <v>75</v>
      </c>
      <c r="C278" s="4" t="s">
        <v>79</v>
      </c>
      <c r="D278" s="59">
        <v>77.599999999999994</v>
      </c>
      <c r="E278" s="4" t="s">
        <v>22</v>
      </c>
      <c r="F278" s="4" t="s">
        <v>57</v>
      </c>
      <c r="H278" s="4" t="s">
        <v>81</v>
      </c>
      <c r="K278" s="4" t="s">
        <v>99</v>
      </c>
      <c r="L278" s="4" t="s">
        <v>98</v>
      </c>
      <c r="N278" s="13">
        <v>15</v>
      </c>
      <c r="O278" s="4">
        <f t="shared" si="10"/>
        <v>11.64</v>
      </c>
      <c r="P278" s="59">
        <f t="shared" si="11"/>
        <v>89.24</v>
      </c>
      <c r="Q278" s="4" t="s">
        <v>97</v>
      </c>
      <c r="R278" s="4" t="s">
        <v>137</v>
      </c>
    </row>
    <row r="279" spans="1:18" ht="22.5" customHeight="1" x14ac:dyDescent="0.25">
      <c r="A279" s="76">
        <v>46042</v>
      </c>
      <c r="B279" s="4" t="s">
        <v>186</v>
      </c>
      <c r="C279" s="4" t="s">
        <v>79</v>
      </c>
      <c r="D279" s="59">
        <v>34.78</v>
      </c>
      <c r="E279" s="4" t="s">
        <v>22</v>
      </c>
      <c r="F279" s="4" t="s">
        <v>115</v>
      </c>
      <c r="H279" s="4" t="s">
        <v>115</v>
      </c>
      <c r="K279" s="4" t="s">
        <v>99</v>
      </c>
      <c r="L279" s="4" t="s">
        <v>98</v>
      </c>
      <c r="N279" s="13">
        <v>15</v>
      </c>
      <c r="O279" s="4">
        <f t="shared" si="10"/>
        <v>5.22</v>
      </c>
      <c r="P279" s="59">
        <f t="shared" si="11"/>
        <v>40</v>
      </c>
      <c r="Q279" s="4" t="s">
        <v>97</v>
      </c>
      <c r="R279" s="4" t="s">
        <v>137</v>
      </c>
    </row>
    <row r="280" spans="1:18" ht="22.5" customHeight="1" x14ac:dyDescent="0.25">
      <c r="A280" s="76">
        <v>46042</v>
      </c>
      <c r="B280" s="4" t="s">
        <v>257</v>
      </c>
      <c r="C280" s="4" t="s">
        <v>79</v>
      </c>
      <c r="D280" s="59">
        <v>34.78</v>
      </c>
      <c r="E280" s="4" t="s">
        <v>22</v>
      </c>
      <c r="F280" s="4" t="s">
        <v>115</v>
      </c>
      <c r="H280" s="4" t="s">
        <v>115</v>
      </c>
      <c r="K280" s="4" t="s">
        <v>99</v>
      </c>
      <c r="L280" s="4" t="s">
        <v>98</v>
      </c>
      <c r="N280" s="13">
        <v>15</v>
      </c>
      <c r="O280" s="4">
        <f t="shared" si="10"/>
        <v>5.22</v>
      </c>
      <c r="P280" s="59">
        <f t="shared" si="11"/>
        <v>40</v>
      </c>
      <c r="Q280" s="4" t="s">
        <v>97</v>
      </c>
      <c r="R280" s="4" t="s">
        <v>137</v>
      </c>
    </row>
    <row r="281" spans="1:18" ht="22.5" customHeight="1" x14ac:dyDescent="0.25">
      <c r="A281" s="76">
        <v>46043</v>
      </c>
      <c r="B281" s="4" t="s">
        <v>186</v>
      </c>
      <c r="C281" s="4" t="s">
        <v>79</v>
      </c>
      <c r="D281" s="59">
        <v>95.66</v>
      </c>
      <c r="E281" s="4" t="s">
        <v>22</v>
      </c>
      <c r="F281" s="4" t="s">
        <v>115</v>
      </c>
      <c r="H281" s="4" t="s">
        <v>115</v>
      </c>
      <c r="K281" s="4" t="s">
        <v>99</v>
      </c>
      <c r="L281" s="4" t="s">
        <v>98</v>
      </c>
      <c r="N281" s="13">
        <v>15</v>
      </c>
      <c r="O281" s="4">
        <f t="shared" si="10"/>
        <v>14.35</v>
      </c>
      <c r="P281" s="59">
        <f t="shared" si="11"/>
        <v>110.00999999999999</v>
      </c>
      <c r="Q281" s="4" t="s">
        <v>97</v>
      </c>
      <c r="R281" s="4" t="s">
        <v>137</v>
      </c>
    </row>
    <row r="282" spans="1:18" ht="22.5" customHeight="1" x14ac:dyDescent="0.25">
      <c r="A282" s="76">
        <v>46043</v>
      </c>
      <c r="B282" s="4" t="s">
        <v>257</v>
      </c>
      <c r="C282" s="4" t="s">
        <v>79</v>
      </c>
      <c r="D282" s="59">
        <v>60.86</v>
      </c>
      <c r="E282" s="4" t="s">
        <v>22</v>
      </c>
      <c r="F282" s="4" t="s">
        <v>115</v>
      </c>
      <c r="G282" s="18" t="s">
        <v>353</v>
      </c>
      <c r="H282" s="4" t="s">
        <v>115</v>
      </c>
      <c r="K282" s="4" t="s">
        <v>99</v>
      </c>
      <c r="L282" s="4" t="s">
        <v>98</v>
      </c>
      <c r="N282" s="13">
        <v>15</v>
      </c>
      <c r="O282" s="4">
        <f t="shared" si="10"/>
        <v>9.1300000000000008</v>
      </c>
      <c r="P282" s="59">
        <f t="shared" si="11"/>
        <v>69.989999999999995</v>
      </c>
      <c r="Q282" s="4" t="s">
        <v>97</v>
      </c>
      <c r="R282" s="4" t="s">
        <v>191</v>
      </c>
    </row>
    <row r="283" spans="1:18" ht="22.5" customHeight="1" x14ac:dyDescent="0.25">
      <c r="A283" s="76">
        <v>46043</v>
      </c>
      <c r="B283" s="4" t="s">
        <v>75</v>
      </c>
      <c r="C283" s="4" t="s">
        <v>79</v>
      </c>
      <c r="D283" s="59">
        <v>40</v>
      </c>
      <c r="E283" s="4" t="s">
        <v>22</v>
      </c>
      <c r="F283" s="4" t="s">
        <v>57</v>
      </c>
      <c r="G283" s="18" t="s">
        <v>353</v>
      </c>
      <c r="H283" s="4" t="s">
        <v>81</v>
      </c>
      <c r="K283" s="4" t="s">
        <v>99</v>
      </c>
      <c r="L283" s="4" t="s">
        <v>98</v>
      </c>
      <c r="N283" s="13">
        <v>0</v>
      </c>
      <c r="O283" s="4">
        <f t="shared" si="10"/>
        <v>0</v>
      </c>
      <c r="P283" s="59">
        <f t="shared" si="11"/>
        <v>40</v>
      </c>
      <c r="Q283" s="4" t="s">
        <v>97</v>
      </c>
      <c r="R283" s="4" t="s">
        <v>191</v>
      </c>
    </row>
    <row r="284" spans="1:18" s="6" customFormat="1" ht="22.5" customHeight="1" x14ac:dyDescent="0.25">
      <c r="A284" s="83">
        <v>46043</v>
      </c>
      <c r="B284" s="6" t="s">
        <v>275</v>
      </c>
      <c r="C284" s="6" t="s">
        <v>88</v>
      </c>
      <c r="D284" s="60">
        <v>2500</v>
      </c>
      <c r="E284" s="6" t="s">
        <v>22</v>
      </c>
      <c r="F284" s="6" t="s">
        <v>89</v>
      </c>
      <c r="G284" s="6" t="s">
        <v>391</v>
      </c>
      <c r="H284" s="6" t="s">
        <v>167</v>
      </c>
      <c r="K284" s="6" t="s">
        <v>124</v>
      </c>
      <c r="L284" s="6" t="s">
        <v>86</v>
      </c>
      <c r="M284" s="6" t="s">
        <v>404</v>
      </c>
      <c r="N284" s="14">
        <v>15</v>
      </c>
      <c r="O284" s="6">
        <f t="shared" si="10"/>
        <v>375</v>
      </c>
      <c r="P284" s="60">
        <f t="shared" si="11"/>
        <v>2875</v>
      </c>
      <c r="Q284" s="6" t="s">
        <v>97</v>
      </c>
      <c r="R284" s="6" t="s">
        <v>227</v>
      </c>
    </row>
    <row r="285" spans="1:18" ht="22.5" customHeight="1" x14ac:dyDescent="0.25">
      <c r="A285" s="76">
        <v>46044</v>
      </c>
      <c r="B285" s="4" t="s">
        <v>257</v>
      </c>
      <c r="C285" s="4" t="s">
        <v>79</v>
      </c>
      <c r="D285" s="59">
        <v>182.6</v>
      </c>
      <c r="E285" s="4" t="s">
        <v>22</v>
      </c>
      <c r="F285" s="4" t="s">
        <v>115</v>
      </c>
      <c r="G285" s="18" t="s">
        <v>409</v>
      </c>
      <c r="H285" s="4" t="s">
        <v>115</v>
      </c>
      <c r="K285" s="4" t="s">
        <v>99</v>
      </c>
      <c r="L285" s="4" t="s">
        <v>98</v>
      </c>
      <c r="N285" s="13">
        <v>15</v>
      </c>
      <c r="O285" s="4">
        <f t="shared" si="10"/>
        <v>27.39</v>
      </c>
      <c r="P285" s="59">
        <f t="shared" si="11"/>
        <v>209.99</v>
      </c>
      <c r="Q285" s="4" t="s">
        <v>97</v>
      </c>
      <c r="R285" s="4" t="s">
        <v>191</v>
      </c>
    </row>
    <row r="286" spans="1:18" ht="22.5" customHeight="1" x14ac:dyDescent="0.25">
      <c r="A286" s="76">
        <v>46044</v>
      </c>
      <c r="B286" s="4" t="s">
        <v>75</v>
      </c>
      <c r="C286" s="4" t="s">
        <v>79</v>
      </c>
      <c r="D286" s="59">
        <v>40</v>
      </c>
      <c r="E286" s="4" t="s">
        <v>22</v>
      </c>
      <c r="F286" s="4" t="s">
        <v>57</v>
      </c>
      <c r="G286" s="18" t="s">
        <v>409</v>
      </c>
      <c r="H286" s="4" t="s">
        <v>81</v>
      </c>
      <c r="K286" s="4" t="s">
        <v>99</v>
      </c>
      <c r="L286" s="4" t="s">
        <v>98</v>
      </c>
      <c r="N286" s="13">
        <v>0</v>
      </c>
      <c r="O286" s="4">
        <f t="shared" si="10"/>
        <v>0</v>
      </c>
      <c r="P286" s="59">
        <f t="shared" si="11"/>
        <v>40</v>
      </c>
      <c r="Q286" s="4" t="s">
        <v>97</v>
      </c>
      <c r="R286" s="4" t="s">
        <v>191</v>
      </c>
    </row>
    <row r="287" spans="1:18" ht="22.5" customHeight="1" x14ac:dyDescent="0.25">
      <c r="A287" s="76">
        <v>46044</v>
      </c>
      <c r="B287" s="4" t="s">
        <v>399</v>
      </c>
      <c r="C287" s="4" t="s">
        <v>79</v>
      </c>
      <c r="D287" s="59">
        <v>11</v>
      </c>
      <c r="E287" s="4" t="s">
        <v>22</v>
      </c>
      <c r="F287" s="4" t="s">
        <v>399</v>
      </c>
      <c r="H287" s="4" t="s">
        <v>379</v>
      </c>
      <c r="K287" s="4" t="s">
        <v>99</v>
      </c>
      <c r="L287" s="4" t="s">
        <v>98</v>
      </c>
      <c r="N287" s="13">
        <v>0</v>
      </c>
      <c r="O287" s="4">
        <f t="shared" si="10"/>
        <v>0</v>
      </c>
      <c r="P287" s="59">
        <f t="shared" si="11"/>
        <v>11</v>
      </c>
      <c r="Q287" s="4" t="s">
        <v>97</v>
      </c>
      <c r="R287" s="4" t="s">
        <v>137</v>
      </c>
    </row>
    <row r="288" spans="1:18" ht="22.5" customHeight="1" x14ac:dyDescent="0.25">
      <c r="A288" s="76">
        <v>46044</v>
      </c>
      <c r="B288" s="4" t="s">
        <v>405</v>
      </c>
      <c r="C288" s="4" t="s">
        <v>79</v>
      </c>
      <c r="D288" s="59">
        <v>126</v>
      </c>
      <c r="E288" s="4" t="s">
        <v>22</v>
      </c>
      <c r="F288" s="4" t="s">
        <v>253</v>
      </c>
      <c r="H288" s="4" t="s">
        <v>338</v>
      </c>
      <c r="K288" s="4" t="s">
        <v>343</v>
      </c>
      <c r="L288" s="4" t="s">
        <v>98</v>
      </c>
      <c r="N288" s="13">
        <v>15</v>
      </c>
      <c r="O288" s="4">
        <f t="shared" si="10"/>
        <v>18.899999999999999</v>
      </c>
      <c r="P288" s="59">
        <f t="shared" si="11"/>
        <v>144.9</v>
      </c>
      <c r="Q288" s="4" t="s">
        <v>97</v>
      </c>
      <c r="R288" s="4" t="s">
        <v>137</v>
      </c>
    </row>
    <row r="289" spans="1:18" s="6" customFormat="1" ht="22.5" customHeight="1" x14ac:dyDescent="0.25">
      <c r="A289" s="83">
        <v>46045</v>
      </c>
      <c r="B289" s="6" t="s">
        <v>275</v>
      </c>
      <c r="C289" s="6" t="s">
        <v>88</v>
      </c>
      <c r="D289" s="60">
        <v>1200</v>
      </c>
      <c r="E289" s="6" t="s">
        <v>22</v>
      </c>
      <c r="F289" s="6" t="s">
        <v>89</v>
      </c>
      <c r="G289" s="35" t="s">
        <v>406</v>
      </c>
      <c r="H289" s="6" t="s">
        <v>167</v>
      </c>
      <c r="K289" s="6" t="s">
        <v>354</v>
      </c>
      <c r="L289" s="6" t="s">
        <v>86</v>
      </c>
      <c r="M289" s="6" t="s">
        <v>407</v>
      </c>
      <c r="N289" s="14">
        <v>15</v>
      </c>
      <c r="O289" s="6">
        <f t="shared" si="10"/>
        <v>180</v>
      </c>
      <c r="P289" s="60">
        <f t="shared" si="11"/>
        <v>1380</v>
      </c>
      <c r="Q289" s="6" t="s">
        <v>97</v>
      </c>
      <c r="R289" s="6" t="s">
        <v>227</v>
      </c>
    </row>
    <row r="290" spans="1:18" ht="22.5" customHeight="1" x14ac:dyDescent="0.25">
      <c r="A290" s="76">
        <v>46045</v>
      </c>
      <c r="B290" s="4" t="s">
        <v>309</v>
      </c>
      <c r="C290" s="4" t="s">
        <v>79</v>
      </c>
      <c r="D290" s="59">
        <v>150</v>
      </c>
      <c r="E290" s="4" t="s">
        <v>22</v>
      </c>
      <c r="F290" s="4" t="s">
        <v>29</v>
      </c>
      <c r="H290" s="4" t="s">
        <v>196</v>
      </c>
      <c r="K290" s="4" t="s">
        <v>153</v>
      </c>
      <c r="L290" s="4" t="s">
        <v>154</v>
      </c>
      <c r="N290" s="13">
        <v>0</v>
      </c>
      <c r="O290" s="4">
        <f t="shared" si="10"/>
        <v>0</v>
      </c>
      <c r="P290" s="59">
        <f t="shared" si="11"/>
        <v>150</v>
      </c>
      <c r="Q290" s="4" t="s">
        <v>97</v>
      </c>
      <c r="R290" s="4" t="s">
        <v>308</v>
      </c>
    </row>
    <row r="291" spans="1:18" ht="22.5" customHeight="1" x14ac:dyDescent="0.25">
      <c r="A291" s="76">
        <v>46046</v>
      </c>
      <c r="B291" s="4" t="s">
        <v>186</v>
      </c>
      <c r="C291" s="4" t="s">
        <v>79</v>
      </c>
      <c r="D291" s="59">
        <v>95.65</v>
      </c>
      <c r="E291" s="4" t="s">
        <v>22</v>
      </c>
      <c r="F291" s="4" t="s">
        <v>115</v>
      </c>
      <c r="H291" s="4" t="s">
        <v>115</v>
      </c>
      <c r="K291" s="4" t="s">
        <v>99</v>
      </c>
      <c r="L291" s="4" t="s">
        <v>98</v>
      </c>
      <c r="N291" s="13">
        <v>15</v>
      </c>
      <c r="O291" s="4">
        <f t="shared" si="10"/>
        <v>14.35</v>
      </c>
      <c r="P291" s="59">
        <f t="shared" si="11"/>
        <v>110</v>
      </c>
      <c r="Q291" s="4" t="s">
        <v>97</v>
      </c>
      <c r="R291" s="4" t="s">
        <v>137</v>
      </c>
    </row>
    <row r="292" spans="1:18" ht="22.5" customHeight="1" x14ac:dyDescent="0.25">
      <c r="A292" s="76">
        <v>46046</v>
      </c>
      <c r="B292" s="4" t="s">
        <v>408</v>
      </c>
      <c r="C292" s="4" t="s">
        <v>79</v>
      </c>
      <c r="D292" s="59">
        <v>50</v>
      </c>
      <c r="E292" s="4" t="s">
        <v>22</v>
      </c>
      <c r="F292" s="4" t="s">
        <v>203</v>
      </c>
      <c r="H292" s="4" t="s">
        <v>338</v>
      </c>
      <c r="K292" s="4" t="s">
        <v>99</v>
      </c>
      <c r="L292" s="4" t="s">
        <v>98</v>
      </c>
      <c r="N292" s="13">
        <v>0</v>
      </c>
      <c r="O292" s="4">
        <f t="shared" si="10"/>
        <v>0</v>
      </c>
      <c r="P292" s="59">
        <f t="shared" si="11"/>
        <v>50</v>
      </c>
      <c r="Q292" s="4" t="s">
        <v>97</v>
      </c>
      <c r="R292" s="4" t="s">
        <v>137</v>
      </c>
    </row>
    <row r="293" spans="1:18" ht="22.5" customHeight="1" x14ac:dyDescent="0.25">
      <c r="A293" s="76">
        <v>46047</v>
      </c>
      <c r="B293" s="4" t="s">
        <v>257</v>
      </c>
      <c r="C293" s="4" t="s">
        <v>79</v>
      </c>
      <c r="D293" s="59">
        <v>65.83</v>
      </c>
      <c r="E293" s="4" t="s">
        <v>22</v>
      </c>
      <c r="F293" s="4" t="s">
        <v>115</v>
      </c>
      <c r="G293" s="45" t="s">
        <v>247</v>
      </c>
      <c r="H293" s="4" t="s">
        <v>115</v>
      </c>
      <c r="K293" s="4" t="s">
        <v>99</v>
      </c>
      <c r="L293" s="4" t="s">
        <v>98</v>
      </c>
      <c r="N293" s="13">
        <v>15</v>
      </c>
      <c r="O293" s="4">
        <f t="shared" si="10"/>
        <v>9.8699999999999992</v>
      </c>
      <c r="P293" s="59">
        <f t="shared" si="11"/>
        <v>75.7</v>
      </c>
      <c r="Q293" s="4" t="s">
        <v>97</v>
      </c>
      <c r="R293" s="4" t="s">
        <v>191</v>
      </c>
    </row>
    <row r="294" spans="1:18" ht="22.5" customHeight="1" x14ac:dyDescent="0.25">
      <c r="A294" s="76">
        <v>46047</v>
      </c>
      <c r="B294" s="4" t="s">
        <v>410</v>
      </c>
      <c r="C294" s="4" t="s">
        <v>79</v>
      </c>
      <c r="D294" s="59">
        <v>90</v>
      </c>
      <c r="E294" s="4" t="s">
        <v>22</v>
      </c>
      <c r="F294" s="4" t="s">
        <v>203</v>
      </c>
      <c r="G294" s="45" t="s">
        <v>247</v>
      </c>
      <c r="H294" s="4" t="s">
        <v>338</v>
      </c>
      <c r="K294" s="4" t="s">
        <v>99</v>
      </c>
      <c r="L294" s="4" t="s">
        <v>98</v>
      </c>
      <c r="N294" s="13">
        <v>0</v>
      </c>
      <c r="O294" s="4">
        <f t="shared" si="10"/>
        <v>0</v>
      </c>
      <c r="P294" s="59">
        <f t="shared" si="11"/>
        <v>90</v>
      </c>
      <c r="Q294" s="4" t="s">
        <v>97</v>
      </c>
      <c r="R294" s="4" t="s">
        <v>191</v>
      </c>
    </row>
    <row r="295" spans="1:18" ht="22.5" customHeight="1" x14ac:dyDescent="0.25">
      <c r="A295" s="76">
        <v>46047</v>
      </c>
      <c r="B295" s="4" t="s">
        <v>331</v>
      </c>
      <c r="C295" s="4" t="s">
        <v>79</v>
      </c>
      <c r="D295" s="59">
        <v>43.49</v>
      </c>
      <c r="E295" s="4" t="s">
        <v>22</v>
      </c>
      <c r="F295" s="4" t="s">
        <v>115</v>
      </c>
      <c r="H295" s="4" t="s">
        <v>115</v>
      </c>
      <c r="K295" s="4" t="s">
        <v>99</v>
      </c>
      <c r="L295" s="4" t="s">
        <v>98</v>
      </c>
      <c r="N295" s="13">
        <v>15</v>
      </c>
      <c r="O295" s="4">
        <f t="shared" si="10"/>
        <v>6.52</v>
      </c>
      <c r="P295" s="59">
        <f t="shared" si="11"/>
        <v>50.010000000000005</v>
      </c>
      <c r="Q295" s="4" t="s">
        <v>97</v>
      </c>
      <c r="R295" s="4" t="s">
        <v>137</v>
      </c>
    </row>
    <row r="296" spans="1:18" ht="22.5" customHeight="1" x14ac:dyDescent="0.25">
      <c r="A296" s="76">
        <v>46047</v>
      </c>
      <c r="B296" s="4" t="s">
        <v>75</v>
      </c>
      <c r="C296" s="4" t="s">
        <v>79</v>
      </c>
      <c r="D296" s="59">
        <v>19.13</v>
      </c>
      <c r="E296" s="4" t="s">
        <v>22</v>
      </c>
      <c r="F296" s="4" t="s">
        <v>57</v>
      </c>
      <c r="H296" s="4" t="s">
        <v>81</v>
      </c>
      <c r="K296" s="4" t="s">
        <v>99</v>
      </c>
      <c r="L296" s="4" t="s">
        <v>98</v>
      </c>
      <c r="N296" s="13">
        <v>0</v>
      </c>
      <c r="O296" s="4">
        <f t="shared" si="10"/>
        <v>0</v>
      </c>
      <c r="P296" s="59">
        <f t="shared" si="11"/>
        <v>19.13</v>
      </c>
      <c r="Q296" s="4" t="s">
        <v>97</v>
      </c>
      <c r="R296" s="4" t="s">
        <v>137</v>
      </c>
    </row>
    <row r="297" spans="1:18" ht="22.5" customHeight="1" x14ac:dyDescent="0.25">
      <c r="A297" s="76">
        <v>46047</v>
      </c>
      <c r="B297" s="4" t="s">
        <v>75</v>
      </c>
      <c r="C297" s="4" t="s">
        <v>79</v>
      </c>
      <c r="D297" s="59">
        <v>13</v>
      </c>
      <c r="E297" s="4" t="s">
        <v>22</v>
      </c>
      <c r="F297" s="4" t="s">
        <v>57</v>
      </c>
      <c r="G297" s="45" t="s">
        <v>247</v>
      </c>
      <c r="H297" s="4" t="s">
        <v>81</v>
      </c>
      <c r="K297" s="4" t="s">
        <v>99</v>
      </c>
      <c r="L297" s="4" t="s">
        <v>98</v>
      </c>
      <c r="N297" s="13">
        <v>0</v>
      </c>
      <c r="O297" s="4">
        <f t="shared" si="10"/>
        <v>0</v>
      </c>
      <c r="P297" s="59">
        <f t="shared" si="11"/>
        <v>13</v>
      </c>
      <c r="Q297" s="4" t="s">
        <v>97</v>
      </c>
      <c r="R297" s="4" t="s">
        <v>137</v>
      </c>
    </row>
    <row r="298" spans="1:18" ht="22.5" customHeight="1" x14ac:dyDescent="0.25">
      <c r="A298" s="76">
        <v>46047</v>
      </c>
      <c r="B298" s="4" t="s">
        <v>411</v>
      </c>
      <c r="C298" s="4" t="s">
        <v>79</v>
      </c>
      <c r="D298" s="59">
        <v>21</v>
      </c>
      <c r="E298" s="4" t="s">
        <v>22</v>
      </c>
      <c r="F298" s="4" t="s">
        <v>57</v>
      </c>
      <c r="H298" s="4" t="s">
        <v>81</v>
      </c>
      <c r="K298" s="4" t="s">
        <v>99</v>
      </c>
      <c r="L298" s="4" t="s">
        <v>98</v>
      </c>
      <c r="N298" s="13">
        <v>0</v>
      </c>
      <c r="O298" s="4">
        <f t="shared" si="10"/>
        <v>0</v>
      </c>
      <c r="P298" s="59">
        <f t="shared" si="11"/>
        <v>21</v>
      </c>
      <c r="Q298" s="4" t="s">
        <v>97</v>
      </c>
      <c r="R298" s="4" t="s">
        <v>137</v>
      </c>
    </row>
    <row r="299" spans="1:18" ht="22.5" customHeight="1" x14ac:dyDescent="0.25">
      <c r="A299" s="76">
        <v>46048</v>
      </c>
      <c r="B299" s="4" t="s">
        <v>186</v>
      </c>
      <c r="C299" s="4" t="s">
        <v>79</v>
      </c>
      <c r="D299" s="59">
        <v>212.7</v>
      </c>
      <c r="E299" s="4" t="s">
        <v>22</v>
      </c>
      <c r="F299" s="4" t="s">
        <v>115</v>
      </c>
      <c r="H299" s="4" t="s">
        <v>115</v>
      </c>
      <c r="K299" s="4" t="s">
        <v>99</v>
      </c>
      <c r="L299" s="4" t="s">
        <v>98</v>
      </c>
      <c r="N299" s="13">
        <v>15</v>
      </c>
      <c r="O299" s="4">
        <f t="shared" si="10"/>
        <v>31.91</v>
      </c>
      <c r="P299" s="59">
        <f t="shared" si="11"/>
        <v>244.60999999999999</v>
      </c>
      <c r="Q299" s="4" t="s">
        <v>97</v>
      </c>
      <c r="R299" s="4" t="s">
        <v>137</v>
      </c>
    </row>
    <row r="300" spans="1:18" s="6" customFormat="1" ht="22.5" customHeight="1" x14ac:dyDescent="0.25">
      <c r="A300" s="83">
        <v>46051</v>
      </c>
      <c r="B300" s="6" t="s">
        <v>275</v>
      </c>
      <c r="C300" s="6" t="s">
        <v>88</v>
      </c>
      <c r="D300" s="60">
        <v>44369.57</v>
      </c>
      <c r="E300" s="6" t="s">
        <v>22</v>
      </c>
      <c r="F300" s="6" t="s">
        <v>89</v>
      </c>
      <c r="G300" s="6" t="s">
        <v>531</v>
      </c>
      <c r="H300" s="6" t="s">
        <v>167</v>
      </c>
      <c r="K300" s="6" t="s">
        <v>415</v>
      </c>
      <c r="L300" s="6" t="s">
        <v>86</v>
      </c>
      <c r="M300" s="6" t="s">
        <v>416</v>
      </c>
      <c r="N300" s="14">
        <v>15</v>
      </c>
      <c r="O300" s="6">
        <f>IF(OR(D300="", N300=""), "", ROUND(D300 * N300 / 100, 2))</f>
        <v>6655.44</v>
      </c>
      <c r="P300" s="60">
        <f>IF(D300="", "", D300 + O300)</f>
        <v>51025.01</v>
      </c>
      <c r="Q300" s="6" t="s">
        <v>97</v>
      </c>
      <c r="R300" s="6" t="s">
        <v>417</v>
      </c>
    </row>
    <row r="301" spans="1:18" s="6" customFormat="1" ht="22.5" customHeight="1" x14ac:dyDescent="0.25">
      <c r="A301" s="83">
        <v>46051</v>
      </c>
      <c r="B301" s="6" t="s">
        <v>275</v>
      </c>
      <c r="C301" s="6" t="s">
        <v>88</v>
      </c>
      <c r="D301" s="60">
        <v>5800</v>
      </c>
      <c r="E301" s="6" t="s">
        <v>22</v>
      </c>
      <c r="F301" s="6" t="s">
        <v>89</v>
      </c>
      <c r="G301" s="6" t="s">
        <v>422</v>
      </c>
      <c r="H301" s="6" t="s">
        <v>196</v>
      </c>
      <c r="K301" s="6" t="s">
        <v>415</v>
      </c>
      <c r="L301" s="6" t="s">
        <v>86</v>
      </c>
      <c r="N301" s="14">
        <v>15</v>
      </c>
      <c r="O301" s="6">
        <f>IF(OR(D301="", N301=""), "", ROUND(D301 * N301 / 100, 2))</f>
        <v>870</v>
      </c>
      <c r="P301" s="60">
        <f>IF(D301="", "", D301 + O301)</f>
        <v>6670</v>
      </c>
      <c r="Q301" s="6" t="s">
        <v>97</v>
      </c>
      <c r="R301" s="6" t="s">
        <v>800</v>
      </c>
    </row>
    <row r="302" spans="1:18" ht="22.5" customHeight="1" x14ac:dyDescent="0.25">
      <c r="A302" s="76">
        <v>46049</v>
      </c>
      <c r="B302" s="4" t="s">
        <v>257</v>
      </c>
      <c r="C302" s="4" t="s">
        <v>79</v>
      </c>
      <c r="D302" s="59">
        <v>34.78</v>
      </c>
      <c r="E302" s="4" t="s">
        <v>22</v>
      </c>
      <c r="F302" s="4" t="s">
        <v>115</v>
      </c>
      <c r="H302" s="4" t="s">
        <v>115</v>
      </c>
      <c r="K302" s="4" t="s">
        <v>99</v>
      </c>
      <c r="L302" s="4" t="s">
        <v>98</v>
      </c>
      <c r="N302" s="13">
        <v>15</v>
      </c>
      <c r="O302" s="4">
        <f t="shared" si="10"/>
        <v>5.22</v>
      </c>
      <c r="P302" s="59">
        <f t="shared" si="11"/>
        <v>40</v>
      </c>
      <c r="Q302" s="4" t="s">
        <v>97</v>
      </c>
      <c r="R302" s="4" t="s">
        <v>137</v>
      </c>
    </row>
    <row r="303" spans="1:18" s="21" customFormat="1" ht="22.5" customHeight="1" x14ac:dyDescent="0.25">
      <c r="A303" s="76">
        <v>46050</v>
      </c>
      <c r="B303" s="21" t="s">
        <v>75</v>
      </c>
      <c r="C303" s="21" t="s">
        <v>79</v>
      </c>
      <c r="D303" s="63">
        <v>47.8</v>
      </c>
      <c r="E303" s="21" t="s">
        <v>22</v>
      </c>
      <c r="F303" s="21" t="s">
        <v>57</v>
      </c>
      <c r="G303" s="45"/>
      <c r="H303" s="21" t="s">
        <v>81</v>
      </c>
      <c r="K303" s="21" t="s">
        <v>99</v>
      </c>
      <c r="L303" s="21" t="s">
        <v>98</v>
      </c>
      <c r="N303" s="22">
        <v>15</v>
      </c>
      <c r="O303" s="21">
        <f t="shared" si="10"/>
        <v>7.17</v>
      </c>
      <c r="P303" s="63">
        <f t="shared" si="11"/>
        <v>54.97</v>
      </c>
      <c r="Q303" s="21" t="s">
        <v>97</v>
      </c>
      <c r="R303" s="21" t="s">
        <v>137</v>
      </c>
    </row>
    <row r="304" spans="1:18" s="21" customFormat="1" ht="22.5" customHeight="1" x14ac:dyDescent="0.25">
      <c r="A304" s="76">
        <v>46051</v>
      </c>
      <c r="B304" s="21" t="s">
        <v>257</v>
      </c>
      <c r="C304" s="21" t="s">
        <v>79</v>
      </c>
      <c r="D304" s="63">
        <v>69.569999999999993</v>
      </c>
      <c r="E304" s="21" t="s">
        <v>22</v>
      </c>
      <c r="F304" s="21" t="s">
        <v>115</v>
      </c>
      <c r="G304" s="45"/>
      <c r="H304" s="21" t="s">
        <v>115</v>
      </c>
      <c r="K304" s="21" t="s">
        <v>99</v>
      </c>
      <c r="L304" s="21" t="s">
        <v>98</v>
      </c>
      <c r="N304" s="22">
        <v>15</v>
      </c>
      <c r="O304" s="21">
        <f t="shared" si="10"/>
        <v>10.44</v>
      </c>
      <c r="P304" s="63">
        <f t="shared" si="11"/>
        <v>80.009999999999991</v>
      </c>
      <c r="Q304" s="21" t="s">
        <v>97</v>
      </c>
      <c r="R304" s="21" t="s">
        <v>137</v>
      </c>
    </row>
    <row r="305" spans="1:18" s="21" customFormat="1" ht="22.5" customHeight="1" x14ac:dyDescent="0.25">
      <c r="A305" s="76">
        <v>46051</v>
      </c>
      <c r="B305" s="21" t="s">
        <v>430</v>
      </c>
      <c r="C305" s="21" t="s">
        <v>79</v>
      </c>
      <c r="D305" s="63">
        <v>70</v>
      </c>
      <c r="E305" s="21" t="s">
        <v>22</v>
      </c>
      <c r="F305" s="21" t="s">
        <v>203</v>
      </c>
      <c r="G305" s="45"/>
      <c r="H305" s="21" t="s">
        <v>206</v>
      </c>
      <c r="K305" s="21" t="s">
        <v>99</v>
      </c>
      <c r="L305" s="21" t="s">
        <v>98</v>
      </c>
      <c r="N305" s="22">
        <v>0</v>
      </c>
      <c r="O305" s="21">
        <f t="shared" si="10"/>
        <v>0</v>
      </c>
      <c r="P305" s="63">
        <f t="shared" si="11"/>
        <v>70</v>
      </c>
      <c r="Q305" s="21" t="s">
        <v>97</v>
      </c>
      <c r="R305" s="21" t="s">
        <v>137</v>
      </c>
    </row>
    <row r="306" spans="1:18" s="21" customFormat="1" ht="22.5" customHeight="1" x14ac:dyDescent="0.25">
      <c r="A306" s="76">
        <v>46051</v>
      </c>
      <c r="B306" s="21" t="s">
        <v>412</v>
      </c>
      <c r="C306" s="21" t="s">
        <v>79</v>
      </c>
      <c r="D306" s="63">
        <v>50</v>
      </c>
      <c r="E306" s="21" t="s">
        <v>22</v>
      </c>
      <c r="F306" s="21" t="s">
        <v>253</v>
      </c>
      <c r="G306" s="45"/>
      <c r="H306" s="21" t="s">
        <v>206</v>
      </c>
      <c r="K306" s="21" t="s">
        <v>99</v>
      </c>
      <c r="L306" s="21" t="s">
        <v>98</v>
      </c>
      <c r="N306" s="22">
        <v>0</v>
      </c>
      <c r="O306" s="21">
        <f t="shared" si="10"/>
        <v>0</v>
      </c>
      <c r="P306" s="63">
        <f t="shared" si="11"/>
        <v>50</v>
      </c>
      <c r="Q306" s="21" t="s">
        <v>97</v>
      </c>
      <c r="R306" s="21" t="s">
        <v>137</v>
      </c>
    </row>
    <row r="307" spans="1:18" s="21" customFormat="1" ht="22.5" customHeight="1" x14ac:dyDescent="0.25">
      <c r="A307" s="76">
        <v>46051</v>
      </c>
      <c r="B307" s="21" t="s">
        <v>386</v>
      </c>
      <c r="C307" s="21" t="s">
        <v>79</v>
      </c>
      <c r="D307" s="63">
        <v>600</v>
      </c>
      <c r="E307" s="21" t="s">
        <v>22</v>
      </c>
      <c r="F307" s="21" t="s">
        <v>253</v>
      </c>
      <c r="G307" s="45"/>
      <c r="H307" s="21" t="s">
        <v>338</v>
      </c>
      <c r="K307" s="21" t="s">
        <v>124</v>
      </c>
      <c r="L307" s="21" t="s">
        <v>98</v>
      </c>
      <c r="N307" s="22">
        <v>0</v>
      </c>
      <c r="O307" s="21">
        <f t="shared" si="10"/>
        <v>0</v>
      </c>
      <c r="P307" s="63">
        <f t="shared" si="11"/>
        <v>600</v>
      </c>
      <c r="Q307" s="21" t="s">
        <v>97</v>
      </c>
      <c r="R307" s="21" t="s">
        <v>137</v>
      </c>
    </row>
    <row r="308" spans="1:18" s="21" customFormat="1" ht="22.5" customHeight="1" x14ac:dyDescent="0.25">
      <c r="A308" s="76">
        <v>46051</v>
      </c>
      <c r="B308" s="21" t="s">
        <v>59</v>
      </c>
      <c r="C308" s="21" t="s">
        <v>79</v>
      </c>
      <c r="D308" s="63">
        <v>200</v>
      </c>
      <c r="E308" s="21" t="s">
        <v>22</v>
      </c>
      <c r="F308" s="21" t="s">
        <v>59</v>
      </c>
      <c r="G308" s="45"/>
      <c r="H308" s="21" t="s">
        <v>59</v>
      </c>
      <c r="K308" s="21" t="s">
        <v>99</v>
      </c>
      <c r="L308" s="21" t="s">
        <v>98</v>
      </c>
      <c r="N308" s="22">
        <v>0</v>
      </c>
      <c r="O308" s="21">
        <f t="shared" si="10"/>
        <v>0</v>
      </c>
      <c r="P308" s="63">
        <f t="shared" si="11"/>
        <v>200</v>
      </c>
      <c r="Q308" s="21" t="s">
        <v>97</v>
      </c>
      <c r="R308" s="21" t="s">
        <v>137</v>
      </c>
    </row>
    <row r="309" spans="1:18" s="21" customFormat="1" ht="22.5" customHeight="1" x14ac:dyDescent="0.25">
      <c r="A309" s="76">
        <v>46051</v>
      </c>
      <c r="B309" s="21" t="s">
        <v>413</v>
      </c>
      <c r="C309" s="21" t="s">
        <v>79</v>
      </c>
      <c r="D309" s="63">
        <v>8</v>
      </c>
      <c r="E309" s="21" t="s">
        <v>22</v>
      </c>
      <c r="F309" s="21" t="s">
        <v>253</v>
      </c>
      <c r="G309" s="45"/>
      <c r="H309" s="21" t="s">
        <v>338</v>
      </c>
      <c r="K309" s="21" t="s">
        <v>99</v>
      </c>
      <c r="L309" s="21" t="s">
        <v>98</v>
      </c>
      <c r="N309" s="22">
        <v>0</v>
      </c>
      <c r="O309" s="21">
        <f t="shared" si="10"/>
        <v>0</v>
      </c>
      <c r="P309" s="63">
        <f t="shared" si="11"/>
        <v>8</v>
      </c>
      <c r="Q309" s="21" t="s">
        <v>97</v>
      </c>
      <c r="R309" s="21" t="s">
        <v>137</v>
      </c>
    </row>
    <row r="310" spans="1:18" s="21" customFormat="1" ht="22.5" customHeight="1" x14ac:dyDescent="0.25">
      <c r="A310" s="76">
        <v>46051</v>
      </c>
      <c r="B310" s="21" t="s">
        <v>401</v>
      </c>
      <c r="C310" s="21" t="s">
        <v>79</v>
      </c>
      <c r="D310" s="63">
        <v>100</v>
      </c>
      <c r="E310" s="21" t="s">
        <v>22</v>
      </c>
      <c r="F310" s="21" t="s">
        <v>253</v>
      </c>
      <c r="G310" s="45"/>
      <c r="H310" s="21" t="s">
        <v>338</v>
      </c>
      <c r="K310" s="21" t="s">
        <v>231</v>
      </c>
      <c r="L310" s="21" t="s">
        <v>154</v>
      </c>
      <c r="N310" s="22">
        <v>15</v>
      </c>
      <c r="O310" s="21">
        <f t="shared" si="10"/>
        <v>15</v>
      </c>
      <c r="P310" s="63">
        <f t="shared" si="11"/>
        <v>115</v>
      </c>
      <c r="Q310" s="21" t="s">
        <v>97</v>
      </c>
      <c r="R310" s="21" t="s">
        <v>137</v>
      </c>
    </row>
    <row r="311" spans="1:18" s="21" customFormat="1" ht="22.5" customHeight="1" x14ac:dyDescent="0.25">
      <c r="A311" s="76">
        <v>46051</v>
      </c>
      <c r="B311" s="21" t="s">
        <v>401</v>
      </c>
      <c r="C311" s="21" t="s">
        <v>79</v>
      </c>
      <c r="D311" s="63">
        <v>78.2</v>
      </c>
      <c r="E311" s="21" t="s">
        <v>22</v>
      </c>
      <c r="F311" s="21" t="s">
        <v>253</v>
      </c>
      <c r="G311" s="45"/>
      <c r="H311" s="21" t="s">
        <v>338</v>
      </c>
      <c r="K311" s="21" t="s">
        <v>414</v>
      </c>
      <c r="L311" s="21" t="s">
        <v>154</v>
      </c>
      <c r="N311" s="22">
        <v>15</v>
      </c>
      <c r="O311" s="21">
        <f t="shared" si="10"/>
        <v>11.73</v>
      </c>
      <c r="P311" s="63">
        <f t="shared" si="11"/>
        <v>89.93</v>
      </c>
      <c r="Q311" s="21" t="s">
        <v>97</v>
      </c>
      <c r="R311" s="21" t="s">
        <v>137</v>
      </c>
    </row>
    <row r="312" spans="1:18" s="21" customFormat="1" ht="22.5" customHeight="1" x14ac:dyDescent="0.25">
      <c r="A312" s="76">
        <v>46051</v>
      </c>
      <c r="B312" s="21" t="s">
        <v>186</v>
      </c>
      <c r="C312" s="21" t="s">
        <v>79</v>
      </c>
      <c r="D312" s="63">
        <v>86.96</v>
      </c>
      <c r="E312" s="21" t="s">
        <v>22</v>
      </c>
      <c r="F312" s="21" t="s">
        <v>115</v>
      </c>
      <c r="G312" s="45"/>
      <c r="H312" s="21" t="s">
        <v>115</v>
      </c>
      <c r="K312" s="21" t="s">
        <v>99</v>
      </c>
      <c r="L312" s="21" t="s">
        <v>98</v>
      </c>
      <c r="N312" s="22">
        <v>15</v>
      </c>
      <c r="O312" s="21">
        <f t="shared" si="10"/>
        <v>13.04</v>
      </c>
      <c r="P312" s="63">
        <f t="shared" si="11"/>
        <v>100</v>
      </c>
      <c r="Q312" s="21" t="s">
        <v>97</v>
      </c>
      <c r="R312" s="21" t="s">
        <v>137</v>
      </c>
    </row>
    <row r="313" spans="1:18" s="21" customFormat="1" ht="22.5" customHeight="1" x14ac:dyDescent="0.25">
      <c r="A313" s="76">
        <v>46051</v>
      </c>
      <c r="B313" s="21" t="s">
        <v>75</v>
      </c>
      <c r="C313" s="21" t="s">
        <v>79</v>
      </c>
      <c r="D313" s="63">
        <v>5</v>
      </c>
      <c r="E313" s="21" t="s">
        <v>22</v>
      </c>
      <c r="F313" s="21" t="s">
        <v>57</v>
      </c>
      <c r="G313" s="45"/>
      <c r="H313" s="21" t="s">
        <v>81</v>
      </c>
      <c r="K313" s="21" t="s">
        <v>99</v>
      </c>
      <c r="L313" s="21" t="s">
        <v>98</v>
      </c>
      <c r="N313" s="22">
        <v>0</v>
      </c>
      <c r="O313" s="21">
        <f t="shared" si="10"/>
        <v>0</v>
      </c>
      <c r="P313" s="63">
        <f t="shared" si="11"/>
        <v>5</v>
      </c>
      <c r="Q313" s="21" t="s">
        <v>97</v>
      </c>
      <c r="R313" s="21" t="s">
        <v>137</v>
      </c>
    </row>
    <row r="314" spans="1:18" s="21" customFormat="1" ht="22.5" customHeight="1" x14ac:dyDescent="0.25">
      <c r="A314" s="76">
        <v>46051</v>
      </c>
      <c r="B314" s="21" t="s">
        <v>418</v>
      </c>
      <c r="C314" s="21" t="s">
        <v>79</v>
      </c>
      <c r="D314" s="63">
        <v>5500</v>
      </c>
      <c r="E314" s="21" t="s">
        <v>22</v>
      </c>
      <c r="F314" s="21" t="s">
        <v>253</v>
      </c>
      <c r="G314" s="45"/>
      <c r="H314" s="21" t="s">
        <v>338</v>
      </c>
      <c r="K314" s="21" t="s">
        <v>419</v>
      </c>
      <c r="L314" s="21" t="s">
        <v>98</v>
      </c>
      <c r="N314" s="22">
        <v>0</v>
      </c>
      <c r="O314" s="21">
        <f t="shared" si="10"/>
        <v>0</v>
      </c>
      <c r="P314" s="63">
        <f t="shared" si="11"/>
        <v>5500</v>
      </c>
      <c r="Q314" s="21" t="s">
        <v>97</v>
      </c>
      <c r="R314" s="21" t="s">
        <v>137</v>
      </c>
    </row>
    <row r="315" spans="1:18" s="21" customFormat="1" ht="22.5" customHeight="1" x14ac:dyDescent="0.25">
      <c r="A315" s="76">
        <v>46051</v>
      </c>
      <c r="B315" s="21" t="s">
        <v>420</v>
      </c>
      <c r="C315" s="21" t="s">
        <v>79</v>
      </c>
      <c r="D315" s="63">
        <v>1900</v>
      </c>
      <c r="E315" s="21" t="s">
        <v>22</v>
      </c>
      <c r="F315" s="21" t="s">
        <v>252</v>
      </c>
      <c r="G315" s="45"/>
      <c r="H315" s="21" t="s">
        <v>22</v>
      </c>
      <c r="K315" s="21" t="s">
        <v>421</v>
      </c>
      <c r="L315" s="21" t="s">
        <v>98</v>
      </c>
      <c r="N315" s="22">
        <v>0</v>
      </c>
      <c r="O315" s="21">
        <f t="shared" si="10"/>
        <v>0</v>
      </c>
      <c r="P315" s="63">
        <f t="shared" si="11"/>
        <v>1900</v>
      </c>
      <c r="Q315" s="21" t="s">
        <v>97</v>
      </c>
      <c r="R315" s="21" t="s">
        <v>137</v>
      </c>
    </row>
    <row r="316" spans="1:18" s="21" customFormat="1" ht="22.5" customHeight="1" x14ac:dyDescent="0.25">
      <c r="A316" s="76">
        <v>46051</v>
      </c>
      <c r="B316" s="21" t="s">
        <v>309</v>
      </c>
      <c r="C316" s="21" t="s">
        <v>79</v>
      </c>
      <c r="D316" s="63">
        <v>350</v>
      </c>
      <c r="E316" s="21" t="s">
        <v>29</v>
      </c>
      <c r="F316" s="21" t="s">
        <v>29</v>
      </c>
      <c r="G316" s="45"/>
      <c r="H316" s="21" t="s">
        <v>196</v>
      </c>
      <c r="K316" s="21" t="s">
        <v>153</v>
      </c>
      <c r="L316" s="21" t="s">
        <v>154</v>
      </c>
      <c r="N316" s="22">
        <v>0</v>
      </c>
      <c r="O316" s="21">
        <f t="shared" si="10"/>
        <v>0</v>
      </c>
      <c r="P316" s="63">
        <f t="shared" si="11"/>
        <v>350</v>
      </c>
      <c r="Q316" s="21" t="s">
        <v>97</v>
      </c>
      <c r="R316" s="21" t="s">
        <v>137</v>
      </c>
    </row>
    <row r="317" spans="1:18" s="21" customFormat="1" ht="22.5" customHeight="1" x14ac:dyDescent="0.25">
      <c r="A317" s="76">
        <v>46051</v>
      </c>
      <c r="B317" s="21" t="s">
        <v>161</v>
      </c>
      <c r="C317" s="21" t="s">
        <v>79</v>
      </c>
      <c r="D317" s="63">
        <v>2920</v>
      </c>
      <c r="E317" s="21" t="s">
        <v>22</v>
      </c>
      <c r="F317" s="21" t="s">
        <v>25</v>
      </c>
      <c r="G317" s="45"/>
      <c r="H317" s="21" t="s">
        <v>196</v>
      </c>
      <c r="K317" s="21" t="s">
        <v>162</v>
      </c>
      <c r="L317" s="21" t="s">
        <v>163</v>
      </c>
      <c r="N317" s="22">
        <v>0</v>
      </c>
      <c r="O317" s="21">
        <f t="shared" si="10"/>
        <v>0</v>
      </c>
      <c r="P317" s="63">
        <f t="shared" si="11"/>
        <v>2920</v>
      </c>
      <c r="Q317" s="21" t="s">
        <v>97</v>
      </c>
      <c r="R317" s="21" t="s">
        <v>137</v>
      </c>
    </row>
    <row r="318" spans="1:18" s="21" customFormat="1" ht="22.5" customHeight="1" x14ac:dyDescent="0.25">
      <c r="A318" s="76">
        <v>46051</v>
      </c>
      <c r="B318" s="21" t="s">
        <v>423</v>
      </c>
      <c r="C318" s="21" t="s">
        <v>79</v>
      </c>
      <c r="D318" s="63">
        <v>1282.6099999999999</v>
      </c>
      <c r="E318" s="21" t="s">
        <v>22</v>
      </c>
      <c r="F318" s="21" t="s">
        <v>166</v>
      </c>
      <c r="G318" s="45" t="s">
        <v>422</v>
      </c>
      <c r="H318" s="21" t="s">
        <v>80</v>
      </c>
      <c r="K318" s="21" t="s">
        <v>426</v>
      </c>
      <c r="L318" s="21" t="s">
        <v>98</v>
      </c>
      <c r="N318" s="22">
        <v>15</v>
      </c>
      <c r="O318" s="21">
        <f t="shared" si="10"/>
        <v>192.39</v>
      </c>
      <c r="P318" s="63">
        <f t="shared" si="11"/>
        <v>1475</v>
      </c>
      <c r="Q318" s="21" t="s">
        <v>97</v>
      </c>
      <c r="R318" s="21" t="s">
        <v>191</v>
      </c>
    </row>
    <row r="319" spans="1:18" s="21" customFormat="1" ht="22.5" customHeight="1" x14ac:dyDescent="0.25">
      <c r="A319" s="76">
        <v>46051</v>
      </c>
      <c r="B319" s="21" t="s">
        <v>424</v>
      </c>
      <c r="C319" s="21" t="s">
        <v>79</v>
      </c>
      <c r="D319" s="63">
        <v>1200</v>
      </c>
      <c r="E319" s="21" t="s">
        <v>22</v>
      </c>
      <c r="F319" s="21" t="s">
        <v>253</v>
      </c>
      <c r="G319" s="45"/>
      <c r="H319" s="21" t="s">
        <v>338</v>
      </c>
      <c r="K319" s="21" t="s">
        <v>23</v>
      </c>
      <c r="L319" s="21" t="s">
        <v>98</v>
      </c>
      <c r="N319" s="22">
        <v>0</v>
      </c>
      <c r="O319" s="21">
        <f t="shared" si="10"/>
        <v>0</v>
      </c>
      <c r="P319" s="63">
        <f t="shared" si="11"/>
        <v>1200</v>
      </c>
      <c r="Q319" s="21" t="s">
        <v>97</v>
      </c>
      <c r="R319" s="21" t="s">
        <v>137</v>
      </c>
    </row>
    <row r="320" spans="1:18" s="21" customFormat="1" ht="22.5" customHeight="1" x14ac:dyDescent="0.25">
      <c r="A320" s="76">
        <v>46051</v>
      </c>
      <c r="B320" s="21" t="s">
        <v>425</v>
      </c>
      <c r="C320" s="21" t="s">
        <v>79</v>
      </c>
      <c r="D320" s="63">
        <v>500</v>
      </c>
      <c r="E320" s="21" t="s">
        <v>22</v>
      </c>
      <c r="F320" s="21" t="s">
        <v>253</v>
      </c>
      <c r="G320" s="45"/>
      <c r="H320" s="21" t="s">
        <v>338</v>
      </c>
      <c r="K320" s="21" t="s">
        <v>427</v>
      </c>
      <c r="L320" s="21" t="s">
        <v>98</v>
      </c>
      <c r="N320" s="22">
        <v>0</v>
      </c>
      <c r="O320" s="21">
        <f t="shared" si="10"/>
        <v>0</v>
      </c>
      <c r="P320" s="63">
        <f t="shared" si="11"/>
        <v>500</v>
      </c>
      <c r="Q320" s="21" t="s">
        <v>97</v>
      </c>
      <c r="R320" s="21" t="s">
        <v>137</v>
      </c>
    </row>
    <row r="321" spans="1:18" s="21" customFormat="1" ht="22.5" customHeight="1" x14ac:dyDescent="0.25">
      <c r="A321" s="76">
        <v>46051</v>
      </c>
      <c r="B321" s="21" t="s">
        <v>428</v>
      </c>
      <c r="C321" s="21" t="s">
        <v>79</v>
      </c>
      <c r="D321" s="63">
        <v>500</v>
      </c>
      <c r="E321" s="21" t="s">
        <v>22</v>
      </c>
      <c r="F321" s="21" t="s">
        <v>252</v>
      </c>
      <c r="G321" s="45"/>
      <c r="H321" s="21" t="s">
        <v>338</v>
      </c>
      <c r="K321" s="21" t="s">
        <v>429</v>
      </c>
      <c r="L321" s="21" t="s">
        <v>98</v>
      </c>
      <c r="N321" s="22">
        <v>0</v>
      </c>
      <c r="O321" s="21">
        <f t="shared" si="10"/>
        <v>0</v>
      </c>
      <c r="P321" s="63">
        <f t="shared" si="11"/>
        <v>500</v>
      </c>
      <c r="Q321" s="21" t="s">
        <v>97</v>
      </c>
      <c r="R321" s="21" t="s">
        <v>137</v>
      </c>
    </row>
    <row r="322" spans="1:18" s="21" customFormat="1" ht="22.5" customHeight="1" x14ac:dyDescent="0.25">
      <c r="A322" s="76">
        <v>46051</v>
      </c>
      <c r="B322" s="21" t="s">
        <v>431</v>
      </c>
      <c r="C322" s="21" t="s">
        <v>79</v>
      </c>
      <c r="D322" s="63">
        <v>1800</v>
      </c>
      <c r="E322" s="21" t="s">
        <v>22</v>
      </c>
      <c r="F322" s="21" t="s">
        <v>253</v>
      </c>
      <c r="G322" s="45"/>
      <c r="H322" s="21" t="s">
        <v>338</v>
      </c>
      <c r="K322" s="21" t="s">
        <v>169</v>
      </c>
      <c r="L322" s="21" t="s">
        <v>154</v>
      </c>
      <c r="N322" s="22">
        <v>0</v>
      </c>
      <c r="O322" s="21">
        <f t="shared" si="10"/>
        <v>0</v>
      </c>
      <c r="P322" s="63">
        <f t="shared" si="11"/>
        <v>1800</v>
      </c>
      <c r="Q322" s="21" t="s">
        <v>97</v>
      </c>
      <c r="R322" s="21" t="s">
        <v>137</v>
      </c>
    </row>
    <row r="323" spans="1:18" s="21" customFormat="1" ht="22.5" customHeight="1" x14ac:dyDescent="0.25">
      <c r="A323" s="76">
        <v>46051</v>
      </c>
      <c r="B323" s="21" t="s">
        <v>432</v>
      </c>
      <c r="C323" s="21" t="s">
        <v>79</v>
      </c>
      <c r="D323" s="63">
        <v>5700</v>
      </c>
      <c r="E323" s="21" t="s">
        <v>22</v>
      </c>
      <c r="F323" s="21" t="s">
        <v>253</v>
      </c>
      <c r="G323" s="45"/>
      <c r="H323" s="21" t="s">
        <v>338</v>
      </c>
      <c r="K323" s="21" t="s">
        <v>153</v>
      </c>
      <c r="L323" s="21" t="s">
        <v>154</v>
      </c>
      <c r="N323" s="22">
        <v>0</v>
      </c>
      <c r="O323" s="21">
        <f t="shared" si="10"/>
        <v>0</v>
      </c>
      <c r="P323" s="63">
        <f t="shared" si="11"/>
        <v>5700</v>
      </c>
      <c r="Q323" s="21" t="s">
        <v>97</v>
      </c>
      <c r="R323" s="21" t="s">
        <v>137</v>
      </c>
    </row>
    <row r="324" spans="1:18" s="21" customFormat="1" ht="22.5" customHeight="1" x14ac:dyDescent="0.25">
      <c r="A324" s="76">
        <v>46051</v>
      </c>
      <c r="B324" s="21" t="s">
        <v>271</v>
      </c>
      <c r="C324" s="21" t="s">
        <v>79</v>
      </c>
      <c r="D324" s="63">
        <v>680</v>
      </c>
      <c r="E324" s="21" t="s">
        <v>22</v>
      </c>
      <c r="F324" s="21" t="s">
        <v>252</v>
      </c>
      <c r="G324" s="45"/>
      <c r="H324" s="21" t="s">
        <v>338</v>
      </c>
      <c r="K324" s="21" t="s">
        <v>99</v>
      </c>
      <c r="L324" s="21" t="s">
        <v>98</v>
      </c>
      <c r="N324" s="22">
        <v>0</v>
      </c>
      <c r="O324" s="21">
        <f t="shared" si="10"/>
        <v>0</v>
      </c>
      <c r="P324" s="63">
        <f t="shared" si="11"/>
        <v>680</v>
      </c>
      <c r="Q324" s="21" t="s">
        <v>97</v>
      </c>
      <c r="R324" s="21" t="s">
        <v>137</v>
      </c>
    </row>
    <row r="325" spans="1:18" s="21" customFormat="1" ht="22.5" customHeight="1" x14ac:dyDescent="0.25">
      <c r="A325" s="76">
        <v>46051</v>
      </c>
      <c r="B325" s="21" t="s">
        <v>433</v>
      </c>
      <c r="C325" s="21" t="s">
        <v>79</v>
      </c>
      <c r="D325" s="63">
        <v>1000</v>
      </c>
      <c r="E325" s="21" t="s">
        <v>22</v>
      </c>
      <c r="F325" s="21" t="s">
        <v>252</v>
      </c>
      <c r="G325" s="45"/>
      <c r="H325" s="21" t="s">
        <v>338</v>
      </c>
      <c r="K325" s="21" t="s">
        <v>434</v>
      </c>
      <c r="L325" s="21" t="s">
        <v>98</v>
      </c>
      <c r="N325" s="22">
        <v>0</v>
      </c>
      <c r="O325" s="21">
        <f t="shared" si="10"/>
        <v>0</v>
      </c>
      <c r="P325" s="63">
        <f t="shared" si="11"/>
        <v>1000</v>
      </c>
      <c r="Q325" s="21" t="s">
        <v>97</v>
      </c>
      <c r="R325" s="21" t="s">
        <v>137</v>
      </c>
    </row>
    <row r="326" spans="1:18" s="21" customFormat="1" ht="22.5" customHeight="1" x14ac:dyDescent="0.25">
      <c r="A326" s="76">
        <v>46051</v>
      </c>
      <c r="B326" s="21" t="s">
        <v>435</v>
      </c>
      <c r="C326" s="21" t="s">
        <v>79</v>
      </c>
      <c r="D326" s="63">
        <v>1000</v>
      </c>
      <c r="E326" s="21" t="s">
        <v>22</v>
      </c>
      <c r="F326" s="21" t="s">
        <v>252</v>
      </c>
      <c r="G326" s="45"/>
      <c r="H326" s="21" t="s">
        <v>338</v>
      </c>
      <c r="K326" s="21" t="s">
        <v>436</v>
      </c>
      <c r="L326" s="21" t="s">
        <v>98</v>
      </c>
      <c r="N326" s="22">
        <v>0</v>
      </c>
      <c r="O326" s="21">
        <f t="shared" si="10"/>
        <v>0</v>
      </c>
      <c r="P326" s="63">
        <f t="shared" si="11"/>
        <v>1000</v>
      </c>
      <c r="Q326" s="21" t="s">
        <v>97</v>
      </c>
      <c r="R326" s="21" t="s">
        <v>137</v>
      </c>
    </row>
    <row r="327" spans="1:18" s="21" customFormat="1" ht="22.5" customHeight="1" x14ac:dyDescent="0.25">
      <c r="A327" s="76">
        <v>46051</v>
      </c>
      <c r="B327" s="21" t="s">
        <v>437</v>
      </c>
      <c r="C327" s="21" t="s">
        <v>79</v>
      </c>
      <c r="D327" s="63">
        <v>2000</v>
      </c>
      <c r="E327" s="21" t="s">
        <v>22</v>
      </c>
      <c r="F327" s="21" t="s">
        <v>252</v>
      </c>
      <c r="G327" s="45"/>
      <c r="H327" s="21" t="s">
        <v>338</v>
      </c>
      <c r="K327" s="21" t="s">
        <v>438</v>
      </c>
      <c r="L327" s="21" t="s">
        <v>98</v>
      </c>
      <c r="N327" s="22">
        <v>0</v>
      </c>
      <c r="O327" s="21">
        <f t="shared" si="10"/>
        <v>0</v>
      </c>
      <c r="P327" s="63">
        <f t="shared" si="11"/>
        <v>2000</v>
      </c>
      <c r="Q327" s="21" t="s">
        <v>97</v>
      </c>
      <c r="R327" s="21" t="s">
        <v>137</v>
      </c>
    </row>
    <row r="328" spans="1:18" s="21" customFormat="1" ht="22.5" customHeight="1" x14ac:dyDescent="0.25">
      <c r="A328" s="76">
        <v>46051</v>
      </c>
      <c r="B328" s="21" t="s">
        <v>439</v>
      </c>
      <c r="C328" s="21" t="s">
        <v>79</v>
      </c>
      <c r="D328" s="63">
        <v>1200</v>
      </c>
      <c r="E328" s="21" t="s">
        <v>22</v>
      </c>
      <c r="F328" s="21" t="s">
        <v>252</v>
      </c>
      <c r="G328" s="45"/>
      <c r="H328" s="21" t="s">
        <v>338</v>
      </c>
      <c r="K328" s="21" t="s">
        <v>339</v>
      </c>
      <c r="L328" s="21" t="s">
        <v>98</v>
      </c>
      <c r="N328" s="22">
        <v>0</v>
      </c>
      <c r="O328" s="21">
        <f t="shared" si="10"/>
        <v>0</v>
      </c>
      <c r="P328" s="63">
        <f t="shared" si="11"/>
        <v>1200</v>
      </c>
      <c r="Q328" s="21" t="s">
        <v>97</v>
      </c>
      <c r="R328" s="21" t="s">
        <v>137</v>
      </c>
    </row>
    <row r="329" spans="1:18" s="21" customFormat="1" ht="22.5" customHeight="1" x14ac:dyDescent="0.25">
      <c r="A329" s="76">
        <v>46051</v>
      </c>
      <c r="B329" s="21" t="s">
        <v>440</v>
      </c>
      <c r="C329" s="21" t="s">
        <v>79</v>
      </c>
      <c r="D329" s="63">
        <v>5000</v>
      </c>
      <c r="E329" s="21" t="s">
        <v>22</v>
      </c>
      <c r="F329" s="21" t="s">
        <v>252</v>
      </c>
      <c r="G329" s="45"/>
      <c r="H329" s="21" t="s">
        <v>338</v>
      </c>
      <c r="K329" s="21" t="s">
        <v>441</v>
      </c>
      <c r="L329" s="21" t="s">
        <v>98</v>
      </c>
      <c r="N329" s="22">
        <v>0</v>
      </c>
      <c r="O329" s="21">
        <f t="shared" ref="O329:O394" si="13">IF(OR(D329="", N329=""), "", ROUND(D329 * N329 / 100, 2))</f>
        <v>0</v>
      </c>
      <c r="P329" s="63">
        <f t="shared" ref="P329:P394" si="14">IF(D329="", "", D329 + O329)</f>
        <v>5000</v>
      </c>
      <c r="Q329" s="21" t="s">
        <v>97</v>
      </c>
      <c r="R329" s="21" t="s">
        <v>137</v>
      </c>
    </row>
    <row r="330" spans="1:18" ht="22.5" customHeight="1" x14ac:dyDescent="0.25">
      <c r="A330" s="76">
        <v>46051</v>
      </c>
      <c r="B330" s="4" t="s">
        <v>442</v>
      </c>
      <c r="C330" s="4" t="s">
        <v>79</v>
      </c>
      <c r="D330" s="59">
        <v>1000</v>
      </c>
      <c r="E330" s="4" t="s">
        <v>22</v>
      </c>
      <c r="F330" s="4" t="s">
        <v>57</v>
      </c>
      <c r="H330" s="4" t="s">
        <v>338</v>
      </c>
      <c r="K330" s="4" t="s">
        <v>443</v>
      </c>
      <c r="L330" s="4" t="s">
        <v>98</v>
      </c>
      <c r="N330" s="13">
        <v>0</v>
      </c>
      <c r="O330" s="4">
        <f t="shared" si="13"/>
        <v>0</v>
      </c>
      <c r="P330" s="59">
        <f t="shared" si="14"/>
        <v>1000</v>
      </c>
      <c r="Q330" s="4" t="s">
        <v>97</v>
      </c>
      <c r="R330" s="4" t="s">
        <v>137</v>
      </c>
    </row>
    <row r="331" spans="1:18" ht="22.5" customHeight="1" x14ac:dyDescent="0.25">
      <c r="A331" s="76">
        <v>46051</v>
      </c>
      <c r="B331" s="4" t="s">
        <v>444</v>
      </c>
      <c r="C331" s="4" t="s">
        <v>79</v>
      </c>
      <c r="D331" s="59">
        <v>500</v>
      </c>
      <c r="E331" s="4" t="s">
        <v>22</v>
      </c>
      <c r="F331" s="4" t="s">
        <v>253</v>
      </c>
      <c r="H331" s="4" t="s">
        <v>338</v>
      </c>
      <c r="K331" s="4" t="s">
        <v>172</v>
      </c>
      <c r="L331" s="4" t="s">
        <v>154</v>
      </c>
      <c r="N331" s="13">
        <v>0</v>
      </c>
      <c r="O331" s="4">
        <f t="shared" si="13"/>
        <v>0</v>
      </c>
      <c r="P331" s="59">
        <f t="shared" si="14"/>
        <v>500</v>
      </c>
      <c r="Q331" s="4" t="s">
        <v>97</v>
      </c>
      <c r="R331" s="4" t="s">
        <v>137</v>
      </c>
    </row>
    <row r="332" spans="1:18" ht="22.5" customHeight="1" x14ac:dyDescent="0.25">
      <c r="A332" s="76">
        <v>46051</v>
      </c>
      <c r="B332" s="4" t="s">
        <v>445</v>
      </c>
      <c r="C332" s="4" t="s">
        <v>79</v>
      </c>
      <c r="D332" s="59">
        <v>1000</v>
      </c>
      <c r="E332" s="4" t="s">
        <v>22</v>
      </c>
      <c r="F332" s="4" t="s">
        <v>252</v>
      </c>
      <c r="H332" s="4" t="s">
        <v>338</v>
      </c>
      <c r="K332" s="4" t="s">
        <v>446</v>
      </c>
      <c r="L332" s="4" t="s">
        <v>98</v>
      </c>
      <c r="N332" s="13">
        <v>0</v>
      </c>
      <c r="O332" s="4">
        <f t="shared" si="13"/>
        <v>0</v>
      </c>
      <c r="P332" s="59">
        <f t="shared" si="14"/>
        <v>1000</v>
      </c>
      <c r="Q332" s="4" t="s">
        <v>97</v>
      </c>
      <c r="R332" s="4" t="s">
        <v>137</v>
      </c>
    </row>
    <row r="333" spans="1:18" ht="22.5" customHeight="1" x14ac:dyDescent="0.25">
      <c r="A333" s="76">
        <v>46051</v>
      </c>
      <c r="B333" s="4" t="s">
        <v>445</v>
      </c>
      <c r="C333" s="4" t="s">
        <v>79</v>
      </c>
      <c r="D333" s="59">
        <v>550</v>
      </c>
      <c r="E333" s="4" t="s">
        <v>22</v>
      </c>
      <c r="F333" s="4" t="s">
        <v>252</v>
      </c>
      <c r="H333" s="4" t="s">
        <v>338</v>
      </c>
      <c r="K333" s="4" t="s">
        <v>447</v>
      </c>
      <c r="L333" s="4" t="s">
        <v>98</v>
      </c>
      <c r="N333" s="13">
        <v>0</v>
      </c>
      <c r="O333" s="4">
        <f t="shared" si="13"/>
        <v>0</v>
      </c>
      <c r="P333" s="59">
        <f t="shared" si="14"/>
        <v>550</v>
      </c>
      <c r="Q333" s="4" t="s">
        <v>97</v>
      </c>
      <c r="R333" s="4" t="s">
        <v>137</v>
      </c>
    </row>
    <row r="334" spans="1:18" ht="22.5" customHeight="1" x14ac:dyDescent="0.25">
      <c r="A334" s="76">
        <v>46051</v>
      </c>
      <c r="B334" s="4" t="s">
        <v>827</v>
      </c>
      <c r="C334" s="4" t="s">
        <v>79</v>
      </c>
      <c r="D334" s="59">
        <v>500</v>
      </c>
      <c r="E334" s="4" t="s">
        <v>22</v>
      </c>
      <c r="F334" s="4" t="s">
        <v>249</v>
      </c>
      <c r="G334" s="18" t="s">
        <v>448</v>
      </c>
      <c r="H334" s="4" t="s">
        <v>206</v>
      </c>
      <c r="K334" s="4" t="s">
        <v>449</v>
      </c>
      <c r="L334" s="4" t="s">
        <v>98</v>
      </c>
      <c r="N334" s="13">
        <v>0</v>
      </c>
      <c r="O334" s="4">
        <f t="shared" si="13"/>
        <v>0</v>
      </c>
      <c r="P334" s="59">
        <f t="shared" si="14"/>
        <v>500</v>
      </c>
      <c r="Q334" s="4" t="s">
        <v>97</v>
      </c>
      <c r="R334" s="4" t="s">
        <v>191</v>
      </c>
    </row>
    <row r="335" spans="1:18" ht="22.5" customHeight="1" x14ac:dyDescent="0.25">
      <c r="A335" s="76">
        <v>46051</v>
      </c>
      <c r="B335" s="4" t="s">
        <v>309</v>
      </c>
      <c r="C335" s="4" t="s">
        <v>79</v>
      </c>
      <c r="D335" s="59">
        <v>500</v>
      </c>
      <c r="E335" s="4" t="s">
        <v>22</v>
      </c>
      <c r="F335" s="4" t="s">
        <v>29</v>
      </c>
      <c r="H335" s="4" t="s">
        <v>196</v>
      </c>
      <c r="K335" s="4" t="s">
        <v>153</v>
      </c>
      <c r="L335" s="4" t="s">
        <v>154</v>
      </c>
      <c r="N335" s="13">
        <v>0</v>
      </c>
      <c r="O335" s="4">
        <f t="shared" si="13"/>
        <v>0</v>
      </c>
      <c r="P335" s="59">
        <f t="shared" si="14"/>
        <v>500</v>
      </c>
      <c r="Q335" s="4" t="s">
        <v>97</v>
      </c>
      <c r="R335" s="4" t="s">
        <v>137</v>
      </c>
    </row>
    <row r="336" spans="1:18" ht="22.5" customHeight="1" x14ac:dyDescent="0.25">
      <c r="A336" s="76">
        <v>46052</v>
      </c>
      <c r="B336" s="4" t="s">
        <v>309</v>
      </c>
      <c r="C336" s="4" t="s">
        <v>79</v>
      </c>
      <c r="D336" s="59">
        <v>1000</v>
      </c>
      <c r="E336" s="4" t="s">
        <v>22</v>
      </c>
      <c r="F336" s="4" t="s">
        <v>29</v>
      </c>
      <c r="H336" s="4" t="s">
        <v>196</v>
      </c>
      <c r="K336" s="4" t="s">
        <v>153</v>
      </c>
      <c r="L336" s="4" t="s">
        <v>154</v>
      </c>
      <c r="N336" s="13">
        <v>0</v>
      </c>
      <c r="O336" s="4">
        <f t="shared" si="13"/>
        <v>0</v>
      </c>
      <c r="P336" s="59">
        <f t="shared" si="14"/>
        <v>1000</v>
      </c>
      <c r="Q336" s="4" t="s">
        <v>97</v>
      </c>
      <c r="R336" s="4" t="s">
        <v>137</v>
      </c>
    </row>
    <row r="337" spans="1:18" ht="22.5" customHeight="1" x14ac:dyDescent="0.25">
      <c r="A337" s="76">
        <v>46052</v>
      </c>
      <c r="B337" s="4" t="s">
        <v>186</v>
      </c>
      <c r="C337" s="4" t="s">
        <v>79</v>
      </c>
      <c r="D337" s="59">
        <v>86.96</v>
      </c>
      <c r="E337" s="4" t="s">
        <v>22</v>
      </c>
      <c r="F337" s="4" t="s">
        <v>115</v>
      </c>
      <c r="H337" s="4" t="s">
        <v>115</v>
      </c>
      <c r="K337" s="4" t="s">
        <v>99</v>
      </c>
      <c r="L337" s="4" t="s">
        <v>98</v>
      </c>
      <c r="N337" s="13">
        <v>15</v>
      </c>
      <c r="O337" s="4">
        <f t="shared" si="13"/>
        <v>13.04</v>
      </c>
      <c r="P337" s="59">
        <f t="shared" si="14"/>
        <v>100</v>
      </c>
      <c r="Q337" s="4" t="s">
        <v>97</v>
      </c>
      <c r="R337" s="4" t="s">
        <v>137</v>
      </c>
    </row>
    <row r="338" spans="1:18" ht="22.5" customHeight="1" x14ac:dyDescent="0.25">
      <c r="A338" s="76">
        <v>46053</v>
      </c>
      <c r="B338" s="4" t="s">
        <v>161</v>
      </c>
      <c r="C338" s="4" t="s">
        <v>79</v>
      </c>
      <c r="D338" s="59">
        <v>380</v>
      </c>
      <c r="E338" s="4" t="s">
        <v>22</v>
      </c>
      <c r="F338" s="4" t="s">
        <v>25</v>
      </c>
      <c r="H338" s="4" t="s">
        <v>196</v>
      </c>
      <c r="K338" s="4" t="s">
        <v>162</v>
      </c>
      <c r="L338" s="4" t="s">
        <v>163</v>
      </c>
      <c r="N338" s="13">
        <v>0</v>
      </c>
      <c r="O338" s="4">
        <f t="shared" si="13"/>
        <v>0</v>
      </c>
      <c r="P338" s="59">
        <f t="shared" si="14"/>
        <v>380</v>
      </c>
      <c r="Q338" s="4" t="s">
        <v>97</v>
      </c>
      <c r="R338" s="4" t="s">
        <v>137</v>
      </c>
    </row>
    <row r="339" spans="1:18" ht="22.5" customHeight="1" x14ac:dyDescent="0.25">
      <c r="A339" s="76">
        <v>46053</v>
      </c>
      <c r="B339" s="4" t="s">
        <v>257</v>
      </c>
      <c r="C339" s="4" t="s">
        <v>79</v>
      </c>
      <c r="D339" s="59">
        <v>86.96</v>
      </c>
      <c r="E339" s="4" t="s">
        <v>22</v>
      </c>
      <c r="F339" s="4" t="s">
        <v>115</v>
      </c>
      <c r="G339" s="18" t="s">
        <v>448</v>
      </c>
      <c r="H339" s="4" t="s">
        <v>115</v>
      </c>
      <c r="K339" s="4" t="s">
        <v>99</v>
      </c>
      <c r="L339" s="4" t="s">
        <v>98</v>
      </c>
      <c r="N339" s="13">
        <v>15</v>
      </c>
      <c r="O339" s="4">
        <f t="shared" si="13"/>
        <v>13.04</v>
      </c>
      <c r="P339" s="59">
        <f t="shared" si="14"/>
        <v>100</v>
      </c>
      <c r="Q339" s="4" t="s">
        <v>97</v>
      </c>
      <c r="R339" s="4" t="s">
        <v>191</v>
      </c>
    </row>
    <row r="340" spans="1:18" ht="22.5" customHeight="1" x14ac:dyDescent="0.25">
      <c r="A340" s="76">
        <v>46053</v>
      </c>
      <c r="B340" s="4" t="s">
        <v>450</v>
      </c>
      <c r="C340" s="4" t="s">
        <v>79</v>
      </c>
      <c r="D340" s="59">
        <v>250</v>
      </c>
      <c r="E340" s="4" t="s">
        <v>22</v>
      </c>
      <c r="F340" s="4" t="s">
        <v>249</v>
      </c>
      <c r="G340" s="18" t="s">
        <v>448</v>
      </c>
      <c r="H340" s="4" t="s">
        <v>451</v>
      </c>
      <c r="K340" s="4" t="s">
        <v>452</v>
      </c>
      <c r="L340" s="4" t="s">
        <v>98</v>
      </c>
      <c r="N340" s="13">
        <v>0</v>
      </c>
      <c r="O340" s="4">
        <f t="shared" si="13"/>
        <v>0</v>
      </c>
      <c r="P340" s="59">
        <f t="shared" si="14"/>
        <v>250</v>
      </c>
      <c r="Q340" s="4" t="s">
        <v>97</v>
      </c>
      <c r="R340" s="4" t="s">
        <v>191</v>
      </c>
    </row>
    <row r="341" spans="1:18" ht="22.5" customHeight="1" x14ac:dyDescent="0.25">
      <c r="A341" s="76">
        <v>46053</v>
      </c>
      <c r="B341" s="4" t="s">
        <v>453</v>
      </c>
      <c r="C341" s="4" t="s">
        <v>79</v>
      </c>
      <c r="D341" s="59">
        <v>135</v>
      </c>
      <c r="E341" s="4" t="s">
        <v>22</v>
      </c>
      <c r="F341" s="4" t="s">
        <v>166</v>
      </c>
      <c r="H341" s="4" t="s">
        <v>80</v>
      </c>
      <c r="K341" s="4" t="s">
        <v>134</v>
      </c>
      <c r="L341" s="4" t="s">
        <v>98</v>
      </c>
      <c r="N341" s="13">
        <v>15</v>
      </c>
      <c r="O341" s="4">
        <f t="shared" si="13"/>
        <v>20.25</v>
      </c>
      <c r="P341" s="59">
        <f t="shared" si="14"/>
        <v>155.25</v>
      </c>
      <c r="Q341" s="4" t="s">
        <v>97</v>
      </c>
      <c r="R341" s="4" t="s">
        <v>137</v>
      </c>
    </row>
    <row r="342" spans="1:18" ht="22.5" customHeight="1" x14ac:dyDescent="0.25">
      <c r="A342" s="76">
        <v>46053</v>
      </c>
      <c r="B342" s="4" t="s">
        <v>454</v>
      </c>
      <c r="C342" s="4" t="s">
        <v>79</v>
      </c>
      <c r="D342" s="59">
        <v>500</v>
      </c>
      <c r="E342" s="4" t="s">
        <v>22</v>
      </c>
      <c r="F342" s="4" t="s">
        <v>249</v>
      </c>
      <c r="G342" s="18" t="s">
        <v>448</v>
      </c>
      <c r="H342" s="4" t="s">
        <v>451</v>
      </c>
      <c r="K342" s="4" t="s">
        <v>449</v>
      </c>
      <c r="L342" s="4" t="s">
        <v>98</v>
      </c>
      <c r="N342" s="13">
        <v>0</v>
      </c>
      <c r="O342" s="4">
        <f t="shared" si="13"/>
        <v>0</v>
      </c>
      <c r="P342" s="59">
        <f t="shared" si="14"/>
        <v>500</v>
      </c>
      <c r="Q342" s="4" t="s">
        <v>97</v>
      </c>
      <c r="R342" s="4" t="s">
        <v>191</v>
      </c>
    </row>
    <row r="343" spans="1:18" ht="22.5" customHeight="1" x14ac:dyDescent="0.25">
      <c r="A343" s="76">
        <v>46054</v>
      </c>
      <c r="B343" s="4" t="s">
        <v>455</v>
      </c>
      <c r="C343" s="4" t="s">
        <v>79</v>
      </c>
      <c r="D343" s="59">
        <v>452.1</v>
      </c>
      <c r="E343" s="4" t="s">
        <v>22</v>
      </c>
      <c r="F343" s="4" t="s">
        <v>166</v>
      </c>
      <c r="G343" s="18" t="s">
        <v>456</v>
      </c>
      <c r="H343" s="4" t="s">
        <v>80</v>
      </c>
      <c r="K343" s="4" t="s">
        <v>394</v>
      </c>
      <c r="L343" s="4" t="s">
        <v>98</v>
      </c>
      <c r="N343" s="13">
        <v>15</v>
      </c>
      <c r="O343" s="4">
        <f t="shared" si="13"/>
        <v>67.819999999999993</v>
      </c>
      <c r="P343" s="59">
        <f t="shared" si="14"/>
        <v>519.92000000000007</v>
      </c>
      <c r="Q343" s="4" t="s">
        <v>97</v>
      </c>
      <c r="R343" s="4" t="s">
        <v>191</v>
      </c>
    </row>
    <row r="344" spans="1:18" ht="22.5" customHeight="1" x14ac:dyDescent="0.25">
      <c r="A344" s="76">
        <v>46054</v>
      </c>
      <c r="B344" s="4" t="s">
        <v>457</v>
      </c>
      <c r="C344" s="4" t="s">
        <v>79</v>
      </c>
      <c r="D344" s="59">
        <v>83</v>
      </c>
      <c r="E344" s="4" t="s">
        <v>22</v>
      </c>
      <c r="F344" s="4" t="s">
        <v>166</v>
      </c>
      <c r="G344" s="18" t="s">
        <v>458</v>
      </c>
      <c r="H344" s="4" t="s">
        <v>80</v>
      </c>
      <c r="K344" s="4" t="s">
        <v>459</v>
      </c>
      <c r="L344" s="4" t="s">
        <v>98</v>
      </c>
      <c r="N344" s="13">
        <v>15</v>
      </c>
      <c r="O344" s="4">
        <f t="shared" si="13"/>
        <v>12.45</v>
      </c>
      <c r="P344" s="59">
        <f t="shared" si="14"/>
        <v>95.45</v>
      </c>
      <c r="Q344" s="4" t="s">
        <v>97</v>
      </c>
      <c r="R344" s="4" t="s">
        <v>191</v>
      </c>
    </row>
    <row r="345" spans="1:18" ht="22.5" customHeight="1" x14ac:dyDescent="0.25">
      <c r="A345" s="76">
        <v>46054</v>
      </c>
      <c r="B345" s="4" t="s">
        <v>460</v>
      </c>
      <c r="C345" s="4" t="s">
        <v>79</v>
      </c>
      <c r="D345" s="59">
        <v>25</v>
      </c>
      <c r="E345" s="4" t="s">
        <v>22</v>
      </c>
      <c r="F345" s="4" t="s">
        <v>166</v>
      </c>
      <c r="G345" s="18" t="s">
        <v>458</v>
      </c>
      <c r="H345" s="4" t="s">
        <v>80</v>
      </c>
      <c r="K345" s="4" t="s">
        <v>99</v>
      </c>
      <c r="L345" s="4" t="s">
        <v>98</v>
      </c>
      <c r="N345" s="13">
        <v>0</v>
      </c>
      <c r="O345" s="4">
        <f t="shared" si="13"/>
        <v>0</v>
      </c>
      <c r="P345" s="59">
        <f t="shared" si="14"/>
        <v>25</v>
      </c>
      <c r="Q345" s="4" t="s">
        <v>97</v>
      </c>
      <c r="R345" s="4" t="s">
        <v>191</v>
      </c>
    </row>
    <row r="346" spans="1:18" ht="22.5" customHeight="1" x14ac:dyDescent="0.25">
      <c r="A346" s="76">
        <v>46054</v>
      </c>
      <c r="B346" s="4" t="s">
        <v>257</v>
      </c>
      <c r="C346" s="4" t="s">
        <v>79</v>
      </c>
      <c r="D346" s="59">
        <v>43.48</v>
      </c>
      <c r="E346" s="4" t="s">
        <v>22</v>
      </c>
      <c r="F346" s="4" t="s">
        <v>115</v>
      </c>
      <c r="G346" s="18" t="s">
        <v>538</v>
      </c>
      <c r="H346" s="4" t="s">
        <v>115</v>
      </c>
      <c r="K346" s="4" t="s">
        <v>99</v>
      </c>
      <c r="L346" s="4" t="s">
        <v>98</v>
      </c>
      <c r="N346" s="13">
        <v>15</v>
      </c>
      <c r="O346" s="4">
        <f t="shared" si="13"/>
        <v>6.52</v>
      </c>
      <c r="P346" s="59">
        <f t="shared" si="14"/>
        <v>50</v>
      </c>
      <c r="Q346" s="4" t="s">
        <v>97</v>
      </c>
      <c r="R346" s="4" t="s">
        <v>191</v>
      </c>
    </row>
    <row r="347" spans="1:18" ht="22.5" customHeight="1" x14ac:dyDescent="0.25">
      <c r="A347" s="76">
        <v>46055</v>
      </c>
      <c r="B347" s="4" t="s">
        <v>186</v>
      </c>
      <c r="C347" s="4" t="s">
        <v>79</v>
      </c>
      <c r="D347" s="59">
        <v>86.96</v>
      </c>
      <c r="E347" s="4" t="s">
        <v>22</v>
      </c>
      <c r="F347" s="4" t="s">
        <v>115</v>
      </c>
      <c r="H347" s="4" t="s">
        <v>115</v>
      </c>
      <c r="K347" s="4" t="s">
        <v>99</v>
      </c>
      <c r="L347" s="4" t="s">
        <v>98</v>
      </c>
      <c r="N347" s="13">
        <v>15</v>
      </c>
      <c r="O347" s="4">
        <f t="shared" si="13"/>
        <v>13.04</v>
      </c>
      <c r="P347" s="59">
        <f t="shared" si="14"/>
        <v>100</v>
      </c>
      <c r="Q347" s="4" t="s">
        <v>97</v>
      </c>
      <c r="R347" s="4" t="s">
        <v>137</v>
      </c>
    </row>
    <row r="348" spans="1:18" ht="22.5" customHeight="1" x14ac:dyDescent="0.25">
      <c r="A348" s="76">
        <v>46055</v>
      </c>
      <c r="B348" s="4" t="s">
        <v>257</v>
      </c>
      <c r="C348" s="4" t="s">
        <v>79</v>
      </c>
      <c r="D348" s="59">
        <v>69.56</v>
      </c>
      <c r="E348" s="4" t="s">
        <v>22</v>
      </c>
      <c r="F348" s="4" t="s">
        <v>115</v>
      </c>
      <c r="G348" s="18" t="s">
        <v>422</v>
      </c>
      <c r="H348" s="4" t="s">
        <v>115</v>
      </c>
      <c r="K348" s="4" t="s">
        <v>99</v>
      </c>
      <c r="L348" s="4" t="s">
        <v>98</v>
      </c>
      <c r="N348" s="13">
        <v>15</v>
      </c>
      <c r="O348" s="4">
        <f t="shared" si="13"/>
        <v>10.43</v>
      </c>
      <c r="P348" s="59">
        <f t="shared" si="14"/>
        <v>79.990000000000009</v>
      </c>
      <c r="Q348" s="4" t="s">
        <v>97</v>
      </c>
      <c r="R348" s="4" t="s">
        <v>191</v>
      </c>
    </row>
    <row r="349" spans="1:18" ht="22.5" customHeight="1" x14ac:dyDescent="0.25">
      <c r="A349" s="76">
        <v>46055</v>
      </c>
      <c r="B349" s="21" t="s">
        <v>75</v>
      </c>
      <c r="C349" s="4" t="s">
        <v>79</v>
      </c>
      <c r="D349" s="59">
        <v>5</v>
      </c>
      <c r="E349" s="4" t="s">
        <v>22</v>
      </c>
      <c r="F349" s="4" t="s">
        <v>57</v>
      </c>
      <c r="H349" s="4" t="s">
        <v>81</v>
      </c>
      <c r="K349" s="4" t="s">
        <v>99</v>
      </c>
      <c r="L349" s="4" t="s">
        <v>98</v>
      </c>
      <c r="N349" s="13">
        <v>0</v>
      </c>
      <c r="O349" s="4">
        <f t="shared" si="13"/>
        <v>0</v>
      </c>
      <c r="P349" s="59">
        <f t="shared" si="14"/>
        <v>5</v>
      </c>
      <c r="Q349" s="4" t="s">
        <v>97</v>
      </c>
      <c r="R349" s="4" t="s">
        <v>137</v>
      </c>
    </row>
    <row r="350" spans="1:18" ht="22.5" customHeight="1" x14ac:dyDescent="0.25">
      <c r="A350" s="76">
        <v>46055</v>
      </c>
      <c r="B350" s="4" t="s">
        <v>461</v>
      </c>
      <c r="C350" s="4" t="s">
        <v>79</v>
      </c>
      <c r="D350" s="59">
        <v>1000</v>
      </c>
      <c r="E350" s="4" t="s">
        <v>22</v>
      </c>
      <c r="F350" s="4" t="s">
        <v>249</v>
      </c>
      <c r="G350" s="18" t="s">
        <v>448</v>
      </c>
      <c r="H350" s="4" t="s">
        <v>451</v>
      </c>
      <c r="K350" s="4" t="s">
        <v>449</v>
      </c>
      <c r="L350" s="4" t="s">
        <v>98</v>
      </c>
      <c r="N350" s="13">
        <v>0</v>
      </c>
      <c r="O350" s="4">
        <f t="shared" si="13"/>
        <v>0</v>
      </c>
      <c r="P350" s="59">
        <f t="shared" si="14"/>
        <v>1000</v>
      </c>
      <c r="Q350" s="4" t="s">
        <v>97</v>
      </c>
      <c r="R350" s="4" t="s">
        <v>191</v>
      </c>
    </row>
    <row r="351" spans="1:18" ht="22.5" customHeight="1" x14ac:dyDescent="0.25">
      <c r="A351" s="76">
        <v>46055</v>
      </c>
      <c r="B351" s="4" t="s">
        <v>462</v>
      </c>
      <c r="C351" s="4" t="s">
        <v>79</v>
      </c>
      <c r="D351" s="59">
        <v>115</v>
      </c>
      <c r="E351" s="4" t="s">
        <v>22</v>
      </c>
      <c r="F351" s="4" t="s">
        <v>253</v>
      </c>
      <c r="H351" s="4" t="s">
        <v>338</v>
      </c>
      <c r="K351" s="4" t="s">
        <v>427</v>
      </c>
      <c r="L351" s="4" t="s">
        <v>98</v>
      </c>
      <c r="N351" s="13">
        <v>0</v>
      </c>
      <c r="O351" s="4">
        <f t="shared" si="13"/>
        <v>0</v>
      </c>
      <c r="P351" s="59">
        <f t="shared" si="14"/>
        <v>115</v>
      </c>
      <c r="Q351" s="4" t="s">
        <v>97</v>
      </c>
      <c r="R351" s="4" t="s">
        <v>191</v>
      </c>
    </row>
    <row r="352" spans="1:18" ht="22.5" customHeight="1" x14ac:dyDescent="0.25">
      <c r="A352" s="76">
        <v>46055</v>
      </c>
      <c r="B352" s="4" t="s">
        <v>463</v>
      </c>
      <c r="C352" s="4" t="s">
        <v>79</v>
      </c>
      <c r="D352" s="59">
        <v>500</v>
      </c>
      <c r="E352" s="4" t="s">
        <v>22</v>
      </c>
      <c r="F352" s="4" t="s">
        <v>166</v>
      </c>
      <c r="G352" s="18" t="s">
        <v>448</v>
      </c>
      <c r="H352" s="4" t="s">
        <v>80</v>
      </c>
      <c r="K352" s="4" t="s">
        <v>99</v>
      </c>
      <c r="L352" s="4" t="s">
        <v>98</v>
      </c>
      <c r="N352" s="13">
        <v>0</v>
      </c>
      <c r="O352" s="4">
        <f t="shared" si="13"/>
        <v>0</v>
      </c>
      <c r="P352" s="59">
        <f t="shared" si="14"/>
        <v>500</v>
      </c>
      <c r="Q352" s="4" t="s">
        <v>97</v>
      </c>
      <c r="R352" s="4" t="s">
        <v>191</v>
      </c>
    </row>
    <row r="353" spans="1:18" ht="22.5" customHeight="1" x14ac:dyDescent="0.25">
      <c r="A353" s="76">
        <v>46055</v>
      </c>
      <c r="B353" s="4" t="s">
        <v>464</v>
      </c>
      <c r="C353" s="4" t="s">
        <v>79</v>
      </c>
      <c r="D353" s="59">
        <v>70</v>
      </c>
      <c r="E353" s="4" t="s">
        <v>22</v>
      </c>
      <c r="F353" s="4" t="s">
        <v>166</v>
      </c>
      <c r="G353" s="18" t="s">
        <v>448</v>
      </c>
      <c r="H353" s="4" t="s">
        <v>80</v>
      </c>
      <c r="K353" s="4" t="s">
        <v>99</v>
      </c>
      <c r="L353" s="4" t="s">
        <v>98</v>
      </c>
      <c r="N353" s="13">
        <v>0</v>
      </c>
      <c r="O353" s="4">
        <f t="shared" si="13"/>
        <v>0</v>
      </c>
      <c r="P353" s="59">
        <f t="shared" si="14"/>
        <v>70</v>
      </c>
      <c r="Q353" s="4" t="s">
        <v>97</v>
      </c>
      <c r="R353" s="4" t="s">
        <v>191</v>
      </c>
    </row>
    <row r="354" spans="1:18" ht="22.5" customHeight="1" x14ac:dyDescent="0.25">
      <c r="A354" s="76">
        <v>46055</v>
      </c>
      <c r="B354" s="4" t="s">
        <v>465</v>
      </c>
      <c r="C354" s="4" t="s">
        <v>79</v>
      </c>
      <c r="D354" s="59">
        <v>500</v>
      </c>
      <c r="E354" s="4" t="s">
        <v>22</v>
      </c>
      <c r="F354" s="4" t="s">
        <v>252</v>
      </c>
      <c r="H354" s="4" t="s">
        <v>338</v>
      </c>
      <c r="K354" s="4" t="s">
        <v>466</v>
      </c>
      <c r="L354" s="4" t="s">
        <v>98</v>
      </c>
      <c r="N354" s="13">
        <v>0</v>
      </c>
      <c r="O354" s="4">
        <f t="shared" si="13"/>
        <v>0</v>
      </c>
      <c r="P354" s="59">
        <f t="shared" si="14"/>
        <v>500</v>
      </c>
      <c r="Q354" s="4" t="s">
        <v>97</v>
      </c>
      <c r="R354" s="4" t="s">
        <v>137</v>
      </c>
    </row>
    <row r="355" spans="1:18" ht="22.5" customHeight="1" x14ac:dyDescent="0.25">
      <c r="A355" s="76">
        <v>46055</v>
      </c>
      <c r="B355" s="4" t="s">
        <v>467</v>
      </c>
      <c r="C355" s="4" t="s">
        <v>79</v>
      </c>
      <c r="D355" s="59">
        <v>121.76</v>
      </c>
      <c r="E355" s="4" t="s">
        <v>22</v>
      </c>
      <c r="F355" s="4" t="s">
        <v>166</v>
      </c>
      <c r="H355" s="4" t="s">
        <v>338</v>
      </c>
      <c r="K355" s="4" t="s">
        <v>468</v>
      </c>
      <c r="L355" s="4" t="s">
        <v>98</v>
      </c>
      <c r="N355" s="13">
        <v>15</v>
      </c>
      <c r="O355" s="4">
        <f t="shared" si="13"/>
        <v>18.260000000000002</v>
      </c>
      <c r="P355" s="59">
        <f t="shared" si="14"/>
        <v>140.02000000000001</v>
      </c>
      <c r="Q355" s="4" t="s">
        <v>97</v>
      </c>
      <c r="R355" s="4" t="s">
        <v>137</v>
      </c>
    </row>
    <row r="356" spans="1:18" ht="22.5" customHeight="1" x14ac:dyDescent="0.25">
      <c r="A356" s="76">
        <v>46055</v>
      </c>
      <c r="B356" s="4" t="s">
        <v>469</v>
      </c>
      <c r="C356" s="4" t="s">
        <v>79</v>
      </c>
      <c r="D356" s="59">
        <v>50</v>
      </c>
      <c r="E356" s="4" t="s">
        <v>22</v>
      </c>
      <c r="F356" s="4" t="s">
        <v>470</v>
      </c>
      <c r="H356" s="4" t="s">
        <v>338</v>
      </c>
      <c r="K356" s="4" t="s">
        <v>471</v>
      </c>
      <c r="L356" s="4" t="s">
        <v>98</v>
      </c>
      <c r="N356" s="13">
        <v>0</v>
      </c>
      <c r="O356" s="4">
        <f t="shared" si="13"/>
        <v>0</v>
      </c>
      <c r="P356" s="59">
        <f t="shared" si="14"/>
        <v>50</v>
      </c>
      <c r="Q356" s="4" t="s">
        <v>97</v>
      </c>
      <c r="R356" s="4" t="s">
        <v>137</v>
      </c>
    </row>
    <row r="357" spans="1:18" ht="22.5" customHeight="1" x14ac:dyDescent="0.25">
      <c r="A357" s="76">
        <v>46055</v>
      </c>
      <c r="B357" s="4" t="s">
        <v>472</v>
      </c>
      <c r="C357" s="4" t="s">
        <v>79</v>
      </c>
      <c r="D357" s="59">
        <v>208.7</v>
      </c>
      <c r="E357" s="4" t="s">
        <v>22</v>
      </c>
      <c r="F357" s="4" t="s">
        <v>166</v>
      </c>
      <c r="G357" s="18" t="s">
        <v>448</v>
      </c>
      <c r="H357" s="4" t="s">
        <v>80</v>
      </c>
      <c r="K357" s="4" t="s">
        <v>99</v>
      </c>
      <c r="L357" s="4" t="s">
        <v>98</v>
      </c>
      <c r="N357" s="13">
        <v>15</v>
      </c>
      <c r="O357" s="4">
        <f t="shared" si="13"/>
        <v>31.31</v>
      </c>
      <c r="P357" s="59">
        <f t="shared" si="14"/>
        <v>240.01</v>
      </c>
      <c r="Q357" s="4" t="s">
        <v>97</v>
      </c>
      <c r="R357" s="4" t="s">
        <v>191</v>
      </c>
    </row>
    <row r="358" spans="1:18" ht="22.5" customHeight="1" x14ac:dyDescent="0.25">
      <c r="A358" s="76">
        <v>46055</v>
      </c>
      <c r="B358" s="4" t="s">
        <v>309</v>
      </c>
      <c r="C358" s="4" t="s">
        <v>79</v>
      </c>
      <c r="D358" s="59">
        <v>63.4</v>
      </c>
      <c r="E358" s="4" t="s">
        <v>22</v>
      </c>
      <c r="F358" s="4" t="s">
        <v>166</v>
      </c>
      <c r="H358" s="4" t="s">
        <v>80</v>
      </c>
      <c r="K358" s="4" t="s">
        <v>153</v>
      </c>
      <c r="L358" s="4" t="s">
        <v>154</v>
      </c>
      <c r="N358" s="13">
        <v>15</v>
      </c>
      <c r="O358" s="4">
        <f t="shared" si="13"/>
        <v>9.51</v>
      </c>
      <c r="P358" s="59">
        <f t="shared" si="14"/>
        <v>72.91</v>
      </c>
      <c r="Q358" s="4" t="s">
        <v>97</v>
      </c>
      <c r="R358" s="4" t="s">
        <v>137</v>
      </c>
    </row>
    <row r="359" spans="1:18" ht="22.5" customHeight="1" x14ac:dyDescent="0.25">
      <c r="A359" s="76">
        <v>46055</v>
      </c>
      <c r="B359" s="4" t="s">
        <v>309</v>
      </c>
      <c r="C359" s="4" t="s">
        <v>79</v>
      </c>
      <c r="D359" s="59">
        <v>150</v>
      </c>
      <c r="E359" s="4" t="s">
        <v>29</v>
      </c>
      <c r="F359" s="4" t="s">
        <v>29</v>
      </c>
      <c r="H359" s="4" t="s">
        <v>196</v>
      </c>
      <c r="K359" s="4" t="s">
        <v>153</v>
      </c>
      <c r="L359" s="4" t="s">
        <v>154</v>
      </c>
      <c r="N359" s="13">
        <v>0</v>
      </c>
      <c r="O359" s="4">
        <f t="shared" si="13"/>
        <v>0</v>
      </c>
      <c r="P359" s="59">
        <f t="shared" si="14"/>
        <v>150</v>
      </c>
      <c r="Q359" s="4" t="s">
        <v>97</v>
      </c>
      <c r="R359" s="4" t="s">
        <v>137</v>
      </c>
    </row>
    <row r="360" spans="1:18" ht="22.5" customHeight="1" x14ac:dyDescent="0.25">
      <c r="A360" s="76">
        <v>46055</v>
      </c>
      <c r="B360" s="4" t="s">
        <v>473</v>
      </c>
      <c r="C360" s="4" t="s">
        <v>79</v>
      </c>
      <c r="D360" s="59">
        <v>104.4</v>
      </c>
      <c r="E360" s="4" t="s">
        <v>22</v>
      </c>
      <c r="F360" s="4" t="s">
        <v>166</v>
      </c>
      <c r="G360" s="18" t="s">
        <v>474</v>
      </c>
      <c r="H360" s="4" t="s">
        <v>80</v>
      </c>
      <c r="K360" s="4" t="s">
        <v>459</v>
      </c>
      <c r="L360" s="4" t="s">
        <v>98</v>
      </c>
      <c r="N360" s="13">
        <v>15</v>
      </c>
      <c r="O360" s="4">
        <f t="shared" si="13"/>
        <v>15.66</v>
      </c>
      <c r="P360" s="59">
        <f t="shared" si="14"/>
        <v>120.06</v>
      </c>
      <c r="Q360" s="4" t="s">
        <v>97</v>
      </c>
      <c r="R360" s="4" t="s">
        <v>191</v>
      </c>
    </row>
    <row r="361" spans="1:18" ht="22.5" customHeight="1" x14ac:dyDescent="0.25">
      <c r="A361" s="76">
        <v>46055</v>
      </c>
      <c r="B361" s="21" t="s">
        <v>475</v>
      </c>
      <c r="C361" s="4" t="s">
        <v>79</v>
      </c>
      <c r="D361" s="59">
        <v>312.18</v>
      </c>
      <c r="E361" s="4" t="s">
        <v>22</v>
      </c>
      <c r="F361" s="4" t="s">
        <v>166</v>
      </c>
      <c r="G361" s="18" t="s">
        <v>422</v>
      </c>
      <c r="H361" s="4" t="s">
        <v>80</v>
      </c>
      <c r="K361" s="4" t="s">
        <v>298</v>
      </c>
      <c r="L361" s="4" t="s">
        <v>98</v>
      </c>
      <c r="N361" s="13">
        <v>15</v>
      </c>
      <c r="O361" s="4">
        <f t="shared" si="13"/>
        <v>46.83</v>
      </c>
      <c r="P361" s="59">
        <f t="shared" si="14"/>
        <v>359.01</v>
      </c>
      <c r="Q361" s="4" t="s">
        <v>97</v>
      </c>
      <c r="R361" s="4" t="s">
        <v>191</v>
      </c>
    </row>
    <row r="362" spans="1:18" ht="22.5" customHeight="1" x14ac:dyDescent="0.25">
      <c r="A362" s="76">
        <v>46056</v>
      </c>
      <c r="B362" s="4" t="s">
        <v>257</v>
      </c>
      <c r="C362" s="4" t="s">
        <v>79</v>
      </c>
      <c r="D362" s="59">
        <v>86.96</v>
      </c>
      <c r="E362" s="4" t="s">
        <v>22</v>
      </c>
      <c r="F362" s="4" t="s">
        <v>115</v>
      </c>
      <c r="G362" s="18" t="s">
        <v>538</v>
      </c>
      <c r="H362" s="4" t="s">
        <v>115</v>
      </c>
      <c r="K362" s="4" t="s">
        <v>99</v>
      </c>
      <c r="L362" s="4" t="s">
        <v>98</v>
      </c>
      <c r="N362" s="13">
        <v>15</v>
      </c>
      <c r="O362" s="4">
        <f t="shared" si="13"/>
        <v>13.04</v>
      </c>
      <c r="P362" s="59">
        <f t="shared" si="14"/>
        <v>100</v>
      </c>
      <c r="Q362" s="4" t="s">
        <v>97</v>
      </c>
      <c r="R362" s="4" t="s">
        <v>191</v>
      </c>
    </row>
    <row r="363" spans="1:18" ht="22.5" customHeight="1" x14ac:dyDescent="0.25">
      <c r="A363" s="76">
        <v>46056</v>
      </c>
      <c r="B363" s="4" t="s">
        <v>75</v>
      </c>
      <c r="C363" s="4" t="s">
        <v>79</v>
      </c>
      <c r="D363" s="59">
        <v>7</v>
      </c>
      <c r="E363" s="4" t="s">
        <v>22</v>
      </c>
      <c r="F363" s="4" t="s">
        <v>57</v>
      </c>
      <c r="G363" s="18" t="s">
        <v>538</v>
      </c>
      <c r="H363" s="4" t="s">
        <v>81</v>
      </c>
      <c r="K363" s="4" t="s">
        <v>99</v>
      </c>
      <c r="L363" s="4" t="s">
        <v>98</v>
      </c>
      <c r="N363" s="13">
        <v>0</v>
      </c>
      <c r="O363" s="4">
        <f t="shared" si="13"/>
        <v>0</v>
      </c>
      <c r="P363" s="59">
        <f t="shared" si="14"/>
        <v>7</v>
      </c>
      <c r="Q363" s="4" t="s">
        <v>97</v>
      </c>
      <c r="R363" s="4" t="s">
        <v>191</v>
      </c>
    </row>
    <row r="364" spans="1:18" ht="22.5" customHeight="1" x14ac:dyDescent="0.25">
      <c r="A364" s="76">
        <v>46056</v>
      </c>
      <c r="B364" s="4" t="s">
        <v>476</v>
      </c>
      <c r="C364" s="4" t="s">
        <v>79</v>
      </c>
      <c r="D364" s="59">
        <v>382.61</v>
      </c>
      <c r="E364" s="4" t="s">
        <v>22</v>
      </c>
      <c r="F364" s="4" t="s">
        <v>253</v>
      </c>
      <c r="H364" s="4" t="s">
        <v>206</v>
      </c>
      <c r="K364" s="4" t="s">
        <v>99</v>
      </c>
      <c r="L364" s="4" t="s">
        <v>98</v>
      </c>
      <c r="N364" s="13">
        <v>15</v>
      </c>
      <c r="O364" s="4">
        <f t="shared" si="13"/>
        <v>57.39</v>
      </c>
      <c r="P364" s="59">
        <f t="shared" si="14"/>
        <v>440</v>
      </c>
      <c r="Q364" s="4" t="s">
        <v>97</v>
      </c>
      <c r="R364" s="4" t="s">
        <v>137</v>
      </c>
    </row>
    <row r="365" spans="1:18" ht="22.5" customHeight="1" x14ac:dyDescent="0.25">
      <c r="A365" s="76">
        <v>46056</v>
      </c>
      <c r="B365" s="4" t="s">
        <v>478</v>
      </c>
      <c r="C365" s="4" t="s">
        <v>79</v>
      </c>
      <c r="D365" s="59">
        <v>226.09</v>
      </c>
      <c r="E365" s="4" t="s">
        <v>22</v>
      </c>
      <c r="F365" s="4" t="s">
        <v>166</v>
      </c>
      <c r="G365" s="18" t="s">
        <v>477</v>
      </c>
      <c r="H365" s="4" t="s">
        <v>80</v>
      </c>
      <c r="K365" s="4" t="s">
        <v>394</v>
      </c>
      <c r="L365" s="4" t="s">
        <v>98</v>
      </c>
      <c r="N365" s="13">
        <v>15</v>
      </c>
      <c r="O365" s="4">
        <f t="shared" si="13"/>
        <v>33.909999999999997</v>
      </c>
      <c r="P365" s="59">
        <f t="shared" si="14"/>
        <v>260</v>
      </c>
      <c r="Q365" s="4" t="s">
        <v>97</v>
      </c>
      <c r="R365" s="4" t="s">
        <v>191</v>
      </c>
    </row>
    <row r="366" spans="1:18" ht="22.5" customHeight="1" x14ac:dyDescent="0.25">
      <c r="A366" s="76">
        <v>46056</v>
      </c>
      <c r="B366" s="4" t="s">
        <v>479</v>
      </c>
      <c r="C366" s="4" t="s">
        <v>79</v>
      </c>
      <c r="D366" s="59">
        <v>5</v>
      </c>
      <c r="E366" s="4" t="s">
        <v>22</v>
      </c>
      <c r="F366" s="4" t="s">
        <v>57</v>
      </c>
      <c r="H366" s="4" t="s">
        <v>81</v>
      </c>
      <c r="K366" s="4" t="s">
        <v>99</v>
      </c>
      <c r="L366" s="4" t="s">
        <v>98</v>
      </c>
      <c r="N366" s="13">
        <v>0</v>
      </c>
      <c r="O366" s="4">
        <f t="shared" si="13"/>
        <v>0</v>
      </c>
      <c r="P366" s="59">
        <f t="shared" si="14"/>
        <v>5</v>
      </c>
      <c r="Q366" s="4" t="s">
        <v>97</v>
      </c>
      <c r="R366" s="4" t="s">
        <v>137</v>
      </c>
    </row>
    <row r="367" spans="1:18" ht="22.5" customHeight="1" x14ac:dyDescent="0.25">
      <c r="A367" s="76">
        <v>46056</v>
      </c>
      <c r="B367" s="4" t="s">
        <v>480</v>
      </c>
      <c r="C367" s="4" t="s">
        <v>79</v>
      </c>
      <c r="D367" s="59">
        <v>180</v>
      </c>
      <c r="E367" s="4" t="s">
        <v>22</v>
      </c>
      <c r="F367" s="4" t="s">
        <v>166</v>
      </c>
      <c r="G367" s="18" t="s">
        <v>481</v>
      </c>
      <c r="H367" s="4" t="s">
        <v>80</v>
      </c>
      <c r="K367" s="4" t="s">
        <v>482</v>
      </c>
      <c r="L367" s="4" t="s">
        <v>98</v>
      </c>
      <c r="N367" s="13">
        <v>15</v>
      </c>
      <c r="O367" s="4">
        <f t="shared" si="13"/>
        <v>27</v>
      </c>
      <c r="P367" s="59">
        <f t="shared" si="14"/>
        <v>207</v>
      </c>
      <c r="Q367" s="4" t="s">
        <v>97</v>
      </c>
      <c r="R367" s="4" t="s">
        <v>191</v>
      </c>
    </row>
    <row r="368" spans="1:18" ht="22.5" customHeight="1" x14ac:dyDescent="0.25">
      <c r="A368" s="76">
        <v>46057</v>
      </c>
      <c r="B368" s="4" t="s">
        <v>401</v>
      </c>
      <c r="C368" s="4" t="s">
        <v>79</v>
      </c>
      <c r="D368" s="59">
        <v>100</v>
      </c>
      <c r="E368" s="4" t="s">
        <v>22</v>
      </c>
      <c r="F368" s="4" t="s">
        <v>253</v>
      </c>
      <c r="H368" s="4" t="s">
        <v>338</v>
      </c>
      <c r="K368" s="4" t="s">
        <v>169</v>
      </c>
      <c r="L368" s="4" t="s">
        <v>154</v>
      </c>
      <c r="N368" s="13">
        <v>15</v>
      </c>
      <c r="O368" s="4">
        <f t="shared" si="13"/>
        <v>15</v>
      </c>
      <c r="P368" s="59">
        <f t="shared" si="14"/>
        <v>115</v>
      </c>
      <c r="Q368" s="4" t="s">
        <v>97</v>
      </c>
      <c r="R368" s="4" t="s">
        <v>137</v>
      </c>
    </row>
    <row r="369" spans="1:18" ht="22.5" customHeight="1" x14ac:dyDescent="0.25">
      <c r="A369" s="76">
        <v>46057</v>
      </c>
      <c r="B369" s="4" t="s">
        <v>257</v>
      </c>
      <c r="C369" s="4" t="s">
        <v>79</v>
      </c>
      <c r="D369" s="59">
        <v>86.96</v>
      </c>
      <c r="E369" s="4" t="s">
        <v>22</v>
      </c>
      <c r="F369" s="4" t="s">
        <v>115</v>
      </c>
      <c r="G369" s="18" t="s">
        <v>538</v>
      </c>
      <c r="H369" s="4" t="s">
        <v>115</v>
      </c>
      <c r="K369" s="4" t="s">
        <v>99</v>
      </c>
      <c r="L369" s="4" t="s">
        <v>98</v>
      </c>
      <c r="N369" s="13">
        <v>15</v>
      </c>
      <c r="O369" s="4">
        <f t="shared" si="13"/>
        <v>13.04</v>
      </c>
      <c r="P369" s="59">
        <f t="shared" si="14"/>
        <v>100</v>
      </c>
      <c r="Q369" s="4" t="s">
        <v>97</v>
      </c>
      <c r="R369" s="4" t="s">
        <v>137</v>
      </c>
    </row>
    <row r="370" spans="1:18" ht="22.5" customHeight="1" x14ac:dyDescent="0.25">
      <c r="A370" s="76">
        <v>46057</v>
      </c>
      <c r="B370" s="4" t="s">
        <v>75</v>
      </c>
      <c r="C370" s="4" t="s">
        <v>79</v>
      </c>
      <c r="D370" s="59">
        <v>20</v>
      </c>
      <c r="E370" s="4" t="s">
        <v>22</v>
      </c>
      <c r="F370" s="4" t="s">
        <v>57</v>
      </c>
      <c r="H370" s="4" t="s">
        <v>81</v>
      </c>
      <c r="K370" s="4" t="s">
        <v>99</v>
      </c>
      <c r="L370" s="4" t="s">
        <v>98</v>
      </c>
      <c r="N370" s="13">
        <v>0</v>
      </c>
      <c r="O370" s="4">
        <f t="shared" si="13"/>
        <v>0</v>
      </c>
      <c r="P370" s="59">
        <f t="shared" si="14"/>
        <v>20</v>
      </c>
      <c r="Q370" s="4" t="s">
        <v>97</v>
      </c>
      <c r="R370" s="4" t="s">
        <v>137</v>
      </c>
    </row>
    <row r="371" spans="1:18" ht="22.5" customHeight="1" x14ac:dyDescent="0.25">
      <c r="A371" s="76">
        <v>46058</v>
      </c>
      <c r="B371" s="4" t="s">
        <v>75</v>
      </c>
      <c r="C371" s="4" t="s">
        <v>79</v>
      </c>
      <c r="D371" s="59">
        <v>80</v>
      </c>
      <c r="E371" s="4" t="s">
        <v>22</v>
      </c>
      <c r="F371" s="4" t="s">
        <v>57</v>
      </c>
      <c r="H371" s="4" t="s">
        <v>81</v>
      </c>
      <c r="K371" s="4" t="s">
        <v>99</v>
      </c>
      <c r="L371" s="4" t="s">
        <v>98</v>
      </c>
      <c r="N371" s="13">
        <v>0</v>
      </c>
      <c r="O371" s="4">
        <f t="shared" si="13"/>
        <v>0</v>
      </c>
      <c r="P371" s="59">
        <f t="shared" si="14"/>
        <v>80</v>
      </c>
      <c r="Q371" s="4" t="s">
        <v>97</v>
      </c>
      <c r="R371" s="4" t="s">
        <v>137</v>
      </c>
    </row>
    <row r="372" spans="1:18" ht="22.5" customHeight="1" x14ac:dyDescent="0.25">
      <c r="A372" s="76">
        <v>46060</v>
      </c>
      <c r="B372" s="4" t="s">
        <v>257</v>
      </c>
      <c r="C372" s="4" t="s">
        <v>79</v>
      </c>
      <c r="D372" s="59">
        <v>86.96</v>
      </c>
      <c r="E372" s="4" t="s">
        <v>22</v>
      </c>
      <c r="F372" s="4" t="s">
        <v>115</v>
      </c>
      <c r="G372" s="18" t="s">
        <v>448</v>
      </c>
      <c r="H372" s="4" t="s">
        <v>115</v>
      </c>
      <c r="K372" s="4" t="s">
        <v>99</v>
      </c>
      <c r="L372" s="4" t="s">
        <v>98</v>
      </c>
      <c r="N372" s="13">
        <v>15</v>
      </c>
      <c r="O372" s="4">
        <f t="shared" si="13"/>
        <v>13.04</v>
      </c>
      <c r="P372" s="59">
        <f t="shared" si="14"/>
        <v>100</v>
      </c>
      <c r="Q372" s="4" t="s">
        <v>97</v>
      </c>
      <c r="R372" s="4" t="s">
        <v>191</v>
      </c>
    </row>
    <row r="373" spans="1:18" ht="22.5" customHeight="1" x14ac:dyDescent="0.25">
      <c r="A373" s="76">
        <v>46060</v>
      </c>
      <c r="B373" s="4" t="s">
        <v>75</v>
      </c>
      <c r="C373" s="4" t="s">
        <v>79</v>
      </c>
      <c r="D373" s="59">
        <v>29.15</v>
      </c>
      <c r="E373" s="4" t="s">
        <v>22</v>
      </c>
      <c r="F373" s="4" t="s">
        <v>57</v>
      </c>
      <c r="G373" s="18" t="s">
        <v>448</v>
      </c>
      <c r="H373" s="4" t="s">
        <v>81</v>
      </c>
      <c r="K373" s="4" t="s">
        <v>99</v>
      </c>
      <c r="L373" s="4" t="s">
        <v>98</v>
      </c>
      <c r="N373" s="13">
        <v>15</v>
      </c>
      <c r="O373" s="4">
        <f t="shared" si="13"/>
        <v>4.37</v>
      </c>
      <c r="P373" s="59">
        <f t="shared" si="14"/>
        <v>33.519999999999996</v>
      </c>
      <c r="Q373" s="4" t="s">
        <v>97</v>
      </c>
      <c r="R373" s="4" t="s">
        <v>191</v>
      </c>
    </row>
    <row r="374" spans="1:18" ht="22.5" customHeight="1" x14ac:dyDescent="0.25">
      <c r="A374" s="76">
        <v>46060</v>
      </c>
      <c r="B374" s="4" t="s">
        <v>309</v>
      </c>
      <c r="C374" s="4" t="s">
        <v>79</v>
      </c>
      <c r="D374" s="59">
        <v>200</v>
      </c>
      <c r="E374" s="4" t="s">
        <v>29</v>
      </c>
      <c r="F374" s="4" t="s">
        <v>29</v>
      </c>
      <c r="H374" s="4" t="s">
        <v>196</v>
      </c>
      <c r="K374" s="4" t="s">
        <v>153</v>
      </c>
      <c r="L374" s="4" t="s">
        <v>154</v>
      </c>
      <c r="N374" s="13">
        <v>0</v>
      </c>
      <c r="O374" s="4">
        <f t="shared" si="13"/>
        <v>0</v>
      </c>
      <c r="P374" s="59">
        <f t="shared" si="14"/>
        <v>200</v>
      </c>
      <c r="Q374" s="4" t="s">
        <v>97</v>
      </c>
      <c r="R374" s="4" t="s">
        <v>137</v>
      </c>
    </row>
    <row r="375" spans="1:18" ht="22.5" customHeight="1" x14ac:dyDescent="0.25">
      <c r="A375" s="76">
        <v>46060</v>
      </c>
      <c r="B375" s="4" t="s">
        <v>186</v>
      </c>
      <c r="C375" s="4" t="s">
        <v>79</v>
      </c>
      <c r="D375" s="59">
        <v>173.9</v>
      </c>
      <c r="E375" s="4" t="s">
        <v>22</v>
      </c>
      <c r="F375" s="4" t="s">
        <v>115</v>
      </c>
      <c r="H375" s="4" t="s">
        <v>115</v>
      </c>
      <c r="K375" s="4" t="s">
        <v>99</v>
      </c>
      <c r="L375" s="4" t="s">
        <v>98</v>
      </c>
      <c r="N375" s="13">
        <v>15</v>
      </c>
      <c r="O375" s="4">
        <f t="shared" si="13"/>
        <v>26.09</v>
      </c>
      <c r="P375" s="59">
        <f t="shared" si="14"/>
        <v>199.99</v>
      </c>
      <c r="Q375" s="4" t="s">
        <v>97</v>
      </c>
      <c r="R375" s="4" t="s">
        <v>137</v>
      </c>
    </row>
    <row r="376" spans="1:18" ht="22.5" customHeight="1" x14ac:dyDescent="0.25">
      <c r="A376" s="76">
        <v>46060</v>
      </c>
      <c r="B376" s="4" t="s">
        <v>75</v>
      </c>
      <c r="C376" s="4" t="s">
        <v>79</v>
      </c>
      <c r="D376" s="59">
        <v>20.8</v>
      </c>
      <c r="E376" s="4" t="s">
        <v>22</v>
      </c>
      <c r="F376" s="4" t="s">
        <v>57</v>
      </c>
      <c r="H376" s="4" t="s">
        <v>81</v>
      </c>
      <c r="K376" s="4" t="s">
        <v>99</v>
      </c>
      <c r="L376" s="4" t="s">
        <v>98</v>
      </c>
      <c r="N376" s="13">
        <v>15</v>
      </c>
      <c r="O376" s="4">
        <f t="shared" si="13"/>
        <v>3.12</v>
      </c>
      <c r="P376" s="59">
        <f t="shared" si="14"/>
        <v>23.92</v>
      </c>
      <c r="Q376" s="4" t="s">
        <v>97</v>
      </c>
      <c r="R376" s="4" t="s">
        <v>137</v>
      </c>
    </row>
    <row r="377" spans="1:18" ht="22.5" customHeight="1" x14ac:dyDescent="0.25">
      <c r="A377" s="76">
        <v>46061</v>
      </c>
      <c r="B377" s="4" t="s">
        <v>257</v>
      </c>
      <c r="C377" s="4" t="s">
        <v>79</v>
      </c>
      <c r="D377" s="59">
        <v>86.96</v>
      </c>
      <c r="E377" s="4" t="s">
        <v>22</v>
      </c>
      <c r="F377" s="4" t="s">
        <v>115</v>
      </c>
      <c r="G377" s="18" t="s">
        <v>538</v>
      </c>
      <c r="H377" s="4" t="s">
        <v>115</v>
      </c>
      <c r="K377" s="4" t="s">
        <v>99</v>
      </c>
      <c r="L377" s="4" t="s">
        <v>98</v>
      </c>
      <c r="N377" s="13">
        <v>15</v>
      </c>
      <c r="O377" s="4">
        <f t="shared" si="13"/>
        <v>13.04</v>
      </c>
      <c r="P377" s="59">
        <f t="shared" si="14"/>
        <v>100</v>
      </c>
      <c r="Q377" s="4" t="s">
        <v>97</v>
      </c>
      <c r="R377" s="4" t="s">
        <v>191</v>
      </c>
    </row>
    <row r="378" spans="1:18" ht="22.5" customHeight="1" x14ac:dyDescent="0.25">
      <c r="A378" s="76">
        <v>46061</v>
      </c>
      <c r="B378" s="4" t="s">
        <v>75</v>
      </c>
      <c r="C378" s="4" t="s">
        <v>79</v>
      </c>
      <c r="D378" s="59">
        <v>23.91</v>
      </c>
      <c r="E378" s="4" t="s">
        <v>22</v>
      </c>
      <c r="F378" s="4" t="s">
        <v>57</v>
      </c>
      <c r="G378" s="18" t="s">
        <v>538</v>
      </c>
      <c r="H378" s="4" t="s">
        <v>81</v>
      </c>
      <c r="K378" s="4" t="s">
        <v>99</v>
      </c>
      <c r="L378" s="4" t="s">
        <v>98</v>
      </c>
      <c r="N378" s="13">
        <v>15</v>
      </c>
      <c r="O378" s="4">
        <f t="shared" si="13"/>
        <v>3.59</v>
      </c>
      <c r="P378" s="59">
        <f t="shared" si="14"/>
        <v>27.5</v>
      </c>
      <c r="Q378" s="4" t="s">
        <v>97</v>
      </c>
      <c r="R378" s="4" t="s">
        <v>191</v>
      </c>
    </row>
    <row r="379" spans="1:18" ht="22.5" customHeight="1" x14ac:dyDescent="0.25">
      <c r="A379" s="76">
        <v>46061</v>
      </c>
      <c r="B379" s="4" t="s">
        <v>517</v>
      </c>
      <c r="C379" s="4" t="s">
        <v>79</v>
      </c>
      <c r="D379" s="59">
        <v>6</v>
      </c>
      <c r="E379" s="4" t="s">
        <v>22</v>
      </c>
      <c r="F379" s="4" t="s">
        <v>57</v>
      </c>
      <c r="H379" s="4" t="s">
        <v>81</v>
      </c>
      <c r="K379" s="4" t="s">
        <v>99</v>
      </c>
      <c r="L379" s="4" t="s">
        <v>98</v>
      </c>
      <c r="N379" s="13">
        <v>0</v>
      </c>
      <c r="O379" s="4">
        <f t="shared" si="13"/>
        <v>0</v>
      </c>
      <c r="P379" s="59">
        <f t="shared" si="14"/>
        <v>6</v>
      </c>
      <c r="Q379" s="4" t="s">
        <v>97</v>
      </c>
      <c r="R379" s="4" t="s">
        <v>137</v>
      </c>
    </row>
    <row r="380" spans="1:18" ht="22.5" customHeight="1" x14ac:dyDescent="0.25">
      <c r="A380" s="76">
        <v>46061</v>
      </c>
      <c r="B380" s="4" t="s">
        <v>518</v>
      </c>
      <c r="C380" s="4" t="s">
        <v>79</v>
      </c>
      <c r="D380" s="59">
        <v>2565.2199999999998</v>
      </c>
      <c r="E380" s="4" t="s">
        <v>22</v>
      </c>
      <c r="F380" s="4" t="s">
        <v>166</v>
      </c>
      <c r="G380" s="18" t="s">
        <v>538</v>
      </c>
      <c r="H380" s="4" t="s">
        <v>80</v>
      </c>
      <c r="K380" s="4" t="s">
        <v>519</v>
      </c>
      <c r="L380" s="4" t="s">
        <v>98</v>
      </c>
      <c r="N380" s="13">
        <v>15</v>
      </c>
      <c r="O380" s="4">
        <f t="shared" si="13"/>
        <v>384.78</v>
      </c>
      <c r="P380" s="59">
        <f t="shared" si="14"/>
        <v>2950</v>
      </c>
      <c r="Q380" s="4" t="s">
        <v>97</v>
      </c>
      <c r="R380" s="4" t="s">
        <v>191</v>
      </c>
    </row>
    <row r="381" spans="1:18" ht="22.5" customHeight="1" x14ac:dyDescent="0.25">
      <c r="A381" s="76">
        <v>46061</v>
      </c>
      <c r="B381" s="4" t="s">
        <v>520</v>
      </c>
      <c r="C381" s="4" t="s">
        <v>79</v>
      </c>
      <c r="D381" s="59">
        <v>928</v>
      </c>
      <c r="E381" s="4" t="s">
        <v>22</v>
      </c>
      <c r="F381" s="4" t="s">
        <v>166</v>
      </c>
      <c r="G381" s="18" t="s">
        <v>521</v>
      </c>
      <c r="H381" s="4" t="s">
        <v>80</v>
      </c>
      <c r="K381" s="4" t="s">
        <v>522</v>
      </c>
      <c r="L381" s="4" t="s">
        <v>98</v>
      </c>
      <c r="N381" s="13">
        <v>15</v>
      </c>
      <c r="O381" s="4">
        <f t="shared" si="13"/>
        <v>139.19999999999999</v>
      </c>
      <c r="P381" s="59">
        <f t="shared" si="14"/>
        <v>1067.2</v>
      </c>
      <c r="Q381" s="4" t="s">
        <v>97</v>
      </c>
      <c r="R381" s="4" t="s">
        <v>191</v>
      </c>
    </row>
    <row r="382" spans="1:18" s="8" customFormat="1" ht="22.5" customHeight="1" x14ac:dyDescent="0.25">
      <c r="A382" s="76">
        <v>46061</v>
      </c>
      <c r="B382" s="8" t="s">
        <v>381</v>
      </c>
      <c r="C382" s="8" t="s">
        <v>79</v>
      </c>
      <c r="D382" s="65">
        <v>5500</v>
      </c>
      <c r="E382" s="8" t="s">
        <v>22</v>
      </c>
      <c r="F382" s="8" t="s">
        <v>166</v>
      </c>
      <c r="G382" s="49" t="s">
        <v>353</v>
      </c>
      <c r="H382" s="8" t="s">
        <v>80</v>
      </c>
      <c r="K382" s="8" t="s">
        <v>382</v>
      </c>
      <c r="L382" s="8" t="s">
        <v>98</v>
      </c>
      <c r="N382" s="41">
        <v>0</v>
      </c>
      <c r="O382" s="8">
        <f t="shared" si="13"/>
        <v>0</v>
      </c>
      <c r="P382" s="65">
        <f t="shared" si="14"/>
        <v>5500</v>
      </c>
      <c r="Q382" s="8" t="s">
        <v>97</v>
      </c>
      <c r="R382" s="8" t="s">
        <v>191</v>
      </c>
    </row>
    <row r="383" spans="1:18" ht="22.5" customHeight="1" x14ac:dyDescent="0.25">
      <c r="A383" s="76">
        <v>46061</v>
      </c>
      <c r="B383" s="4" t="s">
        <v>523</v>
      </c>
      <c r="C383" s="4" t="s">
        <v>79</v>
      </c>
      <c r="D383" s="59">
        <v>890</v>
      </c>
      <c r="E383" s="4" t="s">
        <v>22</v>
      </c>
      <c r="F383" s="4" t="s">
        <v>166</v>
      </c>
      <c r="G383" s="49" t="s">
        <v>353</v>
      </c>
      <c r="H383" s="4" t="s">
        <v>80</v>
      </c>
      <c r="K383" s="4" t="s">
        <v>524</v>
      </c>
      <c r="L383" s="4" t="s">
        <v>98</v>
      </c>
      <c r="N383" s="13">
        <v>15</v>
      </c>
      <c r="O383" s="4">
        <f t="shared" si="13"/>
        <v>133.5</v>
      </c>
      <c r="P383" s="59">
        <f t="shared" si="14"/>
        <v>1023.5</v>
      </c>
      <c r="Q383" s="4" t="s">
        <v>97</v>
      </c>
      <c r="R383" s="4" t="s">
        <v>191</v>
      </c>
    </row>
    <row r="384" spans="1:18" ht="22.5" customHeight="1" x14ac:dyDescent="0.25">
      <c r="A384" s="76">
        <v>46061</v>
      </c>
      <c r="B384" s="4" t="s">
        <v>525</v>
      </c>
      <c r="C384" s="4" t="s">
        <v>79</v>
      </c>
      <c r="D384" s="59">
        <v>5000</v>
      </c>
      <c r="E384" s="4" t="s">
        <v>22</v>
      </c>
      <c r="F384" s="4" t="s">
        <v>252</v>
      </c>
      <c r="H384" s="4" t="s">
        <v>196</v>
      </c>
      <c r="K384" s="4" t="s">
        <v>526</v>
      </c>
      <c r="L384" s="4" t="s">
        <v>98</v>
      </c>
      <c r="N384" s="13">
        <v>0</v>
      </c>
      <c r="O384" s="4">
        <f t="shared" si="13"/>
        <v>0</v>
      </c>
      <c r="P384" s="59">
        <f t="shared" si="14"/>
        <v>5000</v>
      </c>
      <c r="Q384" s="4" t="s">
        <v>97</v>
      </c>
      <c r="R384" s="4" t="s">
        <v>137</v>
      </c>
    </row>
    <row r="385" spans="1:18" ht="22.5" customHeight="1" x14ac:dyDescent="0.25">
      <c r="A385" s="76">
        <v>46061</v>
      </c>
      <c r="B385" s="4" t="s">
        <v>527</v>
      </c>
      <c r="C385" s="4" t="s">
        <v>79</v>
      </c>
      <c r="D385" s="59">
        <v>4000</v>
      </c>
      <c r="E385" s="4" t="s">
        <v>22</v>
      </c>
      <c r="F385" s="4" t="s">
        <v>251</v>
      </c>
      <c r="G385" s="18" t="s">
        <v>538</v>
      </c>
      <c r="H385" s="4" t="s">
        <v>251</v>
      </c>
      <c r="K385" s="4" t="s">
        <v>385</v>
      </c>
      <c r="L385" s="4" t="s">
        <v>98</v>
      </c>
      <c r="N385" s="13">
        <v>0</v>
      </c>
      <c r="O385" s="4">
        <f t="shared" si="13"/>
        <v>0</v>
      </c>
      <c r="P385" s="59">
        <f t="shared" si="14"/>
        <v>4000</v>
      </c>
      <c r="Q385" s="4" t="s">
        <v>97</v>
      </c>
      <c r="R385" s="4" t="s">
        <v>191</v>
      </c>
    </row>
    <row r="386" spans="1:18" s="6" customFormat="1" ht="22.5" customHeight="1" x14ac:dyDescent="0.25">
      <c r="A386" s="83">
        <v>46061</v>
      </c>
      <c r="B386" s="6" t="s">
        <v>275</v>
      </c>
      <c r="C386" s="6" t="s">
        <v>88</v>
      </c>
      <c r="D386" s="60">
        <v>26500</v>
      </c>
      <c r="E386" s="6" t="s">
        <v>22</v>
      </c>
      <c r="F386" s="6" t="s">
        <v>89</v>
      </c>
      <c r="G386" s="6" t="s">
        <v>538</v>
      </c>
      <c r="H386" s="6" t="s">
        <v>196</v>
      </c>
      <c r="K386" s="6" t="s">
        <v>124</v>
      </c>
      <c r="L386" s="6" t="s">
        <v>86</v>
      </c>
      <c r="M386" s="6" t="s">
        <v>605</v>
      </c>
      <c r="N386" s="14">
        <v>15</v>
      </c>
      <c r="O386" s="6">
        <f t="shared" si="13"/>
        <v>3975</v>
      </c>
      <c r="P386" s="60">
        <f t="shared" si="14"/>
        <v>30475</v>
      </c>
      <c r="Q386" s="6" t="s">
        <v>97</v>
      </c>
      <c r="R386" s="6" t="s">
        <v>191</v>
      </c>
    </row>
    <row r="387" spans="1:18" ht="22.5" customHeight="1" x14ac:dyDescent="0.25">
      <c r="A387" s="76">
        <v>46061</v>
      </c>
      <c r="B387" s="4" t="s">
        <v>161</v>
      </c>
      <c r="C387" s="4" t="s">
        <v>79</v>
      </c>
      <c r="D387" s="59">
        <v>6200</v>
      </c>
      <c r="E387" s="4" t="s">
        <v>22</v>
      </c>
      <c r="F387" s="4" t="s">
        <v>25</v>
      </c>
      <c r="H387" s="4" t="s">
        <v>196</v>
      </c>
      <c r="K387" s="4" t="s">
        <v>162</v>
      </c>
      <c r="L387" s="4" t="s">
        <v>163</v>
      </c>
      <c r="N387" s="13">
        <v>0</v>
      </c>
      <c r="O387" s="4">
        <f t="shared" si="13"/>
        <v>0</v>
      </c>
      <c r="P387" s="59">
        <f t="shared" si="14"/>
        <v>6200</v>
      </c>
      <c r="Q387" s="4" t="s">
        <v>97</v>
      </c>
      <c r="R387" s="4" t="s">
        <v>137</v>
      </c>
    </row>
    <row r="388" spans="1:18" ht="22.5" customHeight="1" x14ac:dyDescent="0.25">
      <c r="A388" s="76">
        <v>46061</v>
      </c>
      <c r="B388" s="4" t="s">
        <v>528</v>
      </c>
      <c r="C388" s="4" t="s">
        <v>79</v>
      </c>
      <c r="D388" s="59">
        <v>3000</v>
      </c>
      <c r="E388" s="4" t="s">
        <v>22</v>
      </c>
      <c r="F388" s="4" t="s">
        <v>25</v>
      </c>
      <c r="H388" s="4" t="s">
        <v>196</v>
      </c>
      <c r="K388" s="4" t="s">
        <v>162</v>
      </c>
      <c r="L388" s="4" t="s">
        <v>163</v>
      </c>
      <c r="N388" s="13">
        <v>0</v>
      </c>
      <c r="O388" s="4">
        <f t="shared" si="13"/>
        <v>0</v>
      </c>
      <c r="P388" s="59">
        <f t="shared" si="14"/>
        <v>3000</v>
      </c>
      <c r="Q388" s="4" t="s">
        <v>97</v>
      </c>
      <c r="R388" s="4" t="s">
        <v>529</v>
      </c>
    </row>
    <row r="389" spans="1:18" ht="22.5" customHeight="1" x14ac:dyDescent="0.25">
      <c r="A389" s="76">
        <v>46061</v>
      </c>
      <c r="B389" s="4" t="s">
        <v>399</v>
      </c>
      <c r="C389" s="4" t="s">
        <v>79</v>
      </c>
      <c r="D389" s="59">
        <v>25</v>
      </c>
      <c r="E389" s="4" t="s">
        <v>22</v>
      </c>
      <c r="F389" s="4" t="s">
        <v>399</v>
      </c>
      <c r="H389" s="4" t="s">
        <v>379</v>
      </c>
      <c r="K389" s="4" t="s">
        <v>99</v>
      </c>
      <c r="L389" s="4" t="s">
        <v>98</v>
      </c>
      <c r="N389" s="13">
        <v>0</v>
      </c>
      <c r="O389" s="4">
        <f t="shared" si="13"/>
        <v>0</v>
      </c>
      <c r="P389" s="59">
        <f t="shared" si="14"/>
        <v>25</v>
      </c>
      <c r="Q389" s="4" t="s">
        <v>97</v>
      </c>
      <c r="R389" s="4" t="s">
        <v>137</v>
      </c>
    </row>
    <row r="390" spans="1:18" ht="22.5" customHeight="1" x14ac:dyDescent="0.25">
      <c r="A390" s="76">
        <v>46062</v>
      </c>
      <c r="B390" s="4" t="s">
        <v>75</v>
      </c>
      <c r="C390" s="4" t="s">
        <v>79</v>
      </c>
      <c r="D390" s="59">
        <v>26</v>
      </c>
      <c r="E390" s="4" t="s">
        <v>22</v>
      </c>
      <c r="F390" s="4" t="s">
        <v>57</v>
      </c>
      <c r="H390" s="4" t="s">
        <v>81</v>
      </c>
      <c r="K390" s="4" t="s">
        <v>99</v>
      </c>
      <c r="L390" s="4" t="s">
        <v>98</v>
      </c>
      <c r="N390" s="13">
        <v>0</v>
      </c>
      <c r="O390" s="4">
        <f t="shared" si="13"/>
        <v>0</v>
      </c>
      <c r="P390" s="59">
        <f t="shared" si="14"/>
        <v>26</v>
      </c>
      <c r="Q390" s="4" t="s">
        <v>97</v>
      </c>
      <c r="R390" s="4" t="s">
        <v>137</v>
      </c>
    </row>
    <row r="391" spans="1:18" ht="22.5" customHeight="1" x14ac:dyDescent="0.25">
      <c r="A391" s="76">
        <v>46062</v>
      </c>
      <c r="B391" s="4" t="s">
        <v>530</v>
      </c>
      <c r="C391" s="4" t="s">
        <v>79</v>
      </c>
      <c r="D391" s="59">
        <v>120</v>
      </c>
      <c r="E391" s="4" t="s">
        <v>22</v>
      </c>
      <c r="F391" s="4" t="s">
        <v>59</v>
      </c>
      <c r="G391" s="18" t="s">
        <v>456</v>
      </c>
      <c r="H391" s="4" t="s">
        <v>59</v>
      </c>
      <c r="K391" s="4" t="s">
        <v>99</v>
      </c>
      <c r="L391" s="4" t="s">
        <v>98</v>
      </c>
      <c r="N391" s="13">
        <v>0</v>
      </c>
      <c r="O391" s="4">
        <f t="shared" si="13"/>
        <v>0</v>
      </c>
      <c r="P391" s="59">
        <f t="shared" si="14"/>
        <v>120</v>
      </c>
      <c r="Q391" s="4" t="s">
        <v>97</v>
      </c>
      <c r="R391" s="4" t="s">
        <v>191</v>
      </c>
    </row>
    <row r="392" spans="1:18" ht="22.5" customHeight="1" x14ac:dyDescent="0.25">
      <c r="A392" s="76">
        <v>46062</v>
      </c>
      <c r="B392" s="4" t="s">
        <v>563</v>
      </c>
      <c r="C392" s="4" t="s">
        <v>79</v>
      </c>
      <c r="D392" s="59">
        <v>210</v>
      </c>
      <c r="E392" s="4" t="s">
        <v>29</v>
      </c>
      <c r="F392" s="4" t="s">
        <v>29</v>
      </c>
      <c r="H392" s="4" t="s">
        <v>196</v>
      </c>
      <c r="K392" s="4" t="s">
        <v>564</v>
      </c>
      <c r="L392" s="4" t="s">
        <v>154</v>
      </c>
      <c r="N392" s="13">
        <v>0</v>
      </c>
      <c r="O392" s="4">
        <f t="shared" si="13"/>
        <v>0</v>
      </c>
      <c r="P392" s="59">
        <f t="shared" si="14"/>
        <v>210</v>
      </c>
      <c r="Q392" s="4" t="s">
        <v>97</v>
      </c>
      <c r="R392" s="4" t="s">
        <v>137</v>
      </c>
    </row>
    <row r="393" spans="1:18" ht="22.5" customHeight="1" x14ac:dyDescent="0.25">
      <c r="A393" s="76">
        <v>46062</v>
      </c>
      <c r="B393" s="4" t="s">
        <v>532</v>
      </c>
      <c r="C393" s="4" t="s">
        <v>79</v>
      </c>
      <c r="D393" s="59">
        <v>4.3499999999999996</v>
      </c>
      <c r="E393" s="4" t="s">
        <v>22</v>
      </c>
      <c r="F393" s="4" t="s">
        <v>166</v>
      </c>
      <c r="H393" s="4" t="s">
        <v>80</v>
      </c>
      <c r="K393" s="4" t="s">
        <v>533</v>
      </c>
      <c r="L393" s="4" t="s">
        <v>98</v>
      </c>
      <c r="N393" s="13">
        <v>15</v>
      </c>
      <c r="O393" s="4">
        <f t="shared" si="13"/>
        <v>0.65</v>
      </c>
      <c r="P393" s="59">
        <f t="shared" si="14"/>
        <v>5</v>
      </c>
      <c r="Q393" s="4" t="s">
        <v>97</v>
      </c>
      <c r="R393" s="4" t="s">
        <v>191</v>
      </c>
    </row>
    <row r="394" spans="1:18" s="34" customFormat="1" ht="22.5" customHeight="1" x14ac:dyDescent="0.25">
      <c r="A394" s="83">
        <v>46063</v>
      </c>
      <c r="B394" s="34" t="s">
        <v>558</v>
      </c>
      <c r="C394" s="34" t="s">
        <v>88</v>
      </c>
      <c r="D394" s="67">
        <v>72100</v>
      </c>
      <c r="E394" s="34" t="s">
        <v>22</v>
      </c>
      <c r="F394" s="34" t="s">
        <v>89</v>
      </c>
      <c r="G394" s="34" t="s">
        <v>456</v>
      </c>
      <c r="H394" s="34" t="s">
        <v>167</v>
      </c>
      <c r="K394" s="34" t="s">
        <v>415</v>
      </c>
      <c r="L394" s="34" t="s">
        <v>86</v>
      </c>
      <c r="M394" s="6" t="s">
        <v>769</v>
      </c>
      <c r="N394" s="57">
        <v>15</v>
      </c>
      <c r="O394" s="34">
        <f t="shared" si="13"/>
        <v>10815</v>
      </c>
      <c r="P394" s="67">
        <f t="shared" si="14"/>
        <v>82915</v>
      </c>
      <c r="Q394" s="34" t="s">
        <v>97</v>
      </c>
      <c r="R394" s="34" t="s">
        <v>227</v>
      </c>
    </row>
    <row r="395" spans="1:18" ht="22.5" customHeight="1" x14ac:dyDescent="0.25">
      <c r="A395" s="76">
        <v>46063</v>
      </c>
      <c r="B395" s="4" t="s">
        <v>75</v>
      </c>
      <c r="C395" s="4" t="s">
        <v>79</v>
      </c>
      <c r="D395" s="59">
        <v>32</v>
      </c>
      <c r="E395" s="4" t="s">
        <v>22</v>
      </c>
      <c r="F395" s="4" t="s">
        <v>57</v>
      </c>
      <c r="G395" s="18" t="s">
        <v>538</v>
      </c>
      <c r="H395" s="4" t="s">
        <v>81</v>
      </c>
      <c r="K395" s="4" t="s">
        <v>99</v>
      </c>
      <c r="L395" s="4" t="s">
        <v>98</v>
      </c>
      <c r="N395" s="13">
        <v>15</v>
      </c>
      <c r="O395" s="4">
        <f t="shared" ref="O395" si="15">IF(OR(D395="", N395=""), "", ROUND(D395 * N395 / 100, 2))</f>
        <v>4.8</v>
      </c>
      <c r="P395" s="59">
        <f t="shared" ref="P395" si="16">IF(D395="", "", D395 + O395)</f>
        <v>36.799999999999997</v>
      </c>
      <c r="Q395" s="4" t="s">
        <v>97</v>
      </c>
      <c r="R395" s="4" t="s">
        <v>191</v>
      </c>
    </row>
    <row r="396" spans="1:18" ht="22.5" customHeight="1" x14ac:dyDescent="0.25">
      <c r="A396" s="76">
        <v>46063</v>
      </c>
      <c r="B396" s="4" t="s">
        <v>401</v>
      </c>
      <c r="C396" s="4" t="s">
        <v>79</v>
      </c>
      <c r="D396" s="59">
        <v>210</v>
      </c>
      <c r="E396" s="4" t="s">
        <v>22</v>
      </c>
      <c r="F396" s="4" t="s">
        <v>253</v>
      </c>
      <c r="H396" s="4" t="s">
        <v>338</v>
      </c>
      <c r="K396" s="4" t="s">
        <v>162</v>
      </c>
      <c r="L396" s="4" t="s">
        <v>163</v>
      </c>
      <c r="N396" s="13">
        <v>0</v>
      </c>
      <c r="O396" s="4">
        <f t="shared" ref="O396:O457" si="17">IF(OR(D396="", N396=""), "", ROUND(D396 * N396 / 100, 2))</f>
        <v>0</v>
      </c>
      <c r="P396" s="59">
        <f t="shared" ref="P396:P457" si="18">IF(D396="", "", D396 + O396)</f>
        <v>210</v>
      </c>
      <c r="Q396" s="4" t="s">
        <v>97</v>
      </c>
      <c r="R396" s="4" t="s">
        <v>137</v>
      </c>
    </row>
    <row r="397" spans="1:18" ht="22.5" customHeight="1" x14ac:dyDescent="0.25">
      <c r="A397" s="76">
        <v>46063</v>
      </c>
      <c r="B397" s="4" t="s">
        <v>257</v>
      </c>
      <c r="C397" s="4" t="s">
        <v>79</v>
      </c>
      <c r="D397" s="59">
        <v>43.48</v>
      </c>
      <c r="E397" s="4" t="s">
        <v>22</v>
      </c>
      <c r="F397" s="4" t="s">
        <v>115</v>
      </c>
      <c r="G397" s="18" t="s">
        <v>538</v>
      </c>
      <c r="H397" s="4" t="s">
        <v>115</v>
      </c>
      <c r="K397" s="4" t="s">
        <v>99</v>
      </c>
      <c r="L397" s="4" t="s">
        <v>98</v>
      </c>
      <c r="N397" s="13">
        <v>15</v>
      </c>
      <c r="O397" s="4">
        <f t="shared" si="17"/>
        <v>6.52</v>
      </c>
      <c r="P397" s="59">
        <f t="shared" si="18"/>
        <v>50</v>
      </c>
      <c r="Q397" s="4" t="s">
        <v>97</v>
      </c>
      <c r="R397" s="4" t="s">
        <v>191</v>
      </c>
    </row>
    <row r="398" spans="1:18" ht="22.5" customHeight="1" x14ac:dyDescent="0.25">
      <c r="A398" s="76">
        <v>46063</v>
      </c>
      <c r="B398" s="4" t="s">
        <v>75</v>
      </c>
      <c r="C398" s="4" t="s">
        <v>79</v>
      </c>
      <c r="D398" s="59">
        <v>23</v>
      </c>
      <c r="E398" s="4" t="s">
        <v>22</v>
      </c>
      <c r="F398" s="4" t="s">
        <v>57</v>
      </c>
      <c r="G398" s="18" t="s">
        <v>538</v>
      </c>
      <c r="H398" s="4" t="s">
        <v>81</v>
      </c>
      <c r="K398" s="4" t="s">
        <v>99</v>
      </c>
      <c r="L398" s="4" t="s">
        <v>98</v>
      </c>
      <c r="N398" s="13">
        <v>0</v>
      </c>
      <c r="O398" s="4">
        <f t="shared" si="17"/>
        <v>0</v>
      </c>
      <c r="P398" s="59">
        <f t="shared" si="18"/>
        <v>23</v>
      </c>
      <c r="Q398" s="4" t="s">
        <v>97</v>
      </c>
      <c r="R398" s="4" t="s">
        <v>191</v>
      </c>
    </row>
    <row r="399" spans="1:18" ht="22.5" customHeight="1" x14ac:dyDescent="0.25">
      <c r="A399" s="76">
        <v>46063</v>
      </c>
      <c r="B399" s="4" t="s">
        <v>534</v>
      </c>
      <c r="C399" s="4" t="s">
        <v>79</v>
      </c>
      <c r="D399" s="59">
        <v>55</v>
      </c>
      <c r="E399" s="4" t="s">
        <v>22</v>
      </c>
      <c r="F399" s="4" t="s">
        <v>166</v>
      </c>
      <c r="G399" s="18" t="s">
        <v>537</v>
      </c>
      <c r="H399" s="4" t="s">
        <v>80</v>
      </c>
      <c r="K399" s="4" t="s">
        <v>298</v>
      </c>
      <c r="L399" s="4" t="s">
        <v>98</v>
      </c>
      <c r="N399" s="13">
        <v>15</v>
      </c>
      <c r="O399" s="4">
        <f t="shared" si="17"/>
        <v>8.25</v>
      </c>
      <c r="P399" s="59">
        <f t="shared" si="18"/>
        <v>63.25</v>
      </c>
      <c r="Q399" s="4" t="s">
        <v>97</v>
      </c>
      <c r="R399" s="4" t="s">
        <v>191</v>
      </c>
    </row>
    <row r="400" spans="1:18" ht="22.5" customHeight="1" x14ac:dyDescent="0.25">
      <c r="A400" s="76">
        <v>46063</v>
      </c>
      <c r="B400" s="4" t="s">
        <v>535</v>
      </c>
      <c r="C400" s="4" t="s">
        <v>79</v>
      </c>
      <c r="D400" s="59">
        <v>1042</v>
      </c>
      <c r="E400" s="4" t="s">
        <v>22</v>
      </c>
      <c r="F400" s="4" t="s">
        <v>166</v>
      </c>
      <c r="G400" s="18" t="s">
        <v>536</v>
      </c>
      <c r="H400" s="4" t="s">
        <v>80</v>
      </c>
      <c r="K400" s="4" t="s">
        <v>539</v>
      </c>
      <c r="L400" s="4" t="s">
        <v>98</v>
      </c>
      <c r="N400" s="13">
        <v>15</v>
      </c>
      <c r="O400" s="4">
        <f t="shared" si="17"/>
        <v>156.30000000000001</v>
      </c>
      <c r="P400" s="59">
        <f t="shared" si="18"/>
        <v>1198.3</v>
      </c>
      <c r="Q400" s="4" t="s">
        <v>97</v>
      </c>
      <c r="R400" s="4" t="s">
        <v>191</v>
      </c>
    </row>
    <row r="401" spans="1:18" ht="22.5" customHeight="1" x14ac:dyDescent="0.25">
      <c r="A401" s="76">
        <v>46063</v>
      </c>
      <c r="B401" s="4" t="s">
        <v>540</v>
      </c>
      <c r="C401" s="4" t="s">
        <v>79</v>
      </c>
      <c r="D401" s="59">
        <v>570</v>
      </c>
      <c r="E401" s="4" t="s">
        <v>22</v>
      </c>
      <c r="F401" s="4" t="s">
        <v>166</v>
      </c>
      <c r="G401" s="18" t="s">
        <v>538</v>
      </c>
      <c r="H401" s="4" t="s">
        <v>80</v>
      </c>
      <c r="K401" s="4" t="s">
        <v>134</v>
      </c>
      <c r="L401" s="4" t="s">
        <v>98</v>
      </c>
      <c r="N401" s="13">
        <v>15</v>
      </c>
      <c r="O401" s="4">
        <f t="shared" si="17"/>
        <v>85.5</v>
      </c>
      <c r="P401" s="59">
        <f t="shared" si="18"/>
        <v>655.5</v>
      </c>
      <c r="Q401" s="4" t="s">
        <v>97</v>
      </c>
      <c r="R401" s="4" t="s">
        <v>191</v>
      </c>
    </row>
    <row r="402" spans="1:18" ht="22.5" customHeight="1" x14ac:dyDescent="0.25">
      <c r="A402" s="76">
        <v>46063</v>
      </c>
      <c r="B402" s="4" t="s">
        <v>541</v>
      </c>
      <c r="C402" s="4" t="s">
        <v>79</v>
      </c>
      <c r="D402" s="59">
        <v>600</v>
      </c>
      <c r="E402" s="4" t="s">
        <v>22</v>
      </c>
      <c r="F402" s="4" t="s">
        <v>542</v>
      </c>
      <c r="H402" s="4" t="s">
        <v>543</v>
      </c>
      <c r="K402" s="4" t="s">
        <v>610</v>
      </c>
      <c r="L402" s="4" t="s">
        <v>98</v>
      </c>
      <c r="N402" s="13">
        <v>0</v>
      </c>
      <c r="O402" s="4">
        <f t="shared" si="17"/>
        <v>0</v>
      </c>
      <c r="P402" s="59">
        <f t="shared" si="18"/>
        <v>600</v>
      </c>
      <c r="Q402" s="4" t="s">
        <v>97</v>
      </c>
      <c r="R402" s="4" t="s">
        <v>191</v>
      </c>
    </row>
    <row r="403" spans="1:18" ht="22.5" customHeight="1" x14ac:dyDescent="0.25">
      <c r="A403" s="76">
        <v>46063</v>
      </c>
      <c r="B403" s="4" t="s">
        <v>371</v>
      </c>
      <c r="C403" s="4" t="s">
        <v>79</v>
      </c>
      <c r="D403" s="59">
        <v>2000</v>
      </c>
      <c r="E403" s="4" t="s">
        <v>22</v>
      </c>
      <c r="F403" s="4" t="s">
        <v>252</v>
      </c>
      <c r="H403" s="4" t="s">
        <v>252</v>
      </c>
      <c r="K403" s="4" t="s">
        <v>544</v>
      </c>
      <c r="L403" s="4" t="s">
        <v>98</v>
      </c>
      <c r="N403" s="13">
        <v>0</v>
      </c>
      <c r="O403" s="4">
        <f t="shared" si="17"/>
        <v>0</v>
      </c>
      <c r="P403" s="59">
        <f t="shared" si="18"/>
        <v>2000</v>
      </c>
      <c r="Q403" s="4" t="s">
        <v>97</v>
      </c>
      <c r="R403" s="4" t="s">
        <v>137</v>
      </c>
    </row>
    <row r="404" spans="1:18" ht="22.5" customHeight="1" x14ac:dyDescent="0.25">
      <c r="A404" s="76">
        <v>46063</v>
      </c>
      <c r="B404" s="4" t="s">
        <v>371</v>
      </c>
      <c r="C404" s="4" t="s">
        <v>79</v>
      </c>
      <c r="D404" s="59">
        <v>300</v>
      </c>
      <c r="E404" s="4" t="s">
        <v>22</v>
      </c>
      <c r="F404" s="4" t="s">
        <v>252</v>
      </c>
      <c r="H404" s="4" t="s">
        <v>252</v>
      </c>
      <c r="K404" s="4" t="s">
        <v>545</v>
      </c>
      <c r="L404" s="4" t="s">
        <v>98</v>
      </c>
      <c r="N404" s="13">
        <v>0</v>
      </c>
      <c r="O404" s="4">
        <f t="shared" si="17"/>
        <v>0</v>
      </c>
      <c r="P404" s="59">
        <f t="shared" si="18"/>
        <v>300</v>
      </c>
      <c r="Q404" s="4" t="s">
        <v>97</v>
      </c>
      <c r="R404" s="4" t="s">
        <v>137</v>
      </c>
    </row>
    <row r="405" spans="1:18" ht="22.5" customHeight="1" x14ac:dyDescent="0.25">
      <c r="A405" s="76">
        <v>46063</v>
      </c>
      <c r="B405" s="4" t="s">
        <v>371</v>
      </c>
      <c r="C405" s="4" t="s">
        <v>79</v>
      </c>
      <c r="D405" s="59">
        <v>700</v>
      </c>
      <c r="E405" s="4" t="s">
        <v>22</v>
      </c>
      <c r="F405" s="4" t="s">
        <v>252</v>
      </c>
      <c r="H405" s="4" t="s">
        <v>252</v>
      </c>
      <c r="K405" s="4" t="s">
        <v>546</v>
      </c>
      <c r="L405" s="4" t="s">
        <v>98</v>
      </c>
      <c r="N405" s="13">
        <v>0</v>
      </c>
      <c r="O405" s="4">
        <f t="shared" si="17"/>
        <v>0</v>
      </c>
      <c r="P405" s="59">
        <f t="shared" si="18"/>
        <v>700</v>
      </c>
      <c r="Q405" s="4" t="s">
        <v>97</v>
      </c>
      <c r="R405" s="4" t="s">
        <v>137</v>
      </c>
    </row>
    <row r="406" spans="1:18" ht="22.5" customHeight="1" x14ac:dyDescent="0.25">
      <c r="A406" s="76">
        <v>46063</v>
      </c>
      <c r="B406" s="4" t="s">
        <v>371</v>
      </c>
      <c r="C406" s="4" t="s">
        <v>79</v>
      </c>
      <c r="D406" s="59">
        <v>500</v>
      </c>
      <c r="E406" s="4" t="s">
        <v>22</v>
      </c>
      <c r="F406" s="4" t="s">
        <v>252</v>
      </c>
      <c r="H406" s="4" t="s">
        <v>252</v>
      </c>
      <c r="K406" s="4" t="s">
        <v>547</v>
      </c>
      <c r="L406" s="4" t="s">
        <v>98</v>
      </c>
      <c r="N406" s="13">
        <v>0</v>
      </c>
      <c r="O406" s="4">
        <f t="shared" si="17"/>
        <v>0</v>
      </c>
      <c r="P406" s="59">
        <f t="shared" si="18"/>
        <v>500</v>
      </c>
      <c r="Q406" s="4" t="s">
        <v>97</v>
      </c>
      <c r="R406" s="4" t="s">
        <v>137</v>
      </c>
    </row>
    <row r="407" spans="1:18" ht="22.5" customHeight="1" x14ac:dyDescent="0.25">
      <c r="A407" s="76">
        <v>46063</v>
      </c>
      <c r="B407" s="4" t="s">
        <v>828</v>
      </c>
      <c r="C407" s="4" t="s">
        <v>79</v>
      </c>
      <c r="D407" s="59">
        <v>2000</v>
      </c>
      <c r="E407" s="4" t="s">
        <v>22</v>
      </c>
      <c r="F407" s="4" t="s">
        <v>249</v>
      </c>
      <c r="G407" s="18" t="s">
        <v>448</v>
      </c>
      <c r="H407" s="4" t="s">
        <v>206</v>
      </c>
      <c r="K407" s="4" t="s">
        <v>449</v>
      </c>
      <c r="L407" s="4" t="s">
        <v>98</v>
      </c>
      <c r="N407" s="13">
        <v>0</v>
      </c>
      <c r="O407" s="4">
        <f t="shared" si="17"/>
        <v>0</v>
      </c>
      <c r="P407" s="59">
        <f t="shared" si="18"/>
        <v>2000</v>
      </c>
      <c r="Q407" s="4" t="s">
        <v>97</v>
      </c>
      <c r="R407" s="4" t="s">
        <v>191</v>
      </c>
    </row>
    <row r="408" spans="1:18" ht="22.5" customHeight="1" x14ac:dyDescent="0.25">
      <c r="A408" s="76">
        <v>46063</v>
      </c>
      <c r="B408" s="4" t="s">
        <v>548</v>
      </c>
      <c r="C408" s="4" t="s">
        <v>79</v>
      </c>
      <c r="D408" s="59">
        <v>500</v>
      </c>
      <c r="E408" s="4" t="s">
        <v>22</v>
      </c>
      <c r="F408" s="4" t="s">
        <v>253</v>
      </c>
      <c r="H408" s="4" t="s">
        <v>338</v>
      </c>
      <c r="K408" s="4" t="s">
        <v>153</v>
      </c>
      <c r="L408" s="4" t="s">
        <v>154</v>
      </c>
      <c r="N408" s="13">
        <v>0</v>
      </c>
      <c r="O408" s="4">
        <f t="shared" si="17"/>
        <v>0</v>
      </c>
      <c r="P408" s="59">
        <f t="shared" si="18"/>
        <v>500</v>
      </c>
      <c r="Q408" s="4" t="s">
        <v>97</v>
      </c>
      <c r="R408" s="4" t="s">
        <v>137</v>
      </c>
    </row>
    <row r="409" spans="1:18" ht="22.5" customHeight="1" x14ac:dyDescent="0.25">
      <c r="A409" s="76">
        <v>46063</v>
      </c>
      <c r="B409" s="4" t="s">
        <v>371</v>
      </c>
      <c r="C409" s="4" t="s">
        <v>79</v>
      </c>
      <c r="D409" s="59">
        <v>3000</v>
      </c>
      <c r="E409" s="4" t="s">
        <v>22</v>
      </c>
      <c r="F409" s="4" t="s">
        <v>252</v>
      </c>
      <c r="H409" s="4" t="s">
        <v>252</v>
      </c>
      <c r="K409" s="4" t="s">
        <v>549</v>
      </c>
      <c r="L409" s="4" t="s">
        <v>98</v>
      </c>
      <c r="N409" s="13">
        <v>0</v>
      </c>
      <c r="O409" s="4">
        <f t="shared" si="17"/>
        <v>0</v>
      </c>
      <c r="P409" s="59">
        <f t="shared" si="18"/>
        <v>3000</v>
      </c>
      <c r="Q409" s="4" t="s">
        <v>97</v>
      </c>
      <c r="R409" s="4" t="s">
        <v>137</v>
      </c>
    </row>
    <row r="410" spans="1:18" ht="22.5" customHeight="1" x14ac:dyDescent="0.25">
      <c r="A410" s="76">
        <v>46063</v>
      </c>
      <c r="B410" s="4" t="s">
        <v>550</v>
      </c>
      <c r="C410" s="4" t="s">
        <v>79</v>
      </c>
      <c r="D410" s="59">
        <v>90</v>
      </c>
      <c r="E410" s="4" t="s">
        <v>22</v>
      </c>
      <c r="F410" s="4" t="s">
        <v>59</v>
      </c>
      <c r="G410" s="18" t="s">
        <v>536</v>
      </c>
      <c r="H410" s="4" t="s">
        <v>59</v>
      </c>
      <c r="K410" s="4" t="s">
        <v>99</v>
      </c>
      <c r="L410" s="4" t="s">
        <v>98</v>
      </c>
      <c r="N410" s="13">
        <v>0</v>
      </c>
      <c r="O410" s="4">
        <f t="shared" si="17"/>
        <v>0</v>
      </c>
      <c r="P410" s="59">
        <f t="shared" si="18"/>
        <v>90</v>
      </c>
      <c r="Q410" s="4" t="s">
        <v>97</v>
      </c>
      <c r="R410" s="4" t="s">
        <v>191</v>
      </c>
    </row>
    <row r="411" spans="1:18" ht="22.5" customHeight="1" x14ac:dyDescent="0.25">
      <c r="A411" s="76">
        <v>46063</v>
      </c>
      <c r="B411" s="4" t="s">
        <v>371</v>
      </c>
      <c r="C411" s="4" t="s">
        <v>79</v>
      </c>
      <c r="D411" s="59">
        <v>70</v>
      </c>
      <c r="E411" s="4" t="s">
        <v>22</v>
      </c>
      <c r="F411" s="4" t="s">
        <v>252</v>
      </c>
      <c r="H411" s="4" t="s">
        <v>252</v>
      </c>
      <c r="K411" s="4" t="s">
        <v>447</v>
      </c>
      <c r="L411" s="4" t="s">
        <v>98</v>
      </c>
      <c r="N411" s="13">
        <v>0</v>
      </c>
      <c r="O411" s="4">
        <f t="shared" si="17"/>
        <v>0</v>
      </c>
      <c r="P411" s="59">
        <f t="shared" si="18"/>
        <v>70</v>
      </c>
      <c r="Q411" s="4" t="s">
        <v>97</v>
      </c>
      <c r="R411" s="4" t="s">
        <v>137</v>
      </c>
    </row>
    <row r="412" spans="1:18" ht="22.5" customHeight="1" x14ac:dyDescent="0.25">
      <c r="A412" s="76">
        <v>46063</v>
      </c>
      <c r="B412" s="4" t="s">
        <v>551</v>
      </c>
      <c r="C412" s="4" t="s">
        <v>79</v>
      </c>
      <c r="D412" s="59">
        <v>6000</v>
      </c>
      <c r="E412" s="4" t="s">
        <v>22</v>
      </c>
      <c r="F412" s="4" t="s">
        <v>552</v>
      </c>
      <c r="H412" s="4" t="s">
        <v>543</v>
      </c>
      <c r="K412" s="4" t="s">
        <v>610</v>
      </c>
      <c r="L412" s="4" t="s">
        <v>98</v>
      </c>
      <c r="N412" s="13">
        <v>0</v>
      </c>
      <c r="O412" s="4">
        <f t="shared" si="17"/>
        <v>0</v>
      </c>
      <c r="P412" s="59">
        <f t="shared" si="18"/>
        <v>6000</v>
      </c>
      <c r="Q412" s="4" t="s">
        <v>97</v>
      </c>
      <c r="R412" s="4" t="s">
        <v>137</v>
      </c>
    </row>
    <row r="413" spans="1:18" ht="22.5" customHeight="1" x14ac:dyDescent="0.25">
      <c r="A413" s="76">
        <v>46063</v>
      </c>
      <c r="B413" s="4" t="s">
        <v>309</v>
      </c>
      <c r="C413" s="4" t="s">
        <v>79</v>
      </c>
      <c r="D413" s="59">
        <v>4500</v>
      </c>
      <c r="E413" s="4" t="s">
        <v>29</v>
      </c>
      <c r="F413" s="4" t="s">
        <v>29</v>
      </c>
      <c r="H413" s="4" t="s">
        <v>196</v>
      </c>
      <c r="K413" s="4" t="s">
        <v>153</v>
      </c>
      <c r="L413" s="4" t="s">
        <v>98</v>
      </c>
      <c r="N413" s="13">
        <v>0</v>
      </c>
      <c r="O413" s="4">
        <f t="shared" si="17"/>
        <v>0</v>
      </c>
      <c r="P413" s="59">
        <f t="shared" si="18"/>
        <v>4500</v>
      </c>
      <c r="Q413" s="4" t="s">
        <v>97</v>
      </c>
      <c r="R413" s="4" t="s">
        <v>137</v>
      </c>
    </row>
    <row r="414" spans="1:18" ht="22.5" customHeight="1" x14ac:dyDescent="0.25">
      <c r="A414" s="76">
        <v>46063</v>
      </c>
      <c r="B414" s="4" t="s">
        <v>553</v>
      </c>
      <c r="C414" s="4" t="s">
        <v>79</v>
      </c>
      <c r="D414" s="59">
        <v>800</v>
      </c>
      <c r="E414" s="4" t="s">
        <v>22</v>
      </c>
      <c r="F414" s="4" t="s">
        <v>253</v>
      </c>
      <c r="H414" s="4" t="s">
        <v>338</v>
      </c>
      <c r="K414" s="4" t="s">
        <v>554</v>
      </c>
      <c r="L414" s="4" t="s">
        <v>98</v>
      </c>
      <c r="N414" s="13">
        <v>0</v>
      </c>
      <c r="O414" s="4">
        <f t="shared" si="17"/>
        <v>0</v>
      </c>
      <c r="P414" s="59">
        <f t="shared" si="18"/>
        <v>800</v>
      </c>
      <c r="Q414" s="4" t="s">
        <v>97</v>
      </c>
      <c r="R414" s="4" t="s">
        <v>137</v>
      </c>
    </row>
    <row r="415" spans="1:18" ht="22.5" customHeight="1" x14ac:dyDescent="0.25">
      <c r="A415" s="76">
        <v>46063</v>
      </c>
      <c r="B415" s="4" t="s">
        <v>161</v>
      </c>
      <c r="C415" s="4" t="s">
        <v>79</v>
      </c>
      <c r="D415" s="59">
        <v>5000</v>
      </c>
      <c r="E415" s="4" t="s">
        <v>22</v>
      </c>
      <c r="F415" s="4" t="s">
        <v>25</v>
      </c>
      <c r="H415" s="4" t="s">
        <v>196</v>
      </c>
      <c r="K415" s="4" t="s">
        <v>162</v>
      </c>
      <c r="L415" s="4" t="s">
        <v>163</v>
      </c>
      <c r="N415" s="13">
        <v>0</v>
      </c>
      <c r="O415" s="4">
        <f t="shared" si="17"/>
        <v>0</v>
      </c>
      <c r="P415" s="59">
        <f t="shared" si="18"/>
        <v>5000</v>
      </c>
      <c r="Q415" s="4" t="s">
        <v>97</v>
      </c>
      <c r="R415" s="4" t="s">
        <v>137</v>
      </c>
    </row>
    <row r="416" spans="1:18" ht="22.5" customHeight="1" x14ac:dyDescent="0.25">
      <c r="A416" s="76">
        <v>46063</v>
      </c>
      <c r="B416" s="4" t="s">
        <v>555</v>
      </c>
      <c r="C416" s="4" t="s">
        <v>79</v>
      </c>
      <c r="D416" s="59">
        <v>400</v>
      </c>
      <c r="E416" s="4" t="s">
        <v>22</v>
      </c>
      <c r="F416" s="4" t="s">
        <v>253</v>
      </c>
      <c r="H416" s="4" t="s">
        <v>338</v>
      </c>
      <c r="K416" s="4" t="s">
        <v>153</v>
      </c>
      <c r="L416" s="4" t="s">
        <v>154</v>
      </c>
      <c r="N416" s="13">
        <v>0</v>
      </c>
      <c r="O416" s="4">
        <f t="shared" si="17"/>
        <v>0</v>
      </c>
      <c r="P416" s="59">
        <f t="shared" si="18"/>
        <v>400</v>
      </c>
      <c r="Q416" s="4" t="s">
        <v>97</v>
      </c>
      <c r="R416" s="4" t="s">
        <v>137</v>
      </c>
    </row>
    <row r="417" spans="1:18" ht="22.5" customHeight="1" x14ac:dyDescent="0.25">
      <c r="A417" s="76">
        <v>46064</v>
      </c>
      <c r="B417" s="4" t="s">
        <v>556</v>
      </c>
      <c r="C417" s="4" t="s">
        <v>79</v>
      </c>
      <c r="D417" s="59">
        <v>21.7</v>
      </c>
      <c r="E417" s="4" t="s">
        <v>22</v>
      </c>
      <c r="F417" s="4" t="s">
        <v>166</v>
      </c>
      <c r="G417" s="18" t="s">
        <v>538</v>
      </c>
      <c r="H417" s="4" t="s">
        <v>80</v>
      </c>
      <c r="K417" s="4" t="s">
        <v>533</v>
      </c>
      <c r="L417" s="4" t="s">
        <v>98</v>
      </c>
      <c r="N417" s="13">
        <v>15</v>
      </c>
      <c r="O417" s="4">
        <f t="shared" si="17"/>
        <v>3.26</v>
      </c>
      <c r="P417" s="59">
        <f t="shared" si="18"/>
        <v>24.96</v>
      </c>
      <c r="Q417" s="4" t="s">
        <v>97</v>
      </c>
      <c r="R417" s="4" t="s">
        <v>191</v>
      </c>
    </row>
    <row r="418" spans="1:18" ht="22.5" customHeight="1" x14ac:dyDescent="0.25">
      <c r="A418" s="76">
        <v>46064</v>
      </c>
      <c r="B418" s="4" t="s">
        <v>557</v>
      </c>
      <c r="C418" s="4" t="s">
        <v>79</v>
      </c>
      <c r="D418" s="59">
        <v>5000</v>
      </c>
      <c r="E418" s="4" t="s">
        <v>22</v>
      </c>
      <c r="F418" s="4" t="s">
        <v>166</v>
      </c>
      <c r="G418" s="18" t="s">
        <v>456</v>
      </c>
      <c r="H418" s="4" t="s">
        <v>80</v>
      </c>
      <c r="K418" s="4" t="s">
        <v>447</v>
      </c>
      <c r="L418" s="4" t="s">
        <v>98</v>
      </c>
      <c r="N418" s="13">
        <v>0</v>
      </c>
      <c r="O418" s="4">
        <f t="shared" si="17"/>
        <v>0</v>
      </c>
      <c r="P418" s="59">
        <f t="shared" si="18"/>
        <v>5000</v>
      </c>
      <c r="Q418" s="4" t="s">
        <v>97</v>
      </c>
      <c r="R418" s="4" t="s">
        <v>191</v>
      </c>
    </row>
    <row r="419" spans="1:18" s="6" customFormat="1" ht="22.5" customHeight="1" x14ac:dyDescent="0.25">
      <c r="A419" s="83">
        <v>46064</v>
      </c>
      <c r="B419" s="6" t="s">
        <v>560</v>
      </c>
      <c r="C419" s="6" t="s">
        <v>88</v>
      </c>
      <c r="D419" s="60">
        <v>8400</v>
      </c>
      <c r="E419" s="6" t="s">
        <v>22</v>
      </c>
      <c r="F419" s="6" t="s">
        <v>89</v>
      </c>
      <c r="G419" s="6" t="s">
        <v>536</v>
      </c>
      <c r="H419" s="6" t="s">
        <v>196</v>
      </c>
      <c r="K419" s="6" t="s">
        <v>364</v>
      </c>
      <c r="L419" s="6" t="s">
        <v>86</v>
      </c>
      <c r="M419" s="68" t="s">
        <v>764</v>
      </c>
      <c r="N419" s="14">
        <v>15</v>
      </c>
      <c r="O419" s="6">
        <f t="shared" si="17"/>
        <v>1260</v>
      </c>
      <c r="P419" s="60">
        <f t="shared" si="18"/>
        <v>9660</v>
      </c>
      <c r="Q419" s="6" t="s">
        <v>97</v>
      </c>
      <c r="R419" s="6" t="s">
        <v>607</v>
      </c>
    </row>
    <row r="420" spans="1:18" ht="22.5" customHeight="1" x14ac:dyDescent="0.25">
      <c r="A420" s="76">
        <v>46064</v>
      </c>
      <c r="B420" s="4" t="s">
        <v>561</v>
      </c>
      <c r="C420" s="4" t="s">
        <v>79</v>
      </c>
      <c r="D420" s="59">
        <v>1000</v>
      </c>
      <c r="E420" s="4" t="s">
        <v>22</v>
      </c>
      <c r="F420" s="4" t="s">
        <v>251</v>
      </c>
      <c r="G420" s="18" t="s">
        <v>536</v>
      </c>
      <c r="H420" s="4" t="s">
        <v>251</v>
      </c>
      <c r="K420" s="4" t="s">
        <v>562</v>
      </c>
      <c r="L420" s="4" t="s">
        <v>98</v>
      </c>
      <c r="N420" s="13">
        <v>0</v>
      </c>
      <c r="O420" s="4">
        <f t="shared" si="17"/>
        <v>0</v>
      </c>
      <c r="P420" s="59">
        <f t="shared" si="18"/>
        <v>1000</v>
      </c>
      <c r="Q420" s="4" t="s">
        <v>97</v>
      </c>
      <c r="R420" s="4" t="s">
        <v>191</v>
      </c>
    </row>
    <row r="421" spans="1:18" ht="22.5" customHeight="1" x14ac:dyDescent="0.25">
      <c r="A421" s="76">
        <v>46064</v>
      </c>
      <c r="B421" s="4" t="s">
        <v>565</v>
      </c>
      <c r="C421" s="4" t="s">
        <v>79</v>
      </c>
      <c r="D421" s="59">
        <v>173.91</v>
      </c>
      <c r="E421" s="4" t="s">
        <v>22</v>
      </c>
      <c r="F421" s="4" t="s">
        <v>203</v>
      </c>
      <c r="H421" s="4" t="s">
        <v>203</v>
      </c>
      <c r="K421" s="4" t="s">
        <v>566</v>
      </c>
      <c r="L421" s="4" t="s">
        <v>98</v>
      </c>
      <c r="N421" s="13">
        <v>15</v>
      </c>
      <c r="O421" s="4">
        <f t="shared" si="17"/>
        <v>26.09</v>
      </c>
      <c r="P421" s="59">
        <f t="shared" si="18"/>
        <v>200</v>
      </c>
      <c r="Q421" s="4" t="s">
        <v>97</v>
      </c>
      <c r="R421" s="4" t="s">
        <v>137</v>
      </c>
    </row>
    <row r="422" spans="1:18" ht="22.5" customHeight="1" x14ac:dyDescent="0.25">
      <c r="A422" s="76">
        <v>46064</v>
      </c>
      <c r="B422" s="4" t="s">
        <v>469</v>
      </c>
      <c r="C422" s="4" t="s">
        <v>79</v>
      </c>
      <c r="D422" s="59">
        <v>100</v>
      </c>
      <c r="E422" s="4" t="s">
        <v>22</v>
      </c>
      <c r="F422" s="4" t="s">
        <v>203</v>
      </c>
      <c r="H422" s="4" t="s">
        <v>203</v>
      </c>
      <c r="K422" s="4" t="s">
        <v>99</v>
      </c>
      <c r="L422" s="4" t="s">
        <v>98</v>
      </c>
      <c r="N422" s="13">
        <v>0</v>
      </c>
      <c r="O422" s="4">
        <f t="shared" si="17"/>
        <v>0</v>
      </c>
      <c r="P422" s="59">
        <f t="shared" si="18"/>
        <v>100</v>
      </c>
      <c r="Q422" s="4" t="s">
        <v>97</v>
      </c>
      <c r="R422" s="4" t="s">
        <v>137</v>
      </c>
    </row>
    <row r="423" spans="1:18" ht="22.5" customHeight="1" x14ac:dyDescent="0.25">
      <c r="A423" s="76">
        <v>46064</v>
      </c>
      <c r="B423" s="4" t="s">
        <v>257</v>
      </c>
      <c r="C423" s="4" t="s">
        <v>79</v>
      </c>
      <c r="D423" s="59">
        <v>88.6</v>
      </c>
      <c r="E423" s="4" t="s">
        <v>22</v>
      </c>
      <c r="F423" s="4" t="s">
        <v>115</v>
      </c>
      <c r="G423" s="18" t="s">
        <v>536</v>
      </c>
      <c r="H423" s="4" t="s">
        <v>115</v>
      </c>
      <c r="K423" s="4" t="s">
        <v>99</v>
      </c>
      <c r="L423" s="4" t="s">
        <v>98</v>
      </c>
      <c r="N423" s="13">
        <v>15</v>
      </c>
      <c r="O423" s="4">
        <f t="shared" si="17"/>
        <v>13.29</v>
      </c>
      <c r="P423" s="59">
        <f t="shared" si="18"/>
        <v>101.88999999999999</v>
      </c>
      <c r="Q423" s="4" t="s">
        <v>97</v>
      </c>
      <c r="R423" s="4" t="s">
        <v>191</v>
      </c>
    </row>
    <row r="424" spans="1:18" ht="22.5" customHeight="1" x14ac:dyDescent="0.25">
      <c r="A424" s="76">
        <v>46064</v>
      </c>
      <c r="B424" s="4" t="s">
        <v>567</v>
      </c>
      <c r="C424" s="4" t="s">
        <v>79</v>
      </c>
      <c r="D424" s="59">
        <v>15</v>
      </c>
      <c r="E424" s="4" t="s">
        <v>22</v>
      </c>
      <c r="F424" s="4" t="s">
        <v>568</v>
      </c>
      <c r="H424" s="4" t="s">
        <v>543</v>
      </c>
      <c r="K424" s="4" t="s">
        <v>99</v>
      </c>
      <c r="L424" s="4" t="s">
        <v>98</v>
      </c>
      <c r="N424" s="13">
        <v>0</v>
      </c>
      <c r="O424" s="4">
        <f t="shared" si="17"/>
        <v>0</v>
      </c>
      <c r="P424" s="59">
        <f t="shared" si="18"/>
        <v>15</v>
      </c>
      <c r="Q424" s="4" t="s">
        <v>97</v>
      </c>
      <c r="R424" s="4" t="s">
        <v>137</v>
      </c>
    </row>
    <row r="425" spans="1:18" ht="22.5" customHeight="1" x14ac:dyDescent="0.25">
      <c r="A425" s="76">
        <v>46064</v>
      </c>
      <c r="B425" s="4" t="s">
        <v>569</v>
      </c>
      <c r="C425" s="4" t="s">
        <v>79</v>
      </c>
      <c r="D425" s="59">
        <v>25</v>
      </c>
      <c r="E425" s="4" t="s">
        <v>22</v>
      </c>
      <c r="F425" s="4" t="s">
        <v>166</v>
      </c>
      <c r="G425" s="18" t="s">
        <v>538</v>
      </c>
      <c r="H425" s="4" t="s">
        <v>80</v>
      </c>
      <c r="K425" s="4" t="s">
        <v>99</v>
      </c>
      <c r="L425" s="4" t="s">
        <v>98</v>
      </c>
      <c r="N425" s="13">
        <v>0</v>
      </c>
      <c r="O425" s="4">
        <f t="shared" si="17"/>
        <v>0</v>
      </c>
      <c r="P425" s="59">
        <f t="shared" si="18"/>
        <v>25</v>
      </c>
      <c r="Q425" s="4" t="s">
        <v>97</v>
      </c>
      <c r="R425" s="4" t="s">
        <v>137</v>
      </c>
    </row>
    <row r="426" spans="1:18" ht="22.5" customHeight="1" x14ac:dyDescent="0.25">
      <c r="A426" s="76">
        <v>46065</v>
      </c>
      <c r="B426" s="4" t="s">
        <v>257</v>
      </c>
      <c r="C426" s="4" t="s">
        <v>79</v>
      </c>
      <c r="D426" s="59">
        <v>86.96</v>
      </c>
      <c r="E426" s="4" t="s">
        <v>22</v>
      </c>
      <c r="F426" s="4" t="s">
        <v>115</v>
      </c>
      <c r="G426" s="18" t="s">
        <v>536</v>
      </c>
      <c r="H426" s="4" t="s">
        <v>115</v>
      </c>
      <c r="K426" s="4" t="s">
        <v>99</v>
      </c>
      <c r="L426" s="4" t="s">
        <v>98</v>
      </c>
      <c r="N426" s="13">
        <v>15</v>
      </c>
      <c r="O426" s="4">
        <f t="shared" si="17"/>
        <v>13.04</v>
      </c>
      <c r="P426" s="59">
        <f t="shared" si="18"/>
        <v>100</v>
      </c>
      <c r="Q426" s="4" t="s">
        <v>97</v>
      </c>
      <c r="R426" s="4" t="s">
        <v>191</v>
      </c>
    </row>
    <row r="427" spans="1:18" ht="22.5" customHeight="1" x14ac:dyDescent="0.25">
      <c r="A427" s="76">
        <v>46065</v>
      </c>
      <c r="B427" s="4" t="s">
        <v>75</v>
      </c>
      <c r="C427" s="4" t="s">
        <v>79</v>
      </c>
      <c r="D427" s="59">
        <v>93.48</v>
      </c>
      <c r="E427" s="4" t="s">
        <v>22</v>
      </c>
      <c r="F427" s="4" t="s">
        <v>57</v>
      </c>
      <c r="G427" s="18" t="s">
        <v>538</v>
      </c>
      <c r="H427" s="4" t="s">
        <v>81</v>
      </c>
      <c r="K427" s="4" t="s">
        <v>99</v>
      </c>
      <c r="L427" s="4" t="s">
        <v>98</v>
      </c>
      <c r="N427" s="13">
        <v>15</v>
      </c>
      <c r="O427" s="4">
        <f t="shared" si="17"/>
        <v>14.02</v>
      </c>
      <c r="P427" s="59">
        <f t="shared" si="18"/>
        <v>107.5</v>
      </c>
      <c r="Q427" s="4" t="s">
        <v>97</v>
      </c>
      <c r="R427" s="4" t="s">
        <v>191</v>
      </c>
    </row>
    <row r="428" spans="1:18" ht="22.5" customHeight="1" x14ac:dyDescent="0.25">
      <c r="A428" s="76">
        <v>46065</v>
      </c>
      <c r="B428" s="4" t="s">
        <v>75</v>
      </c>
      <c r="C428" s="4" t="s">
        <v>79</v>
      </c>
      <c r="D428" s="59">
        <v>19</v>
      </c>
      <c r="E428" s="4" t="s">
        <v>22</v>
      </c>
      <c r="F428" s="4" t="s">
        <v>57</v>
      </c>
      <c r="H428" s="4" t="s">
        <v>81</v>
      </c>
      <c r="K428" s="4" t="s">
        <v>99</v>
      </c>
      <c r="L428" s="4" t="s">
        <v>98</v>
      </c>
      <c r="N428" s="13">
        <v>0</v>
      </c>
      <c r="O428" s="4">
        <f t="shared" si="17"/>
        <v>0</v>
      </c>
      <c r="P428" s="59">
        <f t="shared" si="18"/>
        <v>19</v>
      </c>
      <c r="Q428" s="4" t="s">
        <v>97</v>
      </c>
      <c r="R428" s="4" t="s">
        <v>137</v>
      </c>
    </row>
    <row r="429" spans="1:18" ht="22.5" customHeight="1" x14ac:dyDescent="0.25">
      <c r="A429" s="76">
        <v>46065</v>
      </c>
      <c r="B429" s="4" t="s">
        <v>570</v>
      </c>
      <c r="C429" s="4" t="s">
        <v>79</v>
      </c>
      <c r="D429" s="59">
        <v>1100</v>
      </c>
      <c r="E429" s="4" t="s">
        <v>22</v>
      </c>
      <c r="F429" s="4" t="s">
        <v>249</v>
      </c>
      <c r="G429" s="18" t="s">
        <v>521</v>
      </c>
      <c r="H429" s="4" t="s">
        <v>206</v>
      </c>
      <c r="K429" s="4" t="s">
        <v>502</v>
      </c>
      <c r="L429" s="4" t="s">
        <v>98</v>
      </c>
      <c r="N429" s="13">
        <v>0</v>
      </c>
      <c r="O429" s="4">
        <f t="shared" si="17"/>
        <v>0</v>
      </c>
      <c r="P429" s="59">
        <f t="shared" si="18"/>
        <v>1100</v>
      </c>
      <c r="Q429" s="4" t="s">
        <v>97</v>
      </c>
      <c r="R429" s="4" t="s">
        <v>137</v>
      </c>
    </row>
    <row r="430" spans="1:18" ht="22.5" customHeight="1" x14ac:dyDescent="0.25">
      <c r="A430" s="76">
        <v>46065</v>
      </c>
      <c r="B430" s="4" t="s">
        <v>571</v>
      </c>
      <c r="C430" s="4" t="s">
        <v>79</v>
      </c>
      <c r="D430" s="59">
        <v>152.25</v>
      </c>
      <c r="E430" s="4" t="s">
        <v>22</v>
      </c>
      <c r="F430" s="4" t="s">
        <v>166</v>
      </c>
      <c r="G430" s="18" t="s">
        <v>538</v>
      </c>
      <c r="H430" s="4" t="s">
        <v>80</v>
      </c>
      <c r="K430" s="4" t="s">
        <v>134</v>
      </c>
      <c r="L430" s="4" t="s">
        <v>98</v>
      </c>
      <c r="N430" s="13">
        <v>15</v>
      </c>
      <c r="O430" s="4">
        <f t="shared" si="17"/>
        <v>22.84</v>
      </c>
      <c r="P430" s="59">
        <f t="shared" si="18"/>
        <v>175.09</v>
      </c>
      <c r="Q430" s="4" t="s">
        <v>97</v>
      </c>
      <c r="R430" s="4" t="s">
        <v>191</v>
      </c>
    </row>
    <row r="431" spans="1:18" ht="22.5" customHeight="1" x14ac:dyDescent="0.25">
      <c r="A431" s="76">
        <v>46066</v>
      </c>
      <c r="B431" s="4" t="s">
        <v>75</v>
      </c>
      <c r="C431" s="4" t="s">
        <v>79</v>
      </c>
      <c r="D431" s="59">
        <v>20</v>
      </c>
      <c r="E431" s="4" t="s">
        <v>22</v>
      </c>
      <c r="F431" s="4" t="s">
        <v>57</v>
      </c>
      <c r="H431" s="4" t="s">
        <v>81</v>
      </c>
      <c r="K431" s="4" t="s">
        <v>99</v>
      </c>
      <c r="L431" s="4" t="s">
        <v>98</v>
      </c>
      <c r="N431" s="13">
        <v>0</v>
      </c>
      <c r="O431" s="4">
        <f t="shared" si="17"/>
        <v>0</v>
      </c>
      <c r="P431" s="59">
        <f t="shared" si="18"/>
        <v>20</v>
      </c>
      <c r="Q431" s="4" t="s">
        <v>97</v>
      </c>
      <c r="R431" s="4" t="s">
        <v>137</v>
      </c>
    </row>
    <row r="432" spans="1:18" ht="22.5" customHeight="1" x14ac:dyDescent="0.25">
      <c r="A432" s="76">
        <v>46067</v>
      </c>
      <c r="B432" s="4" t="s">
        <v>257</v>
      </c>
      <c r="C432" s="4" t="s">
        <v>79</v>
      </c>
      <c r="D432" s="59">
        <v>43.48</v>
      </c>
      <c r="E432" s="4" t="s">
        <v>22</v>
      </c>
      <c r="F432" s="4" t="s">
        <v>115</v>
      </c>
      <c r="G432" s="18" t="s">
        <v>536</v>
      </c>
      <c r="H432" s="4" t="s">
        <v>115</v>
      </c>
      <c r="K432" s="4" t="s">
        <v>99</v>
      </c>
      <c r="L432" s="4" t="s">
        <v>98</v>
      </c>
      <c r="N432" s="13">
        <v>15</v>
      </c>
      <c r="O432" s="4">
        <f t="shared" si="17"/>
        <v>6.52</v>
      </c>
      <c r="P432" s="59">
        <f t="shared" si="18"/>
        <v>50</v>
      </c>
      <c r="Q432" s="4" t="s">
        <v>97</v>
      </c>
      <c r="R432" s="4" t="s">
        <v>191</v>
      </c>
    </row>
    <row r="433" spans="1:18" ht="22.5" customHeight="1" x14ac:dyDescent="0.25">
      <c r="A433" s="76">
        <v>46067</v>
      </c>
      <c r="B433" s="4" t="s">
        <v>75</v>
      </c>
      <c r="C433" s="4" t="s">
        <v>79</v>
      </c>
      <c r="D433" s="59">
        <v>8.6999999999999993</v>
      </c>
      <c r="E433" s="4" t="s">
        <v>22</v>
      </c>
      <c r="F433" s="4" t="s">
        <v>57</v>
      </c>
      <c r="G433" s="18" t="s">
        <v>536</v>
      </c>
      <c r="H433" s="4" t="s">
        <v>81</v>
      </c>
      <c r="K433" s="4" t="s">
        <v>99</v>
      </c>
      <c r="L433" s="4" t="s">
        <v>98</v>
      </c>
      <c r="N433" s="13">
        <v>15</v>
      </c>
      <c r="O433" s="4">
        <f t="shared" si="17"/>
        <v>1.31</v>
      </c>
      <c r="P433" s="59">
        <f t="shared" si="18"/>
        <v>10.01</v>
      </c>
      <c r="Q433" s="4" t="s">
        <v>97</v>
      </c>
      <c r="R433" s="4" t="s">
        <v>191</v>
      </c>
    </row>
    <row r="434" spans="1:18" ht="22.5" customHeight="1" x14ac:dyDescent="0.25">
      <c r="A434" s="76">
        <v>46067</v>
      </c>
      <c r="B434" s="4" t="s">
        <v>75</v>
      </c>
      <c r="C434" s="4" t="s">
        <v>79</v>
      </c>
      <c r="D434" s="59">
        <v>40</v>
      </c>
      <c r="E434" s="4" t="s">
        <v>22</v>
      </c>
      <c r="F434" s="4" t="s">
        <v>57</v>
      </c>
      <c r="G434" s="18" t="s">
        <v>538</v>
      </c>
      <c r="H434" s="4" t="s">
        <v>81</v>
      </c>
      <c r="K434" s="4" t="s">
        <v>99</v>
      </c>
      <c r="L434" s="4" t="s">
        <v>98</v>
      </c>
      <c r="N434" s="13">
        <v>0</v>
      </c>
      <c r="O434" s="4">
        <f t="shared" si="17"/>
        <v>0</v>
      </c>
      <c r="P434" s="59">
        <f t="shared" si="18"/>
        <v>40</v>
      </c>
      <c r="Q434" s="4" t="s">
        <v>97</v>
      </c>
      <c r="R434" s="4" t="s">
        <v>191</v>
      </c>
    </row>
    <row r="435" spans="1:18" ht="22.5" customHeight="1" x14ac:dyDescent="0.25">
      <c r="A435" s="76">
        <v>46067</v>
      </c>
      <c r="B435" s="4" t="s">
        <v>574</v>
      </c>
      <c r="C435" s="4" t="s">
        <v>79</v>
      </c>
      <c r="D435" s="59">
        <v>463</v>
      </c>
      <c r="E435" s="4" t="s">
        <v>22</v>
      </c>
      <c r="F435" s="4" t="s">
        <v>166</v>
      </c>
      <c r="G435" s="18" t="s">
        <v>536</v>
      </c>
      <c r="H435" s="4" t="s">
        <v>80</v>
      </c>
      <c r="K435" s="4" t="s">
        <v>539</v>
      </c>
      <c r="L435" s="4" t="s">
        <v>98</v>
      </c>
      <c r="N435" s="13">
        <v>15</v>
      </c>
      <c r="O435" s="4">
        <f t="shared" si="17"/>
        <v>69.45</v>
      </c>
      <c r="P435" s="59">
        <f t="shared" si="18"/>
        <v>532.45000000000005</v>
      </c>
      <c r="Q435" s="4" t="s">
        <v>97</v>
      </c>
      <c r="R435" s="4" t="s">
        <v>191</v>
      </c>
    </row>
    <row r="436" spans="1:18" ht="22.5" customHeight="1" x14ac:dyDescent="0.25">
      <c r="A436" s="76">
        <v>46067</v>
      </c>
      <c r="B436" s="4" t="s">
        <v>575</v>
      </c>
      <c r="C436" s="4" t="s">
        <v>79</v>
      </c>
      <c r="D436" s="59">
        <v>2391.3000000000002</v>
      </c>
      <c r="E436" s="4" t="s">
        <v>22</v>
      </c>
      <c r="F436" s="4" t="s">
        <v>166</v>
      </c>
      <c r="G436" s="18" t="s">
        <v>448</v>
      </c>
      <c r="H436" s="4" t="s">
        <v>80</v>
      </c>
      <c r="K436" s="4" t="s">
        <v>576</v>
      </c>
      <c r="L436" s="4" t="s">
        <v>98</v>
      </c>
      <c r="N436" s="13">
        <v>15</v>
      </c>
      <c r="O436" s="4">
        <f t="shared" si="17"/>
        <v>358.7</v>
      </c>
      <c r="P436" s="59">
        <f t="shared" si="18"/>
        <v>2750</v>
      </c>
      <c r="Q436" s="4" t="s">
        <v>97</v>
      </c>
      <c r="R436" s="4" t="s">
        <v>191</v>
      </c>
    </row>
    <row r="437" spans="1:18" ht="22.5" customHeight="1" x14ac:dyDescent="0.25">
      <c r="A437" s="76">
        <v>46067</v>
      </c>
      <c r="B437" s="4" t="s">
        <v>577</v>
      </c>
      <c r="C437" s="4" t="s">
        <v>79</v>
      </c>
      <c r="D437" s="59">
        <v>4000</v>
      </c>
      <c r="E437" s="4" t="s">
        <v>22</v>
      </c>
      <c r="F437" s="4" t="s">
        <v>249</v>
      </c>
      <c r="G437" s="18" t="s">
        <v>456</v>
      </c>
      <c r="H437" s="4" t="s">
        <v>206</v>
      </c>
      <c r="K437" s="4" t="s">
        <v>447</v>
      </c>
      <c r="L437" s="4" t="s">
        <v>98</v>
      </c>
      <c r="N437" s="13">
        <v>0</v>
      </c>
      <c r="O437" s="4">
        <f t="shared" si="17"/>
        <v>0</v>
      </c>
      <c r="P437" s="59">
        <f t="shared" si="18"/>
        <v>4000</v>
      </c>
      <c r="Q437" s="4" t="s">
        <v>97</v>
      </c>
      <c r="R437" s="4" t="s">
        <v>191</v>
      </c>
    </row>
    <row r="438" spans="1:18" ht="22.5" customHeight="1" x14ac:dyDescent="0.25">
      <c r="A438" s="76">
        <v>46068</v>
      </c>
      <c r="B438" s="4" t="s">
        <v>579</v>
      </c>
      <c r="C438" s="4" t="s">
        <v>79</v>
      </c>
      <c r="D438" s="59">
        <v>300</v>
      </c>
      <c r="E438" s="4" t="s">
        <v>22</v>
      </c>
      <c r="F438" s="4" t="s">
        <v>470</v>
      </c>
      <c r="G438" s="18" t="s">
        <v>538</v>
      </c>
      <c r="H438" s="4" t="s">
        <v>470</v>
      </c>
      <c r="K438" s="4" t="s">
        <v>578</v>
      </c>
      <c r="L438" s="4" t="s">
        <v>98</v>
      </c>
      <c r="N438" s="13">
        <v>0</v>
      </c>
      <c r="O438" s="4">
        <f t="shared" si="17"/>
        <v>0</v>
      </c>
      <c r="P438" s="59">
        <f t="shared" si="18"/>
        <v>300</v>
      </c>
      <c r="Q438" s="4" t="s">
        <v>97</v>
      </c>
      <c r="R438" s="4" t="s">
        <v>191</v>
      </c>
    </row>
    <row r="439" spans="1:18" ht="22.5" customHeight="1" x14ac:dyDescent="0.25">
      <c r="A439" s="76">
        <v>46068</v>
      </c>
      <c r="B439" s="4" t="s">
        <v>257</v>
      </c>
      <c r="C439" s="4" t="s">
        <v>79</v>
      </c>
      <c r="D439" s="59">
        <v>86.96</v>
      </c>
      <c r="E439" s="4" t="s">
        <v>22</v>
      </c>
      <c r="F439" s="4" t="s">
        <v>115</v>
      </c>
      <c r="G439" s="18" t="s">
        <v>536</v>
      </c>
      <c r="H439" s="4" t="s">
        <v>115</v>
      </c>
      <c r="K439" s="4" t="s">
        <v>99</v>
      </c>
      <c r="L439" s="4" t="s">
        <v>98</v>
      </c>
      <c r="N439" s="13">
        <v>15</v>
      </c>
      <c r="O439" s="4">
        <f t="shared" si="17"/>
        <v>13.04</v>
      </c>
      <c r="P439" s="59">
        <f t="shared" si="18"/>
        <v>100</v>
      </c>
      <c r="Q439" s="4" t="s">
        <v>97</v>
      </c>
      <c r="R439" s="4" t="s">
        <v>191</v>
      </c>
    </row>
    <row r="440" spans="1:18" ht="22.5" customHeight="1" x14ac:dyDescent="0.25">
      <c r="A440" s="76">
        <v>46068</v>
      </c>
      <c r="B440" s="4" t="s">
        <v>580</v>
      </c>
      <c r="C440" s="4" t="s">
        <v>79</v>
      </c>
      <c r="D440" s="59">
        <v>208</v>
      </c>
      <c r="E440" s="4" t="s">
        <v>22</v>
      </c>
      <c r="F440" s="4" t="s">
        <v>166</v>
      </c>
      <c r="G440" s="18" t="s">
        <v>521</v>
      </c>
      <c r="H440" s="4" t="s">
        <v>80</v>
      </c>
      <c r="K440" s="4" t="s">
        <v>298</v>
      </c>
      <c r="L440" s="4" t="s">
        <v>98</v>
      </c>
      <c r="N440" s="13">
        <v>15</v>
      </c>
      <c r="O440" s="4">
        <f t="shared" si="17"/>
        <v>31.2</v>
      </c>
      <c r="P440" s="59">
        <f t="shared" si="18"/>
        <v>239.2</v>
      </c>
      <c r="Q440" s="4" t="s">
        <v>97</v>
      </c>
      <c r="R440" s="4" t="s">
        <v>191</v>
      </c>
    </row>
    <row r="441" spans="1:18" ht="22.5" customHeight="1" x14ac:dyDescent="0.25">
      <c r="A441" s="76">
        <v>46068</v>
      </c>
      <c r="B441" s="4" t="s">
        <v>581</v>
      </c>
      <c r="C441" s="4" t="s">
        <v>79</v>
      </c>
      <c r="D441" s="59">
        <v>100</v>
      </c>
      <c r="E441" s="4" t="s">
        <v>22</v>
      </c>
      <c r="F441" s="4" t="s">
        <v>166</v>
      </c>
      <c r="G441" s="18" t="s">
        <v>536</v>
      </c>
      <c r="H441" s="4" t="s">
        <v>80</v>
      </c>
      <c r="K441" s="4" t="s">
        <v>582</v>
      </c>
      <c r="L441" s="4" t="s">
        <v>98</v>
      </c>
      <c r="N441" s="13">
        <v>15</v>
      </c>
      <c r="O441" s="4">
        <f t="shared" si="17"/>
        <v>15</v>
      </c>
      <c r="P441" s="59">
        <f t="shared" si="18"/>
        <v>115</v>
      </c>
      <c r="Q441" s="4" t="s">
        <v>97</v>
      </c>
      <c r="R441" s="4" t="s">
        <v>191</v>
      </c>
    </row>
    <row r="442" spans="1:18" ht="22.5" customHeight="1" x14ac:dyDescent="0.25">
      <c r="A442" s="76">
        <v>46068</v>
      </c>
      <c r="B442" s="4" t="s">
        <v>583</v>
      </c>
      <c r="C442" s="4" t="s">
        <v>79</v>
      </c>
      <c r="D442" s="59">
        <v>21.78</v>
      </c>
      <c r="E442" s="4" t="s">
        <v>22</v>
      </c>
      <c r="F442" s="4" t="s">
        <v>166</v>
      </c>
      <c r="G442" s="18" t="s">
        <v>538</v>
      </c>
      <c r="H442" s="4" t="s">
        <v>80</v>
      </c>
      <c r="K442" s="4" t="s">
        <v>392</v>
      </c>
      <c r="L442" s="4" t="s">
        <v>98</v>
      </c>
      <c r="N442" s="13">
        <v>15</v>
      </c>
      <c r="O442" s="4">
        <f t="shared" si="17"/>
        <v>3.27</v>
      </c>
      <c r="P442" s="59">
        <f t="shared" si="18"/>
        <v>25.05</v>
      </c>
      <c r="Q442" s="4" t="s">
        <v>97</v>
      </c>
      <c r="R442" s="4" t="s">
        <v>191</v>
      </c>
    </row>
    <row r="443" spans="1:18" ht="22.5" customHeight="1" x14ac:dyDescent="0.25">
      <c r="A443" s="76">
        <v>46068</v>
      </c>
      <c r="B443" s="4" t="s">
        <v>75</v>
      </c>
      <c r="C443" s="4" t="s">
        <v>79</v>
      </c>
      <c r="D443" s="59">
        <v>27.8</v>
      </c>
      <c r="E443" s="4" t="s">
        <v>22</v>
      </c>
      <c r="F443" s="4" t="s">
        <v>57</v>
      </c>
      <c r="G443" s="18" t="s">
        <v>536</v>
      </c>
      <c r="H443" s="4" t="s">
        <v>81</v>
      </c>
      <c r="K443" s="4" t="s">
        <v>99</v>
      </c>
      <c r="L443" s="4" t="s">
        <v>98</v>
      </c>
      <c r="N443" s="13">
        <v>15</v>
      </c>
      <c r="O443" s="4">
        <f t="shared" si="17"/>
        <v>4.17</v>
      </c>
      <c r="P443" s="59">
        <f t="shared" si="18"/>
        <v>31.97</v>
      </c>
      <c r="Q443" s="4" t="s">
        <v>97</v>
      </c>
      <c r="R443" s="4" t="s">
        <v>191</v>
      </c>
    </row>
    <row r="444" spans="1:18" ht="22.5" customHeight="1" x14ac:dyDescent="0.25">
      <c r="A444" s="76">
        <v>46068</v>
      </c>
      <c r="B444" s="4" t="s">
        <v>583</v>
      </c>
      <c r="C444" s="4" t="s">
        <v>79</v>
      </c>
      <c r="D444" s="59">
        <v>30</v>
      </c>
      <c r="E444" s="4" t="s">
        <v>22</v>
      </c>
      <c r="F444" s="4" t="s">
        <v>166</v>
      </c>
      <c r="G444" s="18" t="s">
        <v>538</v>
      </c>
      <c r="H444" s="4" t="s">
        <v>80</v>
      </c>
      <c r="K444" s="4" t="s">
        <v>584</v>
      </c>
      <c r="L444" s="4" t="s">
        <v>98</v>
      </c>
      <c r="N444" s="13">
        <v>15</v>
      </c>
      <c r="O444" s="4">
        <f t="shared" si="17"/>
        <v>4.5</v>
      </c>
      <c r="P444" s="59">
        <f t="shared" si="18"/>
        <v>34.5</v>
      </c>
      <c r="Q444" s="4" t="s">
        <v>97</v>
      </c>
      <c r="R444" s="4" t="s">
        <v>191</v>
      </c>
    </row>
    <row r="445" spans="1:18" ht="22.5" customHeight="1" x14ac:dyDescent="0.25">
      <c r="A445" s="76">
        <v>46068</v>
      </c>
      <c r="B445" s="4" t="s">
        <v>161</v>
      </c>
      <c r="C445" s="4" t="s">
        <v>79</v>
      </c>
      <c r="D445" s="59">
        <v>2000</v>
      </c>
      <c r="E445" s="4" t="s">
        <v>22</v>
      </c>
      <c r="F445" s="4" t="s">
        <v>25</v>
      </c>
      <c r="H445" s="4" t="s">
        <v>196</v>
      </c>
      <c r="K445" s="4" t="s">
        <v>162</v>
      </c>
      <c r="L445" s="4" t="s">
        <v>163</v>
      </c>
      <c r="N445" s="13">
        <v>0</v>
      </c>
      <c r="O445" s="4">
        <f t="shared" si="17"/>
        <v>0</v>
      </c>
      <c r="P445" s="59">
        <f t="shared" si="18"/>
        <v>2000</v>
      </c>
      <c r="Q445" s="4" t="s">
        <v>97</v>
      </c>
      <c r="R445" s="4" t="s">
        <v>137</v>
      </c>
    </row>
    <row r="446" spans="1:18" ht="22.5" customHeight="1" x14ac:dyDescent="0.25">
      <c r="A446" s="76">
        <v>46068</v>
      </c>
      <c r="B446" s="4" t="s">
        <v>257</v>
      </c>
      <c r="C446" s="4" t="s">
        <v>79</v>
      </c>
      <c r="D446" s="59">
        <v>86.96</v>
      </c>
      <c r="E446" s="4" t="s">
        <v>22</v>
      </c>
      <c r="F446" s="4" t="s">
        <v>115</v>
      </c>
      <c r="G446" s="18" t="s">
        <v>538</v>
      </c>
      <c r="H446" s="4" t="s">
        <v>115</v>
      </c>
      <c r="K446" s="4" t="s">
        <v>99</v>
      </c>
      <c r="L446" s="4" t="s">
        <v>98</v>
      </c>
      <c r="N446" s="13">
        <v>15</v>
      </c>
      <c r="O446" s="4">
        <f t="shared" si="17"/>
        <v>13.04</v>
      </c>
      <c r="P446" s="59">
        <f t="shared" si="18"/>
        <v>100</v>
      </c>
      <c r="Q446" s="4" t="s">
        <v>97</v>
      </c>
      <c r="R446" s="4" t="s">
        <v>191</v>
      </c>
    </row>
    <row r="447" spans="1:18" ht="22.5" customHeight="1" x14ac:dyDescent="0.25">
      <c r="A447" s="76">
        <v>46068</v>
      </c>
      <c r="B447" s="4" t="s">
        <v>75</v>
      </c>
      <c r="C447" s="4" t="s">
        <v>79</v>
      </c>
      <c r="D447" s="59">
        <v>14</v>
      </c>
      <c r="E447" s="4" t="s">
        <v>22</v>
      </c>
      <c r="F447" s="4" t="s">
        <v>57</v>
      </c>
      <c r="G447" s="18" t="s">
        <v>538</v>
      </c>
      <c r="H447" s="4" t="s">
        <v>81</v>
      </c>
      <c r="K447" s="4" t="s">
        <v>99</v>
      </c>
      <c r="L447" s="4" t="s">
        <v>98</v>
      </c>
      <c r="N447" s="13">
        <v>0</v>
      </c>
      <c r="O447" s="4">
        <f t="shared" si="17"/>
        <v>0</v>
      </c>
      <c r="P447" s="59">
        <f t="shared" si="18"/>
        <v>14</v>
      </c>
      <c r="Q447" s="4" t="s">
        <v>97</v>
      </c>
      <c r="R447" s="4" t="s">
        <v>191</v>
      </c>
    </row>
    <row r="448" spans="1:18" ht="22.5" customHeight="1" x14ac:dyDescent="0.25">
      <c r="A448" s="76">
        <v>46068</v>
      </c>
      <c r="B448" s="4" t="s">
        <v>585</v>
      </c>
      <c r="C448" s="4" t="s">
        <v>79</v>
      </c>
      <c r="D448" s="59">
        <v>2000</v>
      </c>
      <c r="E448" s="4" t="s">
        <v>22</v>
      </c>
      <c r="F448" s="4" t="s">
        <v>253</v>
      </c>
      <c r="H448" s="4" t="s">
        <v>338</v>
      </c>
      <c r="K448" s="4" t="s">
        <v>169</v>
      </c>
      <c r="L448" s="4" t="s">
        <v>154</v>
      </c>
      <c r="N448" s="13">
        <v>0</v>
      </c>
      <c r="O448" s="4">
        <f t="shared" si="17"/>
        <v>0</v>
      </c>
      <c r="P448" s="59">
        <f t="shared" si="18"/>
        <v>2000</v>
      </c>
      <c r="Q448" s="4" t="s">
        <v>97</v>
      </c>
      <c r="R448" s="4" t="s">
        <v>137</v>
      </c>
    </row>
    <row r="449" spans="1:18" ht="22.5" customHeight="1" x14ac:dyDescent="0.25">
      <c r="A449" s="76">
        <v>46069</v>
      </c>
      <c r="B449" s="4" t="s">
        <v>586</v>
      </c>
      <c r="C449" s="4" t="s">
        <v>79</v>
      </c>
      <c r="D449" s="59">
        <v>10</v>
      </c>
      <c r="E449" s="4" t="s">
        <v>22</v>
      </c>
      <c r="F449" s="4" t="s">
        <v>568</v>
      </c>
      <c r="H449" s="4" t="s">
        <v>543</v>
      </c>
      <c r="K449" s="4" t="s">
        <v>99</v>
      </c>
      <c r="L449" s="4" t="s">
        <v>98</v>
      </c>
      <c r="N449" s="13">
        <v>0</v>
      </c>
      <c r="O449" s="4">
        <f t="shared" si="17"/>
        <v>0</v>
      </c>
      <c r="P449" s="59">
        <f t="shared" si="18"/>
        <v>10</v>
      </c>
      <c r="Q449" s="4" t="s">
        <v>97</v>
      </c>
      <c r="R449" s="4" t="s">
        <v>191</v>
      </c>
    </row>
    <row r="450" spans="1:18" ht="22.5" customHeight="1" x14ac:dyDescent="0.25">
      <c r="A450" s="76">
        <v>46069</v>
      </c>
      <c r="B450" s="4" t="s">
        <v>587</v>
      </c>
      <c r="C450" s="4" t="s">
        <v>79</v>
      </c>
      <c r="D450" s="59">
        <v>56.55</v>
      </c>
      <c r="E450" s="4" t="s">
        <v>22</v>
      </c>
      <c r="F450" s="4" t="s">
        <v>166</v>
      </c>
      <c r="G450" s="18" t="s">
        <v>538</v>
      </c>
      <c r="H450" s="4" t="s">
        <v>80</v>
      </c>
      <c r="K450" s="4" t="s">
        <v>134</v>
      </c>
      <c r="L450" s="4" t="s">
        <v>98</v>
      </c>
      <c r="N450" s="13">
        <v>15</v>
      </c>
      <c r="O450" s="4">
        <f t="shared" si="17"/>
        <v>8.48</v>
      </c>
      <c r="P450" s="59">
        <f t="shared" si="18"/>
        <v>65.03</v>
      </c>
      <c r="Q450" s="4" t="s">
        <v>97</v>
      </c>
      <c r="R450" s="4" t="s">
        <v>191</v>
      </c>
    </row>
    <row r="451" spans="1:18" ht="22.5" customHeight="1" x14ac:dyDescent="0.25">
      <c r="A451" s="76">
        <v>46069</v>
      </c>
      <c r="B451" s="4" t="s">
        <v>574</v>
      </c>
      <c r="C451" s="4" t="s">
        <v>79</v>
      </c>
      <c r="D451" s="59">
        <v>675</v>
      </c>
      <c r="E451" s="4" t="s">
        <v>22</v>
      </c>
      <c r="F451" s="4" t="s">
        <v>166</v>
      </c>
      <c r="G451" s="18" t="s">
        <v>536</v>
      </c>
      <c r="H451" s="4" t="s">
        <v>80</v>
      </c>
      <c r="K451" s="4" t="s">
        <v>539</v>
      </c>
      <c r="L451" s="4" t="s">
        <v>98</v>
      </c>
      <c r="N451" s="13">
        <v>15</v>
      </c>
      <c r="O451" s="4">
        <f t="shared" si="17"/>
        <v>101.25</v>
      </c>
      <c r="P451" s="59">
        <f t="shared" si="18"/>
        <v>776.25</v>
      </c>
      <c r="Q451" s="4" t="s">
        <v>97</v>
      </c>
      <c r="R451" s="4" t="s">
        <v>191</v>
      </c>
    </row>
    <row r="452" spans="1:18" ht="22.5" customHeight="1" x14ac:dyDescent="0.25">
      <c r="A452" s="76">
        <v>46069</v>
      </c>
      <c r="B452" s="4" t="s">
        <v>75</v>
      </c>
      <c r="C452" s="4" t="s">
        <v>79</v>
      </c>
      <c r="D452" s="59">
        <v>13.91</v>
      </c>
      <c r="E452" s="4" t="s">
        <v>22</v>
      </c>
      <c r="F452" s="4" t="s">
        <v>57</v>
      </c>
      <c r="G452" s="18" t="s">
        <v>536</v>
      </c>
      <c r="H452" s="4" t="s">
        <v>81</v>
      </c>
      <c r="K452" s="4" t="s">
        <v>99</v>
      </c>
      <c r="L452" s="4" t="s">
        <v>98</v>
      </c>
      <c r="N452" s="13">
        <v>15</v>
      </c>
      <c r="O452" s="4">
        <f t="shared" si="17"/>
        <v>2.09</v>
      </c>
      <c r="P452" s="59">
        <f t="shared" si="18"/>
        <v>16</v>
      </c>
      <c r="Q452" s="4" t="s">
        <v>97</v>
      </c>
      <c r="R452" s="4" t="s">
        <v>191</v>
      </c>
    </row>
    <row r="453" spans="1:18" ht="22.5" customHeight="1" x14ac:dyDescent="0.25">
      <c r="A453" s="76">
        <v>46069</v>
      </c>
      <c r="B453" s="4" t="s">
        <v>257</v>
      </c>
      <c r="C453" s="4" t="s">
        <v>79</v>
      </c>
      <c r="D453" s="59">
        <v>58.27</v>
      </c>
      <c r="E453" s="4" t="s">
        <v>22</v>
      </c>
      <c r="F453" s="4" t="s">
        <v>115</v>
      </c>
      <c r="G453" s="18" t="s">
        <v>536</v>
      </c>
      <c r="H453" s="4" t="s">
        <v>115</v>
      </c>
      <c r="K453" s="4" t="s">
        <v>99</v>
      </c>
      <c r="L453" s="4" t="s">
        <v>98</v>
      </c>
      <c r="N453" s="13">
        <v>15</v>
      </c>
      <c r="O453" s="4">
        <f t="shared" si="17"/>
        <v>8.74</v>
      </c>
      <c r="P453" s="59">
        <f t="shared" si="18"/>
        <v>67.010000000000005</v>
      </c>
      <c r="Q453" s="4" t="s">
        <v>97</v>
      </c>
      <c r="R453" s="4" t="s">
        <v>191</v>
      </c>
    </row>
    <row r="454" spans="1:18" ht="22.5" customHeight="1" x14ac:dyDescent="0.25">
      <c r="A454" s="76">
        <v>46069</v>
      </c>
      <c r="B454" s="4" t="s">
        <v>557</v>
      </c>
      <c r="C454" s="4" t="s">
        <v>79</v>
      </c>
      <c r="D454" s="59">
        <v>2000</v>
      </c>
      <c r="E454" s="4" t="s">
        <v>22</v>
      </c>
      <c r="F454" s="4" t="s">
        <v>249</v>
      </c>
      <c r="G454" s="18" t="s">
        <v>456</v>
      </c>
      <c r="H454" s="4" t="s">
        <v>206</v>
      </c>
      <c r="K454" s="4" t="s">
        <v>447</v>
      </c>
      <c r="L454" s="4" t="s">
        <v>98</v>
      </c>
      <c r="N454" s="13">
        <v>0</v>
      </c>
      <c r="O454" s="4">
        <f t="shared" si="17"/>
        <v>0</v>
      </c>
      <c r="P454" s="59">
        <f t="shared" si="18"/>
        <v>2000</v>
      </c>
      <c r="Q454" s="4" t="s">
        <v>97</v>
      </c>
      <c r="R454" s="4" t="s">
        <v>191</v>
      </c>
    </row>
    <row r="455" spans="1:18" ht="22.5" customHeight="1" x14ac:dyDescent="0.25">
      <c r="A455" s="76">
        <v>46069</v>
      </c>
      <c r="B455" s="4" t="s">
        <v>161</v>
      </c>
      <c r="C455" s="4" t="s">
        <v>79</v>
      </c>
      <c r="D455" s="59">
        <v>500</v>
      </c>
      <c r="E455" s="4" t="s">
        <v>22</v>
      </c>
      <c r="F455" s="4" t="s">
        <v>25</v>
      </c>
      <c r="H455" s="4" t="s">
        <v>196</v>
      </c>
      <c r="K455" s="4" t="s">
        <v>162</v>
      </c>
      <c r="L455" s="4" t="s">
        <v>163</v>
      </c>
      <c r="N455" s="13">
        <v>0</v>
      </c>
      <c r="O455" s="4">
        <f t="shared" si="17"/>
        <v>0</v>
      </c>
      <c r="P455" s="59">
        <f t="shared" si="18"/>
        <v>500</v>
      </c>
      <c r="Q455" s="4" t="s">
        <v>97</v>
      </c>
      <c r="R455" s="4" t="s">
        <v>137</v>
      </c>
    </row>
    <row r="456" spans="1:18" ht="22.5" customHeight="1" x14ac:dyDescent="0.25">
      <c r="A456" s="76">
        <v>46069</v>
      </c>
      <c r="B456" s="4" t="s">
        <v>571</v>
      </c>
      <c r="C456" s="4" t="s">
        <v>79</v>
      </c>
      <c r="D456" s="59">
        <v>174</v>
      </c>
      <c r="E456" s="4" t="s">
        <v>22</v>
      </c>
      <c r="F456" s="4" t="s">
        <v>166</v>
      </c>
      <c r="G456" s="18" t="s">
        <v>538</v>
      </c>
      <c r="H456" s="4" t="s">
        <v>80</v>
      </c>
      <c r="K456" s="4" t="s">
        <v>134</v>
      </c>
      <c r="L456" s="4" t="s">
        <v>98</v>
      </c>
      <c r="N456" s="13">
        <v>15</v>
      </c>
      <c r="O456" s="4">
        <f t="shared" si="17"/>
        <v>26.1</v>
      </c>
      <c r="P456" s="59">
        <f t="shared" si="18"/>
        <v>200.1</v>
      </c>
      <c r="Q456" s="4" t="s">
        <v>97</v>
      </c>
      <c r="R456" s="4" t="s">
        <v>191</v>
      </c>
    </row>
    <row r="457" spans="1:18" ht="22.5" customHeight="1" x14ac:dyDescent="0.25">
      <c r="A457" s="76">
        <v>46069</v>
      </c>
      <c r="B457" s="4" t="s">
        <v>588</v>
      </c>
      <c r="C457" s="4" t="s">
        <v>79</v>
      </c>
      <c r="D457" s="59">
        <v>2000</v>
      </c>
      <c r="E457" s="4" t="s">
        <v>22</v>
      </c>
      <c r="F457" s="4" t="s">
        <v>470</v>
      </c>
      <c r="G457" s="18" t="s">
        <v>448</v>
      </c>
      <c r="H457" s="4" t="s">
        <v>470</v>
      </c>
      <c r="K457" s="4" t="s">
        <v>449</v>
      </c>
      <c r="L457" s="4" t="s">
        <v>98</v>
      </c>
      <c r="N457" s="13">
        <v>0</v>
      </c>
      <c r="O457" s="4">
        <f t="shared" si="17"/>
        <v>0</v>
      </c>
      <c r="P457" s="59">
        <f t="shared" si="18"/>
        <v>2000</v>
      </c>
      <c r="Q457" s="4" t="s">
        <v>97</v>
      </c>
      <c r="R457" s="4" t="s">
        <v>191</v>
      </c>
    </row>
    <row r="458" spans="1:18" ht="22.5" customHeight="1" x14ac:dyDescent="0.25">
      <c r="A458" s="76">
        <v>46069</v>
      </c>
      <c r="B458" s="4" t="s">
        <v>589</v>
      </c>
      <c r="C458" s="4" t="s">
        <v>79</v>
      </c>
      <c r="D458" s="59">
        <v>4869.6000000000004</v>
      </c>
      <c r="E458" s="4" t="s">
        <v>22</v>
      </c>
      <c r="F458" s="4" t="s">
        <v>166</v>
      </c>
      <c r="G458" s="18" t="s">
        <v>448</v>
      </c>
      <c r="H458" s="4" t="s">
        <v>80</v>
      </c>
      <c r="K458" s="4" t="s">
        <v>576</v>
      </c>
      <c r="L458" s="4" t="s">
        <v>98</v>
      </c>
      <c r="N458" s="13">
        <v>15</v>
      </c>
      <c r="O458" s="4">
        <f t="shared" ref="O458:O522" si="19">IF(OR(D458="", N458=""), "", ROUND(D458 * N458 / 100, 2))</f>
        <v>730.44</v>
      </c>
      <c r="P458" s="59">
        <f t="shared" ref="P458:P522" si="20">IF(D458="", "", D458 + O458)</f>
        <v>5600.0400000000009</v>
      </c>
      <c r="Q458" s="4" t="s">
        <v>97</v>
      </c>
      <c r="R458" s="4" t="s">
        <v>191</v>
      </c>
    </row>
    <row r="459" spans="1:18" ht="22.5" customHeight="1" x14ac:dyDescent="0.25">
      <c r="A459" s="76">
        <v>46069</v>
      </c>
      <c r="B459" s="4" t="s">
        <v>589</v>
      </c>
      <c r="C459" s="4" t="s">
        <v>79</v>
      </c>
      <c r="D459" s="59">
        <v>182.6</v>
      </c>
      <c r="E459" s="4" t="s">
        <v>22</v>
      </c>
      <c r="F459" s="4" t="s">
        <v>166</v>
      </c>
      <c r="G459" s="18" t="s">
        <v>448</v>
      </c>
      <c r="H459" s="4" t="s">
        <v>80</v>
      </c>
      <c r="K459" s="4" t="s">
        <v>590</v>
      </c>
      <c r="L459" s="4" t="s">
        <v>98</v>
      </c>
      <c r="N459" s="13">
        <v>15</v>
      </c>
      <c r="O459" s="4">
        <f t="shared" si="19"/>
        <v>27.39</v>
      </c>
      <c r="P459" s="59">
        <f t="shared" si="20"/>
        <v>209.99</v>
      </c>
      <c r="Q459" s="4" t="s">
        <v>97</v>
      </c>
      <c r="R459" s="4" t="s">
        <v>191</v>
      </c>
    </row>
    <row r="460" spans="1:18" ht="22.5" customHeight="1" x14ac:dyDescent="0.25">
      <c r="A460" s="76">
        <v>46070</v>
      </c>
      <c r="B460" s="4" t="s">
        <v>569</v>
      </c>
      <c r="C460" s="4" t="s">
        <v>79</v>
      </c>
      <c r="D460" s="59">
        <v>25</v>
      </c>
      <c r="E460" s="4" t="s">
        <v>22</v>
      </c>
      <c r="F460" s="4" t="s">
        <v>166</v>
      </c>
      <c r="G460" s="18" t="s">
        <v>521</v>
      </c>
      <c r="H460" s="4" t="s">
        <v>80</v>
      </c>
      <c r="K460" s="4" t="s">
        <v>99</v>
      </c>
      <c r="L460" s="4" t="s">
        <v>98</v>
      </c>
      <c r="N460" s="13">
        <v>0</v>
      </c>
      <c r="O460" s="4">
        <f t="shared" si="19"/>
        <v>0</v>
      </c>
      <c r="P460" s="59">
        <f t="shared" si="20"/>
        <v>25</v>
      </c>
      <c r="Q460" s="4" t="s">
        <v>97</v>
      </c>
      <c r="R460" s="4" t="s">
        <v>191</v>
      </c>
    </row>
    <row r="461" spans="1:18" ht="22.5" customHeight="1" x14ac:dyDescent="0.25">
      <c r="A461" s="76">
        <v>46070</v>
      </c>
      <c r="B461" s="4" t="s">
        <v>591</v>
      </c>
      <c r="C461" s="4" t="s">
        <v>79</v>
      </c>
      <c r="D461" s="59">
        <v>5</v>
      </c>
      <c r="E461" s="4" t="s">
        <v>22</v>
      </c>
      <c r="F461" s="4" t="s">
        <v>166</v>
      </c>
      <c r="G461" s="18" t="s">
        <v>538</v>
      </c>
      <c r="H461" s="4" t="s">
        <v>80</v>
      </c>
      <c r="K461" s="4" t="s">
        <v>99</v>
      </c>
      <c r="L461" s="4" t="s">
        <v>98</v>
      </c>
      <c r="N461" s="13">
        <v>0</v>
      </c>
      <c r="O461" s="4">
        <f t="shared" si="19"/>
        <v>0</v>
      </c>
      <c r="P461" s="59">
        <f t="shared" si="20"/>
        <v>5</v>
      </c>
      <c r="Q461" s="4" t="s">
        <v>97</v>
      </c>
      <c r="R461" s="4" t="s">
        <v>191</v>
      </c>
    </row>
    <row r="462" spans="1:18" ht="22.5" customHeight="1" x14ac:dyDescent="0.25">
      <c r="A462" s="76">
        <v>46070</v>
      </c>
      <c r="B462" s="4" t="s">
        <v>592</v>
      </c>
      <c r="C462" s="4" t="s">
        <v>79</v>
      </c>
      <c r="D462" s="59">
        <v>1000</v>
      </c>
      <c r="E462" s="4" t="s">
        <v>22</v>
      </c>
      <c r="F462" s="4" t="s">
        <v>470</v>
      </c>
      <c r="G462" s="18" t="s">
        <v>521</v>
      </c>
      <c r="H462" s="4" t="s">
        <v>470</v>
      </c>
      <c r="K462" s="4" t="s">
        <v>502</v>
      </c>
      <c r="L462" s="4" t="s">
        <v>98</v>
      </c>
      <c r="N462" s="13">
        <v>0</v>
      </c>
      <c r="O462" s="4">
        <f t="shared" si="19"/>
        <v>0</v>
      </c>
      <c r="P462" s="59">
        <f t="shared" si="20"/>
        <v>1000</v>
      </c>
      <c r="Q462" s="4" t="s">
        <v>97</v>
      </c>
      <c r="R462" s="4" t="s">
        <v>191</v>
      </c>
    </row>
    <row r="463" spans="1:18" ht="22.5" customHeight="1" x14ac:dyDescent="0.25">
      <c r="A463" s="76">
        <v>46070</v>
      </c>
      <c r="B463" s="4" t="s">
        <v>592</v>
      </c>
      <c r="C463" s="4" t="s">
        <v>79</v>
      </c>
      <c r="D463" s="59">
        <v>1500</v>
      </c>
      <c r="E463" s="4" t="s">
        <v>22</v>
      </c>
      <c r="F463" s="4" t="s">
        <v>470</v>
      </c>
      <c r="G463" s="18" t="s">
        <v>536</v>
      </c>
      <c r="H463" s="4" t="s">
        <v>470</v>
      </c>
      <c r="K463" s="4" t="s">
        <v>502</v>
      </c>
      <c r="L463" s="4" t="s">
        <v>98</v>
      </c>
      <c r="N463" s="13">
        <v>0</v>
      </c>
      <c r="O463" s="4">
        <f t="shared" si="19"/>
        <v>0</v>
      </c>
      <c r="P463" s="59">
        <f t="shared" si="20"/>
        <v>1500</v>
      </c>
      <c r="Q463" s="4" t="s">
        <v>97</v>
      </c>
      <c r="R463" s="4" t="s">
        <v>191</v>
      </c>
    </row>
    <row r="464" spans="1:18" ht="22.5" customHeight="1" x14ac:dyDescent="0.25">
      <c r="A464" s="76">
        <v>46070</v>
      </c>
      <c r="B464" s="4" t="s">
        <v>75</v>
      </c>
      <c r="C464" s="4" t="s">
        <v>79</v>
      </c>
      <c r="D464" s="59">
        <v>30</v>
      </c>
      <c r="E464" s="4" t="s">
        <v>22</v>
      </c>
      <c r="F464" s="4" t="s">
        <v>57</v>
      </c>
      <c r="G464" s="18" t="s">
        <v>536</v>
      </c>
      <c r="H464" s="4" t="s">
        <v>81</v>
      </c>
      <c r="K464" s="4" t="s">
        <v>99</v>
      </c>
      <c r="L464" s="4" t="s">
        <v>98</v>
      </c>
      <c r="N464" s="13">
        <v>0</v>
      </c>
      <c r="O464" s="4">
        <f t="shared" si="19"/>
        <v>0</v>
      </c>
      <c r="P464" s="59">
        <f t="shared" si="20"/>
        <v>30</v>
      </c>
      <c r="Q464" s="4" t="s">
        <v>97</v>
      </c>
      <c r="R464" s="4" t="s">
        <v>191</v>
      </c>
    </row>
    <row r="465" spans="1:18" ht="22.5" customHeight="1" x14ac:dyDescent="0.25">
      <c r="A465" s="76">
        <v>46070</v>
      </c>
      <c r="B465" s="4" t="s">
        <v>257</v>
      </c>
      <c r="C465" s="4" t="s">
        <v>79</v>
      </c>
      <c r="D465" s="59">
        <v>43.48</v>
      </c>
      <c r="E465" s="4" t="s">
        <v>22</v>
      </c>
      <c r="F465" s="4" t="s">
        <v>115</v>
      </c>
      <c r="G465" s="18" t="s">
        <v>536</v>
      </c>
      <c r="H465" s="4" t="s">
        <v>115</v>
      </c>
      <c r="K465" s="4" t="s">
        <v>99</v>
      </c>
      <c r="L465" s="4" t="s">
        <v>98</v>
      </c>
      <c r="N465" s="13">
        <v>15</v>
      </c>
      <c r="O465" s="4">
        <f t="shared" si="19"/>
        <v>6.52</v>
      </c>
      <c r="P465" s="59">
        <f t="shared" si="20"/>
        <v>50</v>
      </c>
      <c r="Q465" s="4" t="s">
        <v>97</v>
      </c>
      <c r="R465" s="4" t="s">
        <v>191</v>
      </c>
    </row>
    <row r="466" spans="1:18" ht="22.5" customHeight="1" x14ac:dyDescent="0.25">
      <c r="A466" s="76">
        <v>46070</v>
      </c>
      <c r="B466" s="4" t="s">
        <v>593</v>
      </c>
      <c r="C466" s="4" t="s">
        <v>79</v>
      </c>
      <c r="D466" s="59">
        <v>90</v>
      </c>
      <c r="E466" s="4" t="s">
        <v>22</v>
      </c>
      <c r="F466" s="4" t="s">
        <v>253</v>
      </c>
      <c r="H466" s="4" t="s">
        <v>338</v>
      </c>
      <c r="K466" s="4" t="s">
        <v>99</v>
      </c>
      <c r="L466" s="4" t="s">
        <v>98</v>
      </c>
      <c r="N466" s="13">
        <v>0</v>
      </c>
      <c r="O466" s="4">
        <f t="shared" si="19"/>
        <v>0</v>
      </c>
      <c r="P466" s="59">
        <f t="shared" si="20"/>
        <v>90</v>
      </c>
      <c r="Q466" s="4" t="s">
        <v>97</v>
      </c>
      <c r="R466" s="4" t="s">
        <v>191</v>
      </c>
    </row>
    <row r="467" spans="1:18" ht="22.5" customHeight="1" x14ac:dyDescent="0.25">
      <c r="A467" s="76">
        <v>46070</v>
      </c>
      <c r="B467" s="4" t="s">
        <v>371</v>
      </c>
      <c r="C467" s="4" t="s">
        <v>79</v>
      </c>
      <c r="D467" s="59">
        <v>500</v>
      </c>
      <c r="E467" s="4" t="s">
        <v>22</v>
      </c>
      <c r="F467" s="4" t="s">
        <v>252</v>
      </c>
      <c r="H467" s="4" t="s">
        <v>252</v>
      </c>
      <c r="K467" s="4" t="s">
        <v>564</v>
      </c>
      <c r="L467" s="4" t="s">
        <v>98</v>
      </c>
      <c r="N467" s="13">
        <v>0</v>
      </c>
      <c r="O467" s="4">
        <f t="shared" si="19"/>
        <v>0</v>
      </c>
      <c r="P467" s="59">
        <f t="shared" si="20"/>
        <v>500</v>
      </c>
      <c r="Q467" s="4" t="s">
        <v>97</v>
      </c>
      <c r="R467" s="4" t="s">
        <v>137</v>
      </c>
    </row>
    <row r="468" spans="1:18" ht="22.5" customHeight="1" x14ac:dyDescent="0.25">
      <c r="A468" s="76">
        <v>46070</v>
      </c>
      <c r="B468" s="4" t="s">
        <v>594</v>
      </c>
      <c r="C468" s="4" t="s">
        <v>79</v>
      </c>
      <c r="D468" s="59">
        <v>660</v>
      </c>
      <c r="E468" s="4" t="s">
        <v>22</v>
      </c>
      <c r="F468" s="4" t="s">
        <v>470</v>
      </c>
      <c r="G468" s="18" t="s">
        <v>538</v>
      </c>
      <c r="H468" s="4" t="s">
        <v>470</v>
      </c>
      <c r="K468" s="4" t="s">
        <v>578</v>
      </c>
      <c r="L468" s="4" t="s">
        <v>98</v>
      </c>
      <c r="N468" s="13">
        <v>0</v>
      </c>
      <c r="O468" s="4">
        <f t="shared" si="19"/>
        <v>0</v>
      </c>
      <c r="P468" s="59">
        <f t="shared" si="20"/>
        <v>660</v>
      </c>
      <c r="Q468" s="4" t="s">
        <v>97</v>
      </c>
      <c r="R468" s="4" t="s">
        <v>191</v>
      </c>
    </row>
    <row r="469" spans="1:18" s="6" customFormat="1" ht="22.5" customHeight="1" x14ac:dyDescent="0.25">
      <c r="A469" s="83">
        <v>46070</v>
      </c>
      <c r="B469" s="6" t="s">
        <v>606</v>
      </c>
      <c r="C469" s="6" t="s">
        <v>88</v>
      </c>
      <c r="D469" s="60">
        <v>8500</v>
      </c>
      <c r="E469" s="6" t="s">
        <v>22</v>
      </c>
      <c r="F469" s="6" t="s">
        <v>89</v>
      </c>
      <c r="G469" s="6" t="s">
        <v>353</v>
      </c>
      <c r="H469" s="6" t="s">
        <v>196</v>
      </c>
      <c r="K469" s="6" t="s">
        <v>387</v>
      </c>
      <c r="L469" s="6" t="s">
        <v>86</v>
      </c>
      <c r="M469" s="6" t="s">
        <v>608</v>
      </c>
      <c r="N469" s="14">
        <v>15</v>
      </c>
      <c r="O469" s="6">
        <f t="shared" si="19"/>
        <v>1275</v>
      </c>
      <c r="P469" s="60">
        <f t="shared" si="20"/>
        <v>9775</v>
      </c>
      <c r="Q469" s="6" t="s">
        <v>97</v>
      </c>
      <c r="R469" s="34" t="s">
        <v>227</v>
      </c>
    </row>
    <row r="470" spans="1:18" ht="22.5" customHeight="1" x14ac:dyDescent="0.25">
      <c r="A470" s="76">
        <v>46070</v>
      </c>
      <c r="B470" s="4" t="s">
        <v>161</v>
      </c>
      <c r="C470" s="4" t="s">
        <v>79</v>
      </c>
      <c r="D470" s="59">
        <v>1000</v>
      </c>
      <c r="E470" s="4" t="s">
        <v>22</v>
      </c>
      <c r="F470" s="4" t="s">
        <v>25</v>
      </c>
      <c r="H470" s="4" t="s">
        <v>196</v>
      </c>
      <c r="K470" s="4" t="s">
        <v>162</v>
      </c>
      <c r="L470" s="4" t="s">
        <v>163</v>
      </c>
      <c r="N470" s="13">
        <v>0</v>
      </c>
      <c r="O470" s="4">
        <f t="shared" si="19"/>
        <v>0</v>
      </c>
      <c r="P470" s="59">
        <f t="shared" si="20"/>
        <v>1000</v>
      </c>
      <c r="Q470" s="4" t="s">
        <v>97</v>
      </c>
      <c r="R470" s="4" t="s">
        <v>137</v>
      </c>
    </row>
    <row r="471" spans="1:18" ht="22.5" customHeight="1" x14ac:dyDescent="0.25">
      <c r="A471" s="76">
        <v>46071</v>
      </c>
      <c r="B471" s="4" t="s">
        <v>257</v>
      </c>
      <c r="C471" s="4" t="s">
        <v>79</v>
      </c>
      <c r="D471" s="59">
        <v>43.48</v>
      </c>
      <c r="E471" s="4" t="s">
        <v>22</v>
      </c>
      <c r="F471" s="4" t="s">
        <v>115</v>
      </c>
      <c r="G471" s="18" t="s">
        <v>521</v>
      </c>
      <c r="H471" s="4" t="s">
        <v>115</v>
      </c>
      <c r="K471" s="4" t="s">
        <v>99</v>
      </c>
      <c r="L471" s="4" t="s">
        <v>98</v>
      </c>
      <c r="N471" s="13">
        <v>15</v>
      </c>
      <c r="O471" s="4">
        <f t="shared" si="19"/>
        <v>6.52</v>
      </c>
      <c r="P471" s="59">
        <f t="shared" si="20"/>
        <v>50</v>
      </c>
      <c r="Q471" s="4" t="s">
        <v>97</v>
      </c>
      <c r="R471" s="4" t="s">
        <v>191</v>
      </c>
    </row>
    <row r="472" spans="1:18" ht="22.5" customHeight="1" x14ac:dyDescent="0.25">
      <c r="A472" s="76">
        <v>46071</v>
      </c>
      <c r="B472" s="4" t="s">
        <v>257</v>
      </c>
      <c r="C472" s="4" t="s">
        <v>79</v>
      </c>
      <c r="D472" s="59">
        <v>73.91</v>
      </c>
      <c r="E472" s="4" t="s">
        <v>22</v>
      </c>
      <c r="F472" s="4" t="s">
        <v>115</v>
      </c>
      <c r="G472" s="18" t="s">
        <v>536</v>
      </c>
      <c r="H472" s="4" t="s">
        <v>115</v>
      </c>
      <c r="K472" s="4" t="s">
        <v>99</v>
      </c>
      <c r="L472" s="4" t="s">
        <v>98</v>
      </c>
      <c r="N472" s="13">
        <v>15</v>
      </c>
      <c r="O472" s="4">
        <f t="shared" si="19"/>
        <v>11.09</v>
      </c>
      <c r="P472" s="59">
        <f t="shared" si="20"/>
        <v>85</v>
      </c>
      <c r="Q472" s="4" t="s">
        <v>97</v>
      </c>
      <c r="R472" s="4" t="s">
        <v>191</v>
      </c>
    </row>
    <row r="473" spans="1:18" ht="22.5" customHeight="1" x14ac:dyDescent="0.25">
      <c r="A473" s="76">
        <v>46071</v>
      </c>
      <c r="B473" s="4" t="s">
        <v>75</v>
      </c>
      <c r="C473" s="4" t="s">
        <v>79</v>
      </c>
      <c r="D473" s="59">
        <v>13</v>
      </c>
      <c r="E473" s="4" t="s">
        <v>22</v>
      </c>
      <c r="F473" s="4" t="s">
        <v>57</v>
      </c>
      <c r="G473" s="18" t="s">
        <v>521</v>
      </c>
      <c r="H473" s="4" t="s">
        <v>81</v>
      </c>
      <c r="K473" s="4" t="s">
        <v>99</v>
      </c>
      <c r="L473" s="4" t="s">
        <v>98</v>
      </c>
      <c r="N473" s="13">
        <v>15</v>
      </c>
      <c r="O473" s="4">
        <f t="shared" si="19"/>
        <v>1.95</v>
      </c>
      <c r="P473" s="59">
        <f t="shared" si="20"/>
        <v>14.95</v>
      </c>
      <c r="Q473" s="4" t="s">
        <v>97</v>
      </c>
      <c r="R473" s="4" t="s">
        <v>191</v>
      </c>
    </row>
    <row r="474" spans="1:18" ht="22.5" customHeight="1" x14ac:dyDescent="0.25">
      <c r="A474" s="76">
        <v>46071</v>
      </c>
      <c r="B474" s="4" t="s">
        <v>595</v>
      </c>
      <c r="C474" s="4" t="s">
        <v>79</v>
      </c>
      <c r="D474" s="59">
        <v>78.400000000000006</v>
      </c>
      <c r="E474" s="4" t="s">
        <v>22</v>
      </c>
      <c r="F474" s="4" t="s">
        <v>166</v>
      </c>
      <c r="G474" s="18" t="s">
        <v>448</v>
      </c>
      <c r="H474" s="4" t="s">
        <v>80</v>
      </c>
      <c r="K474" s="4" t="s">
        <v>596</v>
      </c>
      <c r="L474" s="4" t="s">
        <v>98</v>
      </c>
      <c r="N474" s="13">
        <v>15</v>
      </c>
      <c r="O474" s="4">
        <f t="shared" si="19"/>
        <v>11.76</v>
      </c>
      <c r="P474" s="59">
        <f t="shared" si="20"/>
        <v>90.160000000000011</v>
      </c>
      <c r="Q474" s="4" t="s">
        <v>97</v>
      </c>
      <c r="R474" s="4" t="s">
        <v>191</v>
      </c>
    </row>
    <row r="475" spans="1:18" ht="22.5" customHeight="1" x14ac:dyDescent="0.25">
      <c r="A475" s="76">
        <v>46071</v>
      </c>
      <c r="B475" s="4" t="s">
        <v>597</v>
      </c>
      <c r="C475" s="4" t="s">
        <v>79</v>
      </c>
      <c r="D475" s="59">
        <v>165.22</v>
      </c>
      <c r="E475" s="4" t="s">
        <v>22</v>
      </c>
      <c r="F475" s="4" t="s">
        <v>166</v>
      </c>
      <c r="G475" s="18" t="s">
        <v>448</v>
      </c>
      <c r="H475" s="4" t="s">
        <v>80</v>
      </c>
      <c r="K475" s="4" t="s">
        <v>134</v>
      </c>
      <c r="L475" s="4" t="s">
        <v>98</v>
      </c>
      <c r="N475" s="13">
        <v>15</v>
      </c>
      <c r="O475" s="4">
        <f t="shared" si="19"/>
        <v>24.78</v>
      </c>
      <c r="P475" s="59">
        <f t="shared" si="20"/>
        <v>190</v>
      </c>
      <c r="Q475" s="4" t="s">
        <v>97</v>
      </c>
      <c r="R475" s="4" t="s">
        <v>191</v>
      </c>
    </row>
    <row r="476" spans="1:18" ht="22.5" customHeight="1" x14ac:dyDescent="0.25">
      <c r="A476" s="76">
        <v>46072</v>
      </c>
      <c r="B476" s="4" t="s">
        <v>257</v>
      </c>
      <c r="C476" s="4" t="s">
        <v>79</v>
      </c>
      <c r="D476" s="59">
        <v>65.22</v>
      </c>
      <c r="E476" s="4" t="s">
        <v>22</v>
      </c>
      <c r="F476" s="4" t="s">
        <v>115</v>
      </c>
      <c r="G476" s="18" t="s">
        <v>521</v>
      </c>
      <c r="H476" s="4" t="s">
        <v>115</v>
      </c>
      <c r="K476" s="4" t="s">
        <v>99</v>
      </c>
      <c r="L476" s="4" t="s">
        <v>98</v>
      </c>
      <c r="N476" s="13">
        <v>15</v>
      </c>
      <c r="O476" s="4">
        <f t="shared" si="19"/>
        <v>9.7799999999999994</v>
      </c>
      <c r="P476" s="59">
        <f t="shared" si="20"/>
        <v>75</v>
      </c>
      <c r="Q476" s="4" t="s">
        <v>97</v>
      </c>
      <c r="R476" s="4" t="s">
        <v>191</v>
      </c>
    </row>
    <row r="477" spans="1:18" ht="22.5" customHeight="1" x14ac:dyDescent="0.25">
      <c r="A477" s="76">
        <v>46072</v>
      </c>
      <c r="B477" s="4" t="s">
        <v>75</v>
      </c>
      <c r="C477" s="4" t="s">
        <v>79</v>
      </c>
      <c r="D477" s="59">
        <v>20.43</v>
      </c>
      <c r="E477" s="4" t="s">
        <v>22</v>
      </c>
      <c r="F477" s="4" t="s">
        <v>57</v>
      </c>
      <c r="G477" s="18" t="s">
        <v>521</v>
      </c>
      <c r="H477" s="4" t="s">
        <v>81</v>
      </c>
      <c r="K477" s="4" t="s">
        <v>99</v>
      </c>
      <c r="L477" s="4" t="s">
        <v>98</v>
      </c>
      <c r="N477" s="13">
        <v>15</v>
      </c>
      <c r="O477" s="4">
        <f t="shared" si="19"/>
        <v>3.06</v>
      </c>
      <c r="P477" s="59">
        <f t="shared" si="20"/>
        <v>23.49</v>
      </c>
      <c r="Q477" s="4" t="s">
        <v>97</v>
      </c>
      <c r="R477" s="4" t="s">
        <v>191</v>
      </c>
    </row>
    <row r="478" spans="1:18" ht="22.5" customHeight="1" x14ac:dyDescent="0.25">
      <c r="A478" s="76">
        <v>46072</v>
      </c>
      <c r="B478" s="4" t="s">
        <v>598</v>
      </c>
      <c r="C478" s="4" t="s">
        <v>79</v>
      </c>
      <c r="D478" s="59">
        <v>15.8</v>
      </c>
      <c r="E478" s="4" t="s">
        <v>22</v>
      </c>
      <c r="F478" s="4" t="s">
        <v>166</v>
      </c>
      <c r="G478" s="18" t="s">
        <v>521</v>
      </c>
      <c r="H478" s="4" t="s">
        <v>80</v>
      </c>
      <c r="K478" s="4" t="s">
        <v>392</v>
      </c>
      <c r="L478" s="4" t="s">
        <v>98</v>
      </c>
      <c r="N478" s="13">
        <v>15</v>
      </c>
      <c r="O478" s="4">
        <f t="shared" si="19"/>
        <v>2.37</v>
      </c>
      <c r="P478" s="59">
        <f t="shared" si="20"/>
        <v>18.170000000000002</v>
      </c>
      <c r="Q478" s="4" t="s">
        <v>97</v>
      </c>
      <c r="R478" s="4" t="s">
        <v>191</v>
      </c>
    </row>
    <row r="479" spans="1:18" ht="22.5" customHeight="1" x14ac:dyDescent="0.25">
      <c r="A479" s="76">
        <v>46072</v>
      </c>
      <c r="B479" s="4" t="s">
        <v>599</v>
      </c>
      <c r="C479" s="4" t="s">
        <v>79</v>
      </c>
      <c r="D479" s="59">
        <v>370</v>
      </c>
      <c r="E479" s="4" t="s">
        <v>22</v>
      </c>
      <c r="F479" s="4" t="s">
        <v>470</v>
      </c>
      <c r="G479" s="18" t="s">
        <v>521</v>
      </c>
      <c r="H479" s="4" t="s">
        <v>470</v>
      </c>
      <c r="K479" s="4" t="s">
        <v>600</v>
      </c>
      <c r="L479" s="4" t="s">
        <v>98</v>
      </c>
      <c r="N479" s="13">
        <v>0</v>
      </c>
      <c r="O479" s="4">
        <f t="shared" si="19"/>
        <v>0</v>
      </c>
      <c r="P479" s="59">
        <f t="shared" si="20"/>
        <v>370</v>
      </c>
      <c r="Q479" s="4" t="s">
        <v>97</v>
      </c>
      <c r="R479" s="4" t="s">
        <v>191</v>
      </c>
    </row>
    <row r="480" spans="1:18" ht="22.5" customHeight="1" x14ac:dyDescent="0.25">
      <c r="A480" s="76">
        <v>46072</v>
      </c>
      <c r="B480" s="4" t="s">
        <v>543</v>
      </c>
      <c r="C480" s="4" t="s">
        <v>79</v>
      </c>
      <c r="D480" s="59">
        <v>38</v>
      </c>
      <c r="E480" s="4" t="s">
        <v>22</v>
      </c>
      <c r="F480" s="4" t="s">
        <v>568</v>
      </c>
      <c r="H480" s="4" t="s">
        <v>543</v>
      </c>
      <c r="K480" s="4" t="s">
        <v>99</v>
      </c>
      <c r="L480" s="4" t="s">
        <v>98</v>
      </c>
      <c r="N480" s="13">
        <v>0</v>
      </c>
      <c r="O480" s="4">
        <f t="shared" si="19"/>
        <v>0</v>
      </c>
      <c r="P480" s="59">
        <f t="shared" si="20"/>
        <v>38</v>
      </c>
      <c r="Q480" s="4" t="s">
        <v>97</v>
      </c>
      <c r="R480" s="4" t="s">
        <v>137</v>
      </c>
    </row>
    <row r="481" spans="1:18" ht="22.5" customHeight="1" x14ac:dyDescent="0.25">
      <c r="A481" s="76">
        <v>46072</v>
      </c>
      <c r="B481" s="4" t="s">
        <v>601</v>
      </c>
      <c r="C481" s="4" t="s">
        <v>79</v>
      </c>
      <c r="D481" s="59">
        <v>1120</v>
      </c>
      <c r="E481" s="4" t="s">
        <v>22</v>
      </c>
      <c r="F481" s="4" t="s">
        <v>249</v>
      </c>
      <c r="G481" s="18" t="s">
        <v>521</v>
      </c>
      <c r="H481" s="4" t="s">
        <v>206</v>
      </c>
      <c r="K481" s="4" t="s">
        <v>602</v>
      </c>
      <c r="L481" s="4" t="s">
        <v>98</v>
      </c>
      <c r="N481" s="13">
        <v>0</v>
      </c>
      <c r="O481" s="4">
        <f t="shared" si="19"/>
        <v>0</v>
      </c>
      <c r="P481" s="59">
        <f t="shared" si="20"/>
        <v>1120</v>
      </c>
      <c r="Q481" s="4" t="s">
        <v>97</v>
      </c>
      <c r="R481" s="4" t="s">
        <v>191</v>
      </c>
    </row>
    <row r="482" spans="1:18" ht="22.5" customHeight="1" x14ac:dyDescent="0.25">
      <c r="A482" s="76">
        <v>46073</v>
      </c>
      <c r="B482" s="4" t="s">
        <v>257</v>
      </c>
      <c r="C482" s="4" t="s">
        <v>79</v>
      </c>
      <c r="D482" s="59">
        <v>86.96</v>
      </c>
      <c r="E482" s="4" t="s">
        <v>22</v>
      </c>
      <c r="F482" s="4" t="s">
        <v>115</v>
      </c>
      <c r="G482" s="18" t="s">
        <v>536</v>
      </c>
      <c r="H482" s="4" t="s">
        <v>115</v>
      </c>
      <c r="K482" s="4" t="s">
        <v>99</v>
      </c>
      <c r="L482" s="4" t="s">
        <v>98</v>
      </c>
      <c r="N482" s="13">
        <v>15</v>
      </c>
      <c r="O482" s="4">
        <f t="shared" si="19"/>
        <v>13.04</v>
      </c>
      <c r="P482" s="59">
        <f t="shared" si="20"/>
        <v>100</v>
      </c>
      <c r="Q482" s="4" t="s">
        <v>97</v>
      </c>
      <c r="R482" s="4" t="s">
        <v>191</v>
      </c>
    </row>
    <row r="483" spans="1:18" ht="22.5" customHeight="1" x14ac:dyDescent="0.25">
      <c r="A483" s="76">
        <v>46073</v>
      </c>
      <c r="B483" s="4" t="s">
        <v>75</v>
      </c>
      <c r="C483" s="4" t="s">
        <v>79</v>
      </c>
      <c r="D483" s="59">
        <v>20</v>
      </c>
      <c r="E483" s="4" t="s">
        <v>22</v>
      </c>
      <c r="F483" s="4" t="s">
        <v>57</v>
      </c>
      <c r="G483" s="18" t="s">
        <v>536</v>
      </c>
      <c r="H483" s="4" t="s">
        <v>81</v>
      </c>
      <c r="K483" s="4" t="s">
        <v>99</v>
      </c>
      <c r="L483" s="4" t="s">
        <v>98</v>
      </c>
      <c r="N483" s="13">
        <v>15</v>
      </c>
      <c r="O483" s="4">
        <f t="shared" si="19"/>
        <v>3</v>
      </c>
      <c r="P483" s="59">
        <f t="shared" si="20"/>
        <v>23</v>
      </c>
      <c r="Q483" s="4" t="s">
        <v>97</v>
      </c>
      <c r="R483" s="4" t="s">
        <v>191</v>
      </c>
    </row>
    <row r="484" spans="1:18" ht="22.5" customHeight="1" x14ac:dyDescent="0.25">
      <c r="A484" s="76">
        <v>46073</v>
      </c>
      <c r="B484" s="4" t="s">
        <v>371</v>
      </c>
      <c r="C484" s="4" t="s">
        <v>79</v>
      </c>
      <c r="D484" s="59">
        <v>200</v>
      </c>
      <c r="E484" s="4" t="s">
        <v>22</v>
      </c>
      <c r="F484" s="4" t="s">
        <v>252</v>
      </c>
      <c r="H484" s="4" t="s">
        <v>252</v>
      </c>
      <c r="K484" s="4" t="s">
        <v>564</v>
      </c>
      <c r="L484" s="4" t="s">
        <v>98</v>
      </c>
      <c r="N484" s="13">
        <v>0</v>
      </c>
      <c r="O484" s="4">
        <f t="shared" si="19"/>
        <v>0</v>
      </c>
      <c r="P484" s="59">
        <f t="shared" si="20"/>
        <v>200</v>
      </c>
      <c r="Q484" s="4" t="s">
        <v>97</v>
      </c>
      <c r="R484" s="4" t="s">
        <v>137</v>
      </c>
    </row>
    <row r="485" spans="1:18" ht="22.5" customHeight="1" x14ac:dyDescent="0.25">
      <c r="A485" s="76">
        <v>46073</v>
      </c>
      <c r="B485" s="4" t="s">
        <v>603</v>
      </c>
      <c r="C485" s="4" t="s">
        <v>79</v>
      </c>
      <c r="D485" s="59">
        <v>100</v>
      </c>
      <c r="E485" s="4" t="s">
        <v>22</v>
      </c>
      <c r="F485" s="4" t="s">
        <v>253</v>
      </c>
      <c r="H485" s="4" t="s">
        <v>338</v>
      </c>
      <c r="K485" s="4" t="s">
        <v>604</v>
      </c>
      <c r="L485" s="4" t="s">
        <v>98</v>
      </c>
      <c r="N485" s="13">
        <v>0</v>
      </c>
      <c r="O485" s="4">
        <f t="shared" si="19"/>
        <v>0</v>
      </c>
      <c r="P485" s="59">
        <f t="shared" si="20"/>
        <v>100</v>
      </c>
      <c r="Q485" s="4" t="s">
        <v>97</v>
      </c>
      <c r="R485" s="4" t="s">
        <v>137</v>
      </c>
    </row>
    <row r="486" spans="1:18" ht="22.5" customHeight="1" x14ac:dyDescent="0.25">
      <c r="A486" s="76">
        <v>46073</v>
      </c>
      <c r="B486" s="4" t="s">
        <v>399</v>
      </c>
      <c r="C486" s="4" t="s">
        <v>79</v>
      </c>
      <c r="D486" s="59">
        <v>21</v>
      </c>
      <c r="E486" s="4" t="s">
        <v>22</v>
      </c>
      <c r="F486" s="4" t="s">
        <v>399</v>
      </c>
      <c r="H486" s="4" t="s">
        <v>379</v>
      </c>
      <c r="K486" s="4" t="s">
        <v>99</v>
      </c>
      <c r="L486" s="4" t="s">
        <v>98</v>
      </c>
      <c r="N486" s="13">
        <v>0</v>
      </c>
      <c r="O486" s="4">
        <f t="shared" si="19"/>
        <v>0</v>
      </c>
      <c r="P486" s="59">
        <f t="shared" si="20"/>
        <v>21</v>
      </c>
      <c r="Q486" s="4" t="s">
        <v>97</v>
      </c>
      <c r="R486" s="4" t="s">
        <v>137</v>
      </c>
    </row>
    <row r="487" spans="1:18" ht="22.5" customHeight="1" x14ac:dyDescent="0.25">
      <c r="A487" s="76">
        <v>46074</v>
      </c>
      <c r="B487" s="4" t="s">
        <v>257</v>
      </c>
      <c r="C487" s="4" t="s">
        <v>79</v>
      </c>
      <c r="D487" s="59">
        <v>86.96</v>
      </c>
      <c r="E487" s="4" t="s">
        <v>22</v>
      </c>
      <c r="F487" s="4" t="s">
        <v>115</v>
      </c>
      <c r="H487" s="4" t="s">
        <v>115</v>
      </c>
      <c r="K487" s="4" t="s">
        <v>99</v>
      </c>
      <c r="L487" s="4" t="s">
        <v>98</v>
      </c>
      <c r="N487" s="13">
        <v>15</v>
      </c>
      <c r="O487" s="4">
        <f t="shared" si="19"/>
        <v>13.04</v>
      </c>
      <c r="P487" s="59">
        <f t="shared" si="20"/>
        <v>100</v>
      </c>
      <c r="Q487" s="4" t="s">
        <v>97</v>
      </c>
      <c r="R487" s="4" t="s">
        <v>137</v>
      </c>
    </row>
    <row r="488" spans="1:18" ht="22.5" customHeight="1" x14ac:dyDescent="0.25">
      <c r="A488" s="76">
        <v>46074</v>
      </c>
      <c r="B488" s="4" t="s">
        <v>613</v>
      </c>
      <c r="C488" s="4" t="s">
        <v>79</v>
      </c>
      <c r="D488" s="59">
        <v>85</v>
      </c>
      <c r="E488" s="4" t="s">
        <v>22</v>
      </c>
      <c r="F488" s="4" t="s">
        <v>568</v>
      </c>
      <c r="H488" s="4" t="s">
        <v>543</v>
      </c>
      <c r="K488" s="4" t="s">
        <v>614</v>
      </c>
      <c r="L488" s="4" t="s">
        <v>98</v>
      </c>
      <c r="N488" s="13">
        <v>0</v>
      </c>
      <c r="O488" s="4">
        <f t="shared" si="19"/>
        <v>0</v>
      </c>
      <c r="P488" s="59">
        <f t="shared" si="20"/>
        <v>85</v>
      </c>
      <c r="Q488" s="4" t="s">
        <v>97</v>
      </c>
      <c r="R488" s="4" t="s">
        <v>137</v>
      </c>
    </row>
    <row r="489" spans="1:18" ht="22.5" customHeight="1" x14ac:dyDescent="0.25">
      <c r="A489" s="76">
        <v>46074</v>
      </c>
      <c r="B489" s="4" t="s">
        <v>615</v>
      </c>
      <c r="C489" s="4" t="s">
        <v>79</v>
      </c>
      <c r="D489" s="59">
        <v>180</v>
      </c>
      <c r="E489" s="4" t="s">
        <v>22</v>
      </c>
      <c r="F489" s="4" t="s">
        <v>568</v>
      </c>
      <c r="H489" s="4" t="s">
        <v>543</v>
      </c>
      <c r="K489" s="4" t="s">
        <v>616</v>
      </c>
      <c r="L489" s="4" t="s">
        <v>98</v>
      </c>
      <c r="N489" s="13">
        <v>0</v>
      </c>
      <c r="O489" s="4">
        <f t="shared" si="19"/>
        <v>0</v>
      </c>
      <c r="P489" s="59">
        <f t="shared" si="20"/>
        <v>180</v>
      </c>
      <c r="Q489" s="4" t="s">
        <v>97</v>
      </c>
      <c r="R489" s="4" t="s">
        <v>137</v>
      </c>
    </row>
    <row r="490" spans="1:18" ht="22.5" customHeight="1" x14ac:dyDescent="0.25">
      <c r="A490" s="76">
        <v>46074</v>
      </c>
      <c r="B490" s="4" t="s">
        <v>75</v>
      </c>
      <c r="C490" s="4" t="s">
        <v>79</v>
      </c>
      <c r="D490" s="59">
        <v>6</v>
      </c>
      <c r="E490" s="4" t="s">
        <v>22</v>
      </c>
      <c r="F490" s="4" t="s">
        <v>57</v>
      </c>
      <c r="H490" s="4" t="s">
        <v>81</v>
      </c>
      <c r="K490" s="4" t="s">
        <v>99</v>
      </c>
      <c r="L490" s="4" t="s">
        <v>98</v>
      </c>
      <c r="N490" s="13">
        <v>0</v>
      </c>
      <c r="O490" s="4">
        <f t="shared" si="19"/>
        <v>0</v>
      </c>
      <c r="P490" s="59">
        <f t="shared" si="20"/>
        <v>6</v>
      </c>
      <c r="Q490" s="4" t="s">
        <v>97</v>
      </c>
      <c r="R490" s="4" t="s">
        <v>137</v>
      </c>
    </row>
    <row r="491" spans="1:18" ht="22.5" customHeight="1" x14ac:dyDescent="0.25">
      <c r="A491" s="76">
        <v>46074</v>
      </c>
      <c r="B491" s="4" t="s">
        <v>617</v>
      </c>
      <c r="C491" s="4" t="s">
        <v>79</v>
      </c>
      <c r="D491" s="59">
        <v>260</v>
      </c>
      <c r="E491" s="4" t="s">
        <v>22</v>
      </c>
      <c r="F491" s="4" t="s">
        <v>568</v>
      </c>
      <c r="H491" s="4" t="s">
        <v>543</v>
      </c>
      <c r="K491" s="4" t="s">
        <v>99</v>
      </c>
      <c r="L491" s="4" t="s">
        <v>98</v>
      </c>
      <c r="N491" s="13">
        <v>0</v>
      </c>
      <c r="O491" s="4">
        <f t="shared" si="19"/>
        <v>0</v>
      </c>
      <c r="P491" s="59">
        <f t="shared" si="20"/>
        <v>260</v>
      </c>
      <c r="Q491" s="4" t="s">
        <v>97</v>
      </c>
      <c r="R491" s="4" t="s">
        <v>137</v>
      </c>
    </row>
    <row r="492" spans="1:18" ht="22.5" customHeight="1" x14ac:dyDescent="0.25">
      <c r="A492" s="76">
        <v>46074</v>
      </c>
      <c r="B492" s="4" t="s">
        <v>618</v>
      </c>
      <c r="C492" s="4" t="s">
        <v>79</v>
      </c>
      <c r="D492" s="59">
        <v>80</v>
      </c>
      <c r="E492" s="4" t="s">
        <v>22</v>
      </c>
      <c r="F492" s="4" t="s">
        <v>166</v>
      </c>
      <c r="G492" s="18" t="s">
        <v>521</v>
      </c>
      <c r="H492" s="4" t="s">
        <v>80</v>
      </c>
      <c r="K492" s="4" t="s">
        <v>459</v>
      </c>
      <c r="L492" s="4" t="s">
        <v>98</v>
      </c>
      <c r="N492" s="13">
        <v>15</v>
      </c>
      <c r="O492" s="4">
        <f t="shared" si="19"/>
        <v>12</v>
      </c>
      <c r="P492" s="59">
        <f t="shared" si="20"/>
        <v>92</v>
      </c>
      <c r="Q492" s="4" t="s">
        <v>97</v>
      </c>
      <c r="R492" s="4" t="s">
        <v>191</v>
      </c>
    </row>
    <row r="493" spans="1:18" ht="22.5" customHeight="1" x14ac:dyDescent="0.25">
      <c r="A493" s="76">
        <v>46074</v>
      </c>
      <c r="B493" s="4" t="s">
        <v>619</v>
      </c>
      <c r="C493" s="4" t="s">
        <v>79</v>
      </c>
      <c r="D493" s="59">
        <v>83.48</v>
      </c>
      <c r="E493" s="4" t="s">
        <v>22</v>
      </c>
      <c r="F493" s="4" t="s">
        <v>166</v>
      </c>
      <c r="H493" s="4" t="s">
        <v>80</v>
      </c>
      <c r="K493" s="4" t="s">
        <v>620</v>
      </c>
      <c r="L493" s="4" t="s">
        <v>98</v>
      </c>
      <c r="N493" s="13">
        <v>15</v>
      </c>
      <c r="O493" s="4">
        <f t="shared" si="19"/>
        <v>12.52</v>
      </c>
      <c r="P493" s="59">
        <f t="shared" si="20"/>
        <v>96</v>
      </c>
      <c r="Q493" s="4" t="s">
        <v>97</v>
      </c>
      <c r="R493" s="4" t="s">
        <v>137</v>
      </c>
    </row>
    <row r="494" spans="1:18" ht="22.5" customHeight="1" x14ac:dyDescent="0.25">
      <c r="A494" s="76">
        <v>46074</v>
      </c>
      <c r="B494" s="4" t="s">
        <v>621</v>
      </c>
      <c r="C494" s="4" t="s">
        <v>79</v>
      </c>
      <c r="D494" s="59">
        <v>2000</v>
      </c>
      <c r="E494" s="4" t="s">
        <v>22</v>
      </c>
      <c r="F494" s="4" t="s">
        <v>249</v>
      </c>
      <c r="G494" s="18" t="s">
        <v>456</v>
      </c>
      <c r="H494" s="4" t="s">
        <v>622</v>
      </c>
      <c r="K494" s="21" t="s">
        <v>441</v>
      </c>
      <c r="L494" s="4" t="s">
        <v>98</v>
      </c>
      <c r="N494" s="13">
        <v>0</v>
      </c>
      <c r="O494" s="4">
        <f t="shared" si="19"/>
        <v>0</v>
      </c>
      <c r="P494" s="59">
        <f t="shared" si="20"/>
        <v>2000</v>
      </c>
      <c r="Q494" s="4" t="s">
        <v>97</v>
      </c>
      <c r="R494" s="4" t="s">
        <v>191</v>
      </c>
    </row>
    <row r="495" spans="1:18" ht="22.5" customHeight="1" x14ac:dyDescent="0.25">
      <c r="A495" s="76">
        <v>46074</v>
      </c>
      <c r="B495" s="4" t="s">
        <v>623</v>
      </c>
      <c r="C495" s="4" t="s">
        <v>79</v>
      </c>
      <c r="D495" s="59">
        <v>1500</v>
      </c>
      <c r="E495" s="4" t="s">
        <v>22</v>
      </c>
      <c r="F495" s="4" t="s">
        <v>253</v>
      </c>
      <c r="H495" s="4" t="s">
        <v>626</v>
      </c>
      <c r="K495" s="4" t="s">
        <v>624</v>
      </c>
      <c r="L495" s="4" t="s">
        <v>154</v>
      </c>
      <c r="N495" s="13">
        <v>0</v>
      </c>
      <c r="O495" s="4">
        <f t="shared" si="19"/>
        <v>0</v>
      </c>
      <c r="P495" s="59">
        <f t="shared" si="20"/>
        <v>1500</v>
      </c>
      <c r="Q495" s="4" t="s">
        <v>97</v>
      </c>
      <c r="R495" s="4" t="s">
        <v>137</v>
      </c>
    </row>
    <row r="496" spans="1:18" ht="22.5" customHeight="1" x14ac:dyDescent="0.25">
      <c r="A496" s="76">
        <v>46074</v>
      </c>
      <c r="B496" s="4" t="s">
        <v>623</v>
      </c>
      <c r="C496" s="4" t="s">
        <v>79</v>
      </c>
      <c r="D496" s="59">
        <v>1800</v>
      </c>
      <c r="E496" s="4" t="s">
        <v>22</v>
      </c>
      <c r="F496" s="4" t="s">
        <v>253</v>
      </c>
      <c r="H496" s="4" t="s">
        <v>626</v>
      </c>
      <c r="K496" s="4" t="s">
        <v>169</v>
      </c>
      <c r="L496" s="4" t="s">
        <v>154</v>
      </c>
      <c r="N496" s="13">
        <v>0</v>
      </c>
      <c r="O496" s="4">
        <f t="shared" si="19"/>
        <v>0</v>
      </c>
      <c r="P496" s="59">
        <f t="shared" si="20"/>
        <v>1800</v>
      </c>
      <c r="Q496" s="4" t="s">
        <v>97</v>
      </c>
      <c r="R496" s="4" t="s">
        <v>137</v>
      </c>
    </row>
    <row r="497" spans="1:18" ht="22.5" customHeight="1" x14ac:dyDescent="0.25">
      <c r="A497" s="76">
        <v>46074</v>
      </c>
      <c r="B497" s="4" t="s">
        <v>625</v>
      </c>
      <c r="C497" s="4" t="s">
        <v>79</v>
      </c>
      <c r="D497" s="59">
        <v>3000</v>
      </c>
      <c r="E497" s="4" t="s">
        <v>22</v>
      </c>
      <c r="F497" s="4" t="s">
        <v>253</v>
      </c>
      <c r="H497" s="4" t="s">
        <v>626</v>
      </c>
      <c r="K497" s="4" t="s">
        <v>627</v>
      </c>
      <c r="L497" s="4" t="s">
        <v>154</v>
      </c>
      <c r="N497" s="13">
        <v>0</v>
      </c>
      <c r="O497" s="4">
        <f t="shared" si="19"/>
        <v>0</v>
      </c>
      <c r="P497" s="59">
        <f t="shared" si="20"/>
        <v>3000</v>
      </c>
      <c r="Q497" s="4" t="s">
        <v>97</v>
      </c>
      <c r="R497" s="4" t="s">
        <v>137</v>
      </c>
    </row>
    <row r="498" spans="1:18" ht="22.5" customHeight="1" x14ac:dyDescent="0.25">
      <c r="A498" s="76">
        <v>46074</v>
      </c>
      <c r="B498" s="4" t="s">
        <v>628</v>
      </c>
      <c r="C498" s="4" t="s">
        <v>79</v>
      </c>
      <c r="D498" s="59">
        <v>1160</v>
      </c>
      <c r="E498" s="4" t="s">
        <v>22</v>
      </c>
      <c r="F498" s="4" t="s">
        <v>253</v>
      </c>
      <c r="H498" s="4" t="s">
        <v>626</v>
      </c>
      <c r="K498" s="4" t="s">
        <v>629</v>
      </c>
      <c r="L498" s="4" t="s">
        <v>154</v>
      </c>
      <c r="N498" s="13">
        <v>0</v>
      </c>
      <c r="O498" s="4">
        <f t="shared" si="19"/>
        <v>0</v>
      </c>
      <c r="P498" s="59">
        <f t="shared" si="20"/>
        <v>1160</v>
      </c>
      <c r="Q498" s="4" t="s">
        <v>97</v>
      </c>
      <c r="R498" s="4" t="s">
        <v>137</v>
      </c>
    </row>
    <row r="499" spans="1:18" ht="22.5" customHeight="1" x14ac:dyDescent="0.25">
      <c r="A499" s="76">
        <v>46075</v>
      </c>
      <c r="B499" s="4" t="s">
        <v>630</v>
      </c>
      <c r="C499" s="4" t="s">
        <v>79</v>
      </c>
      <c r="D499" s="59">
        <v>100</v>
      </c>
      <c r="E499" s="4" t="s">
        <v>22</v>
      </c>
      <c r="F499" s="4" t="s">
        <v>253</v>
      </c>
      <c r="H499" s="4" t="s">
        <v>626</v>
      </c>
      <c r="K499" s="4" t="s">
        <v>447</v>
      </c>
      <c r="L499" s="4" t="s">
        <v>98</v>
      </c>
      <c r="N499" s="13">
        <v>0</v>
      </c>
      <c r="O499" s="4">
        <f t="shared" si="19"/>
        <v>0</v>
      </c>
      <c r="P499" s="59">
        <f t="shared" si="20"/>
        <v>100</v>
      </c>
      <c r="Q499" s="4" t="s">
        <v>97</v>
      </c>
      <c r="R499" s="4" t="s">
        <v>137</v>
      </c>
    </row>
    <row r="500" spans="1:18" ht="22.5" customHeight="1" x14ac:dyDescent="0.25">
      <c r="A500" s="76">
        <v>46075</v>
      </c>
      <c r="B500" s="4" t="s">
        <v>631</v>
      </c>
      <c r="C500" s="4" t="s">
        <v>79</v>
      </c>
      <c r="D500" s="59">
        <v>10</v>
      </c>
      <c r="E500" s="4" t="s">
        <v>22</v>
      </c>
      <c r="F500" s="4" t="s">
        <v>253</v>
      </c>
      <c r="H500" s="4" t="s">
        <v>626</v>
      </c>
      <c r="K500" s="4" t="s">
        <v>99</v>
      </c>
      <c r="L500" s="4" t="s">
        <v>98</v>
      </c>
      <c r="N500" s="13">
        <v>0</v>
      </c>
      <c r="O500" s="4">
        <f t="shared" si="19"/>
        <v>0</v>
      </c>
      <c r="P500" s="59">
        <f t="shared" si="20"/>
        <v>10</v>
      </c>
      <c r="Q500" s="4" t="s">
        <v>97</v>
      </c>
      <c r="R500" s="4" t="s">
        <v>137</v>
      </c>
    </row>
    <row r="501" spans="1:18" ht="22.5" customHeight="1" x14ac:dyDescent="0.25">
      <c r="A501" s="76">
        <v>46075</v>
      </c>
      <c r="B501" s="4" t="s">
        <v>632</v>
      </c>
      <c r="C501" s="4" t="s">
        <v>79</v>
      </c>
      <c r="D501" s="59">
        <v>185</v>
      </c>
      <c r="E501" s="4" t="s">
        <v>22</v>
      </c>
      <c r="F501" s="4" t="s">
        <v>253</v>
      </c>
      <c r="H501" s="4" t="s">
        <v>626</v>
      </c>
      <c r="K501" s="4" t="s">
        <v>162</v>
      </c>
      <c r="L501" s="4" t="s">
        <v>163</v>
      </c>
      <c r="N501" s="13">
        <v>0</v>
      </c>
      <c r="O501" s="4">
        <f t="shared" si="19"/>
        <v>0</v>
      </c>
      <c r="P501" s="59">
        <f t="shared" si="20"/>
        <v>185</v>
      </c>
      <c r="Q501" s="4" t="s">
        <v>97</v>
      </c>
      <c r="R501" s="4" t="s">
        <v>137</v>
      </c>
    </row>
    <row r="502" spans="1:18" ht="22.5" customHeight="1" x14ac:dyDescent="0.25">
      <c r="A502" s="76">
        <v>46075</v>
      </c>
      <c r="B502" s="4" t="s">
        <v>257</v>
      </c>
      <c r="C502" s="4" t="s">
        <v>79</v>
      </c>
      <c r="D502" s="59">
        <v>43.49</v>
      </c>
      <c r="E502" s="4" t="s">
        <v>22</v>
      </c>
      <c r="F502" s="4" t="s">
        <v>115</v>
      </c>
      <c r="G502" s="18" t="s">
        <v>536</v>
      </c>
      <c r="H502" s="4" t="s">
        <v>115</v>
      </c>
      <c r="K502" s="4" t="s">
        <v>99</v>
      </c>
      <c r="L502" s="4" t="s">
        <v>98</v>
      </c>
      <c r="N502" s="13">
        <v>15</v>
      </c>
      <c r="O502" s="4">
        <f t="shared" si="19"/>
        <v>6.52</v>
      </c>
      <c r="P502" s="59">
        <f t="shared" si="20"/>
        <v>50.010000000000005</v>
      </c>
      <c r="Q502" s="4" t="s">
        <v>97</v>
      </c>
      <c r="R502" s="4" t="s">
        <v>191</v>
      </c>
    </row>
    <row r="503" spans="1:18" ht="22.5" customHeight="1" x14ac:dyDescent="0.25">
      <c r="A503" s="76">
        <v>46075</v>
      </c>
      <c r="B503" s="4" t="s">
        <v>633</v>
      </c>
      <c r="C503" s="4" t="s">
        <v>79</v>
      </c>
      <c r="D503" s="59">
        <v>143.47999999999999</v>
      </c>
      <c r="E503" s="4" t="s">
        <v>22</v>
      </c>
      <c r="F503" s="4" t="s">
        <v>166</v>
      </c>
      <c r="G503" s="18" t="s">
        <v>448</v>
      </c>
      <c r="H503" s="4" t="s">
        <v>80</v>
      </c>
      <c r="K503" s="4" t="s">
        <v>634</v>
      </c>
      <c r="L503" s="4" t="s">
        <v>98</v>
      </c>
      <c r="N503" s="13">
        <v>15</v>
      </c>
      <c r="O503" s="4">
        <f t="shared" si="19"/>
        <v>21.52</v>
      </c>
      <c r="P503" s="59">
        <f t="shared" si="20"/>
        <v>165</v>
      </c>
      <c r="Q503" s="4" t="s">
        <v>97</v>
      </c>
      <c r="R503" s="4" t="s">
        <v>191</v>
      </c>
    </row>
    <row r="504" spans="1:18" ht="22.5" customHeight="1" x14ac:dyDescent="0.25">
      <c r="A504" s="76">
        <v>46075</v>
      </c>
      <c r="B504" s="4" t="s">
        <v>633</v>
      </c>
      <c r="C504" s="4" t="s">
        <v>79</v>
      </c>
      <c r="D504" s="59">
        <v>575</v>
      </c>
      <c r="E504" s="4" t="s">
        <v>22</v>
      </c>
      <c r="F504" s="4" t="s">
        <v>166</v>
      </c>
      <c r="G504" s="18" t="s">
        <v>448</v>
      </c>
      <c r="H504" s="4" t="s">
        <v>80</v>
      </c>
      <c r="K504" s="4" t="s">
        <v>635</v>
      </c>
      <c r="L504" s="4" t="s">
        <v>98</v>
      </c>
      <c r="N504" s="13">
        <v>15</v>
      </c>
      <c r="O504" s="4">
        <f t="shared" si="19"/>
        <v>86.25</v>
      </c>
      <c r="P504" s="59">
        <f t="shared" si="20"/>
        <v>661.25</v>
      </c>
      <c r="Q504" s="4" t="s">
        <v>97</v>
      </c>
      <c r="R504" s="4" t="s">
        <v>191</v>
      </c>
    </row>
    <row r="505" spans="1:18" ht="22.5" customHeight="1" x14ac:dyDescent="0.25">
      <c r="A505" s="76">
        <v>46075</v>
      </c>
      <c r="B505" s="4" t="s">
        <v>636</v>
      </c>
      <c r="C505" s="4" t="s">
        <v>79</v>
      </c>
      <c r="D505" s="59">
        <v>131</v>
      </c>
      <c r="E505" s="4" t="s">
        <v>22</v>
      </c>
      <c r="F505" s="4" t="s">
        <v>166</v>
      </c>
      <c r="H505" s="4" t="s">
        <v>80</v>
      </c>
      <c r="K505" s="4" t="s">
        <v>637</v>
      </c>
      <c r="L505" s="4" t="s">
        <v>98</v>
      </c>
      <c r="N505" s="13">
        <v>15</v>
      </c>
      <c r="O505" s="4">
        <f t="shared" si="19"/>
        <v>19.649999999999999</v>
      </c>
      <c r="P505" s="59">
        <f t="shared" si="20"/>
        <v>150.65</v>
      </c>
      <c r="Q505" s="4" t="s">
        <v>97</v>
      </c>
      <c r="R505" s="4" t="s">
        <v>137</v>
      </c>
    </row>
    <row r="506" spans="1:18" ht="22.5" customHeight="1" x14ac:dyDescent="0.25">
      <c r="A506" s="76">
        <v>46075</v>
      </c>
      <c r="B506" s="4" t="s">
        <v>638</v>
      </c>
      <c r="C506" s="4" t="s">
        <v>79</v>
      </c>
      <c r="D506" s="59">
        <v>2000</v>
      </c>
      <c r="E506" s="4" t="s">
        <v>22</v>
      </c>
      <c r="F506" s="4" t="s">
        <v>249</v>
      </c>
      <c r="G506" s="18" t="s">
        <v>448</v>
      </c>
      <c r="H506" s="4" t="s">
        <v>622</v>
      </c>
      <c r="K506" s="4" t="s">
        <v>449</v>
      </c>
      <c r="L506" s="4" t="s">
        <v>98</v>
      </c>
      <c r="N506" s="13">
        <v>0</v>
      </c>
      <c r="O506" s="4">
        <f t="shared" si="19"/>
        <v>0</v>
      </c>
      <c r="P506" s="59">
        <f t="shared" si="20"/>
        <v>2000</v>
      </c>
      <c r="Q506" s="4" t="s">
        <v>97</v>
      </c>
      <c r="R506" s="4" t="s">
        <v>191</v>
      </c>
    </row>
    <row r="507" spans="1:18" ht="22.5" customHeight="1" x14ac:dyDescent="0.25">
      <c r="A507" s="76">
        <v>46075</v>
      </c>
      <c r="B507" s="4" t="s">
        <v>161</v>
      </c>
      <c r="C507" s="4" t="s">
        <v>79</v>
      </c>
      <c r="D507" s="59">
        <v>1300</v>
      </c>
      <c r="E507" s="4" t="s">
        <v>22</v>
      </c>
      <c r="F507" s="4" t="s">
        <v>25</v>
      </c>
      <c r="H507" s="4" t="s">
        <v>196</v>
      </c>
      <c r="K507" s="4" t="s">
        <v>162</v>
      </c>
      <c r="L507" s="4" t="s">
        <v>98</v>
      </c>
      <c r="N507" s="13">
        <v>0</v>
      </c>
      <c r="O507" s="4">
        <f t="shared" si="19"/>
        <v>0</v>
      </c>
      <c r="P507" s="59">
        <f t="shared" si="20"/>
        <v>1300</v>
      </c>
      <c r="Q507" s="4" t="s">
        <v>97</v>
      </c>
      <c r="R507" s="4" t="s">
        <v>137</v>
      </c>
    </row>
    <row r="508" spans="1:18" ht="22.5" customHeight="1" x14ac:dyDescent="0.25">
      <c r="A508" s="76">
        <v>46076</v>
      </c>
      <c r="B508" s="4" t="s">
        <v>75</v>
      </c>
      <c r="C508" s="4" t="s">
        <v>79</v>
      </c>
      <c r="D508" s="59">
        <v>43.49</v>
      </c>
      <c r="E508" s="4" t="s">
        <v>22</v>
      </c>
      <c r="F508" s="4" t="s">
        <v>57</v>
      </c>
      <c r="H508" s="4" t="s">
        <v>81</v>
      </c>
      <c r="K508" s="4" t="s">
        <v>99</v>
      </c>
      <c r="L508" s="4" t="s">
        <v>98</v>
      </c>
      <c r="N508" s="13">
        <v>15</v>
      </c>
      <c r="O508" s="4">
        <f t="shared" si="19"/>
        <v>6.52</v>
      </c>
      <c r="P508" s="59">
        <f t="shared" si="20"/>
        <v>50.010000000000005</v>
      </c>
      <c r="Q508" s="4" t="s">
        <v>97</v>
      </c>
      <c r="R508" s="4" t="s">
        <v>137</v>
      </c>
    </row>
    <row r="509" spans="1:18" ht="22.5" customHeight="1" x14ac:dyDescent="0.25">
      <c r="A509" s="76">
        <v>46076</v>
      </c>
      <c r="B509" s="4" t="s">
        <v>257</v>
      </c>
      <c r="C509" s="4" t="s">
        <v>79</v>
      </c>
      <c r="D509" s="59">
        <v>43.49</v>
      </c>
      <c r="E509" s="4" t="s">
        <v>22</v>
      </c>
      <c r="F509" s="4" t="s">
        <v>115</v>
      </c>
      <c r="H509" s="4" t="s">
        <v>115</v>
      </c>
      <c r="K509" s="4" t="s">
        <v>99</v>
      </c>
      <c r="L509" s="4" t="s">
        <v>98</v>
      </c>
      <c r="N509" s="13">
        <v>15</v>
      </c>
      <c r="O509" s="4">
        <f t="shared" si="19"/>
        <v>6.52</v>
      </c>
      <c r="P509" s="59">
        <f t="shared" si="20"/>
        <v>50.010000000000005</v>
      </c>
      <c r="Q509" s="4" t="s">
        <v>97</v>
      </c>
      <c r="R509" s="4" t="s">
        <v>137</v>
      </c>
    </row>
    <row r="510" spans="1:18" ht="22.5" customHeight="1" x14ac:dyDescent="0.25">
      <c r="A510" s="76">
        <v>46076</v>
      </c>
      <c r="B510" s="4" t="s">
        <v>75</v>
      </c>
      <c r="C510" s="4" t="s">
        <v>79</v>
      </c>
      <c r="D510" s="59">
        <v>46</v>
      </c>
      <c r="E510" s="4" t="s">
        <v>22</v>
      </c>
      <c r="F510" s="4" t="s">
        <v>57</v>
      </c>
      <c r="H510" s="4" t="s">
        <v>81</v>
      </c>
      <c r="K510" s="4" t="s">
        <v>99</v>
      </c>
      <c r="L510" s="4" t="s">
        <v>98</v>
      </c>
      <c r="N510" s="13">
        <v>0</v>
      </c>
      <c r="O510" s="4">
        <f t="shared" si="19"/>
        <v>0</v>
      </c>
      <c r="P510" s="59">
        <f t="shared" si="20"/>
        <v>46</v>
      </c>
      <c r="Q510" s="4" t="s">
        <v>97</v>
      </c>
      <c r="R510" s="4" t="s">
        <v>137</v>
      </c>
    </row>
    <row r="511" spans="1:18" ht="22.5" customHeight="1" x14ac:dyDescent="0.25">
      <c r="A511" s="76">
        <v>46076</v>
      </c>
      <c r="B511" s="4" t="s">
        <v>580</v>
      </c>
      <c r="C511" s="4" t="s">
        <v>79</v>
      </c>
      <c r="D511" s="59">
        <v>20</v>
      </c>
      <c r="E511" s="4" t="s">
        <v>22</v>
      </c>
      <c r="F511" s="4" t="s">
        <v>166</v>
      </c>
      <c r="G511" s="18" t="s">
        <v>521</v>
      </c>
      <c r="H511" s="4" t="s">
        <v>80</v>
      </c>
      <c r="K511" s="4" t="s">
        <v>99</v>
      </c>
      <c r="L511" s="4" t="s">
        <v>98</v>
      </c>
      <c r="N511" s="13">
        <v>0</v>
      </c>
      <c r="O511" s="4">
        <f t="shared" si="19"/>
        <v>0</v>
      </c>
      <c r="P511" s="59">
        <f t="shared" si="20"/>
        <v>20</v>
      </c>
      <c r="Q511" s="4" t="s">
        <v>97</v>
      </c>
      <c r="R511" s="4" t="s">
        <v>191</v>
      </c>
    </row>
    <row r="512" spans="1:18" ht="22.5" customHeight="1" x14ac:dyDescent="0.25">
      <c r="A512" s="76">
        <v>46076</v>
      </c>
      <c r="B512" s="4" t="s">
        <v>646</v>
      </c>
      <c r="C512" s="4" t="s">
        <v>79</v>
      </c>
      <c r="D512" s="59">
        <v>126.6</v>
      </c>
      <c r="E512" s="4" t="s">
        <v>22</v>
      </c>
      <c r="F512" s="4" t="s">
        <v>166</v>
      </c>
      <c r="G512" s="18" t="s">
        <v>536</v>
      </c>
      <c r="H512" s="4" t="s">
        <v>80</v>
      </c>
      <c r="K512" s="4" t="s">
        <v>647</v>
      </c>
      <c r="L512" s="4" t="s">
        <v>98</v>
      </c>
      <c r="N512" s="13">
        <v>15</v>
      </c>
      <c r="O512" s="4">
        <f t="shared" si="19"/>
        <v>18.989999999999998</v>
      </c>
      <c r="P512" s="59">
        <f t="shared" si="20"/>
        <v>145.59</v>
      </c>
      <c r="Q512" s="4" t="s">
        <v>97</v>
      </c>
      <c r="R512" s="4" t="s">
        <v>191</v>
      </c>
    </row>
    <row r="513" spans="1:18" ht="22.5" customHeight="1" x14ac:dyDescent="0.25">
      <c r="A513" s="76">
        <v>46076</v>
      </c>
      <c r="B513" s="4" t="s">
        <v>633</v>
      </c>
      <c r="C513" s="4" t="s">
        <v>79</v>
      </c>
      <c r="D513" s="59">
        <v>743.5</v>
      </c>
      <c r="E513" s="4" t="s">
        <v>22</v>
      </c>
      <c r="F513" s="4" t="s">
        <v>166</v>
      </c>
      <c r="G513" s="18" t="s">
        <v>448</v>
      </c>
      <c r="H513" s="4" t="s">
        <v>80</v>
      </c>
      <c r="K513" s="4" t="s">
        <v>635</v>
      </c>
      <c r="L513" s="4" t="s">
        <v>98</v>
      </c>
      <c r="N513" s="13">
        <v>15</v>
      </c>
      <c r="O513" s="4">
        <f t="shared" si="19"/>
        <v>111.53</v>
      </c>
      <c r="P513" s="59">
        <f t="shared" si="20"/>
        <v>855.03</v>
      </c>
      <c r="Q513" s="4" t="s">
        <v>97</v>
      </c>
      <c r="R513" s="4" t="s">
        <v>191</v>
      </c>
    </row>
    <row r="514" spans="1:18" ht="22.5" customHeight="1" x14ac:dyDescent="0.25">
      <c r="A514" s="76">
        <v>46076</v>
      </c>
      <c r="B514" s="4" t="s">
        <v>648</v>
      </c>
      <c r="C514" s="4" t="s">
        <v>79</v>
      </c>
      <c r="D514" s="59">
        <v>100</v>
      </c>
      <c r="E514" s="4" t="s">
        <v>22</v>
      </c>
      <c r="F514" s="4" t="s">
        <v>253</v>
      </c>
      <c r="H514" s="4" t="s">
        <v>626</v>
      </c>
      <c r="K514" s="4" t="s">
        <v>649</v>
      </c>
      <c r="L514" s="4" t="s">
        <v>154</v>
      </c>
      <c r="N514" s="13">
        <v>0</v>
      </c>
      <c r="O514" s="4">
        <f t="shared" si="19"/>
        <v>0</v>
      </c>
      <c r="P514" s="59">
        <f t="shared" si="20"/>
        <v>100</v>
      </c>
      <c r="Q514" s="4" t="s">
        <v>97</v>
      </c>
      <c r="R514" s="4" t="s">
        <v>137</v>
      </c>
    </row>
    <row r="515" spans="1:18" ht="22.5" customHeight="1" x14ac:dyDescent="0.25">
      <c r="A515" s="76">
        <v>46076</v>
      </c>
      <c r="B515" s="4" t="s">
        <v>650</v>
      </c>
      <c r="C515" s="4" t="s">
        <v>79</v>
      </c>
      <c r="D515" s="59">
        <v>500</v>
      </c>
      <c r="E515" s="4" t="s">
        <v>29</v>
      </c>
      <c r="F515" s="4" t="s">
        <v>29</v>
      </c>
      <c r="H515" s="4" t="s">
        <v>626</v>
      </c>
      <c r="K515" s="4" t="s">
        <v>629</v>
      </c>
      <c r="L515" s="4" t="s">
        <v>154</v>
      </c>
      <c r="N515" s="13">
        <v>0</v>
      </c>
      <c r="O515" s="4">
        <f t="shared" si="19"/>
        <v>0</v>
      </c>
      <c r="P515" s="59">
        <f t="shared" si="20"/>
        <v>500</v>
      </c>
      <c r="Q515" s="4" t="s">
        <v>97</v>
      </c>
      <c r="R515" s="4" t="s">
        <v>137</v>
      </c>
    </row>
    <row r="516" spans="1:18" ht="22.5" customHeight="1" x14ac:dyDescent="0.25">
      <c r="A516" s="76">
        <v>46077</v>
      </c>
      <c r="B516" s="4" t="s">
        <v>257</v>
      </c>
      <c r="C516" s="4" t="s">
        <v>79</v>
      </c>
      <c r="D516" s="59">
        <v>43.49</v>
      </c>
      <c r="E516" s="4" t="s">
        <v>22</v>
      </c>
      <c r="F516" s="4" t="s">
        <v>115</v>
      </c>
      <c r="G516" s="18" t="s">
        <v>521</v>
      </c>
      <c r="H516" s="4" t="s">
        <v>115</v>
      </c>
      <c r="K516" s="4" t="s">
        <v>99</v>
      </c>
      <c r="L516" s="4" t="s">
        <v>98</v>
      </c>
      <c r="N516" s="13">
        <v>15</v>
      </c>
      <c r="O516" s="4">
        <f t="shared" si="19"/>
        <v>6.52</v>
      </c>
      <c r="P516" s="59">
        <f t="shared" si="20"/>
        <v>50.010000000000005</v>
      </c>
      <c r="Q516" s="4" t="s">
        <v>97</v>
      </c>
      <c r="R516" s="4" t="s">
        <v>191</v>
      </c>
    </row>
    <row r="517" spans="1:18" ht="22.5" customHeight="1" x14ac:dyDescent="0.25">
      <c r="A517" s="76">
        <v>46077</v>
      </c>
      <c r="B517" s="4" t="s">
        <v>75</v>
      </c>
      <c r="C517" s="4" t="s">
        <v>79</v>
      </c>
      <c r="D517" s="59">
        <v>20</v>
      </c>
      <c r="E517" s="4" t="s">
        <v>22</v>
      </c>
      <c r="F517" s="4" t="s">
        <v>57</v>
      </c>
      <c r="G517" s="18" t="s">
        <v>521</v>
      </c>
      <c r="H517" s="4" t="s">
        <v>81</v>
      </c>
      <c r="K517" s="4" t="s">
        <v>99</v>
      </c>
      <c r="L517" s="4" t="s">
        <v>98</v>
      </c>
      <c r="N517" s="13">
        <v>0</v>
      </c>
      <c r="O517" s="4">
        <f t="shared" si="19"/>
        <v>0</v>
      </c>
      <c r="P517" s="59">
        <f t="shared" si="20"/>
        <v>20</v>
      </c>
      <c r="Q517" s="4" t="s">
        <v>97</v>
      </c>
      <c r="R517" s="4" t="s">
        <v>191</v>
      </c>
    </row>
    <row r="518" spans="1:18" ht="22.5" customHeight="1" x14ac:dyDescent="0.25">
      <c r="A518" s="76">
        <v>46077</v>
      </c>
      <c r="B518" s="4" t="s">
        <v>651</v>
      </c>
      <c r="C518" s="4" t="s">
        <v>79</v>
      </c>
      <c r="D518" s="59">
        <v>390</v>
      </c>
      <c r="E518" s="4" t="s">
        <v>22</v>
      </c>
      <c r="F518" s="4" t="s">
        <v>568</v>
      </c>
      <c r="H518" s="4" t="s">
        <v>543</v>
      </c>
      <c r="K518" s="4" t="s">
        <v>652</v>
      </c>
      <c r="L518" s="4" t="s">
        <v>98</v>
      </c>
      <c r="N518" s="13">
        <v>0</v>
      </c>
      <c r="O518" s="4">
        <f t="shared" si="19"/>
        <v>0</v>
      </c>
      <c r="P518" s="59">
        <f t="shared" si="20"/>
        <v>390</v>
      </c>
      <c r="Q518" s="4" t="s">
        <v>97</v>
      </c>
      <c r="R518" s="4" t="s">
        <v>137</v>
      </c>
    </row>
    <row r="519" spans="1:18" ht="22.5" customHeight="1" x14ac:dyDescent="0.25">
      <c r="A519" s="76">
        <v>46077</v>
      </c>
      <c r="B519" s="4" t="s">
        <v>653</v>
      </c>
      <c r="C519" s="4" t="s">
        <v>79</v>
      </c>
      <c r="D519" s="59">
        <v>108.75</v>
      </c>
      <c r="E519" s="4" t="s">
        <v>22</v>
      </c>
      <c r="F519" s="4" t="s">
        <v>166</v>
      </c>
      <c r="G519" s="18" t="s">
        <v>521</v>
      </c>
      <c r="H519" s="4" t="s">
        <v>80</v>
      </c>
      <c r="K519" s="4" t="s">
        <v>134</v>
      </c>
      <c r="L519" s="4" t="s">
        <v>98</v>
      </c>
      <c r="N519" s="13">
        <v>15</v>
      </c>
      <c r="O519" s="4">
        <f t="shared" si="19"/>
        <v>16.309999999999999</v>
      </c>
      <c r="P519" s="59">
        <f t="shared" si="20"/>
        <v>125.06</v>
      </c>
      <c r="Q519" s="4" t="s">
        <v>97</v>
      </c>
      <c r="R519" s="4" t="s">
        <v>191</v>
      </c>
    </row>
    <row r="520" spans="1:18" ht="22.5" customHeight="1" x14ac:dyDescent="0.25">
      <c r="A520" s="76">
        <v>46077</v>
      </c>
      <c r="B520" s="4" t="s">
        <v>654</v>
      </c>
      <c r="C520" s="4" t="s">
        <v>79</v>
      </c>
      <c r="D520" s="59">
        <v>28.5</v>
      </c>
      <c r="E520" s="4" t="s">
        <v>22</v>
      </c>
      <c r="F520" s="4" t="s">
        <v>166</v>
      </c>
      <c r="G520" s="18" t="s">
        <v>521</v>
      </c>
      <c r="H520" s="4" t="s">
        <v>80</v>
      </c>
      <c r="K520" s="4" t="s">
        <v>99</v>
      </c>
      <c r="L520" s="4" t="s">
        <v>98</v>
      </c>
      <c r="N520" s="13">
        <v>15</v>
      </c>
      <c r="O520" s="4">
        <f t="shared" si="19"/>
        <v>4.28</v>
      </c>
      <c r="P520" s="59">
        <f t="shared" si="20"/>
        <v>32.78</v>
      </c>
      <c r="Q520" s="4" t="s">
        <v>97</v>
      </c>
      <c r="R520" s="4" t="s">
        <v>191</v>
      </c>
    </row>
    <row r="521" spans="1:18" ht="22.5" customHeight="1" x14ac:dyDescent="0.25">
      <c r="A521" s="76">
        <v>46078</v>
      </c>
      <c r="B521" s="4" t="s">
        <v>655</v>
      </c>
      <c r="C521" s="4" t="s">
        <v>79</v>
      </c>
      <c r="D521" s="59">
        <v>32</v>
      </c>
      <c r="E521" s="4" t="s">
        <v>22</v>
      </c>
      <c r="F521" s="4" t="s">
        <v>656</v>
      </c>
      <c r="H521" s="4" t="s">
        <v>379</v>
      </c>
      <c r="K521" s="4" t="s">
        <v>99</v>
      </c>
      <c r="L521" s="4" t="s">
        <v>98</v>
      </c>
      <c r="N521" s="13">
        <v>0</v>
      </c>
      <c r="O521" s="4">
        <f t="shared" si="19"/>
        <v>0</v>
      </c>
      <c r="P521" s="59">
        <f t="shared" si="20"/>
        <v>32</v>
      </c>
      <c r="Q521" s="4" t="s">
        <v>97</v>
      </c>
      <c r="R521" s="4" t="s">
        <v>137</v>
      </c>
    </row>
    <row r="522" spans="1:18" ht="22.5" customHeight="1" x14ac:dyDescent="0.25">
      <c r="A522" s="76">
        <v>46078</v>
      </c>
      <c r="B522" s="4" t="s">
        <v>257</v>
      </c>
      <c r="C522" s="4" t="s">
        <v>79</v>
      </c>
      <c r="D522" s="59">
        <v>130.4</v>
      </c>
      <c r="E522" s="4" t="s">
        <v>22</v>
      </c>
      <c r="F522" s="4" t="s">
        <v>115</v>
      </c>
      <c r="H522" s="4" t="s">
        <v>115</v>
      </c>
      <c r="K522" s="4" t="s">
        <v>99</v>
      </c>
      <c r="L522" s="4" t="s">
        <v>98</v>
      </c>
      <c r="N522" s="13">
        <v>15</v>
      </c>
      <c r="O522" s="4">
        <f t="shared" si="19"/>
        <v>19.559999999999999</v>
      </c>
      <c r="P522" s="59">
        <f t="shared" si="20"/>
        <v>149.96</v>
      </c>
      <c r="Q522" s="4" t="s">
        <v>97</v>
      </c>
      <c r="R522" s="4" t="s">
        <v>137</v>
      </c>
    </row>
    <row r="523" spans="1:18" ht="22.5" customHeight="1" x14ac:dyDescent="0.25">
      <c r="A523" s="76">
        <v>46078</v>
      </c>
      <c r="B523" s="4" t="s">
        <v>75</v>
      </c>
      <c r="C523" s="4" t="s">
        <v>79</v>
      </c>
      <c r="D523" s="59">
        <v>37</v>
      </c>
      <c r="E523" s="4" t="s">
        <v>22</v>
      </c>
      <c r="F523" s="4" t="s">
        <v>57</v>
      </c>
      <c r="H523" s="4" t="s">
        <v>81</v>
      </c>
      <c r="K523" s="4" t="s">
        <v>99</v>
      </c>
      <c r="L523" s="4" t="s">
        <v>98</v>
      </c>
      <c r="N523" s="13">
        <v>0</v>
      </c>
      <c r="O523" s="4">
        <f t="shared" ref="O523:O602" si="21">IF(OR(D523="", N523=""), "", ROUND(D523 * N523 / 100, 2))</f>
        <v>0</v>
      </c>
      <c r="P523" s="59">
        <f t="shared" ref="P523:P602" si="22">IF(D523="", "", D523 + O523)</f>
        <v>37</v>
      </c>
      <c r="Q523" s="4" t="s">
        <v>97</v>
      </c>
      <c r="R523" s="4" t="s">
        <v>137</v>
      </c>
    </row>
    <row r="524" spans="1:18" ht="22.5" customHeight="1" x14ac:dyDescent="0.25">
      <c r="A524" s="76">
        <v>46078</v>
      </c>
      <c r="B524" s="4" t="s">
        <v>657</v>
      </c>
      <c r="C524" s="4" t="s">
        <v>79</v>
      </c>
      <c r="D524" s="59">
        <v>240</v>
      </c>
      <c r="E524" s="4" t="s">
        <v>22</v>
      </c>
      <c r="F524" s="4" t="s">
        <v>568</v>
      </c>
      <c r="H524" s="4" t="s">
        <v>543</v>
      </c>
      <c r="K524" s="4" t="s">
        <v>99</v>
      </c>
      <c r="L524" s="4" t="s">
        <v>98</v>
      </c>
      <c r="N524" s="13">
        <v>0</v>
      </c>
      <c r="O524" s="4">
        <f t="shared" si="21"/>
        <v>0</v>
      </c>
      <c r="P524" s="59">
        <f t="shared" si="22"/>
        <v>240</v>
      </c>
      <c r="Q524" s="4" t="s">
        <v>97</v>
      </c>
      <c r="R524" s="4" t="s">
        <v>137</v>
      </c>
    </row>
    <row r="525" spans="1:18" ht="22.5" customHeight="1" x14ac:dyDescent="0.25">
      <c r="A525" s="76">
        <v>46078</v>
      </c>
      <c r="B525" s="4" t="s">
        <v>658</v>
      </c>
      <c r="C525" s="4" t="s">
        <v>79</v>
      </c>
      <c r="D525" s="59">
        <v>100</v>
      </c>
      <c r="E525" s="4" t="s">
        <v>22</v>
      </c>
      <c r="F525" s="4" t="s">
        <v>568</v>
      </c>
      <c r="H525" s="4" t="s">
        <v>543</v>
      </c>
      <c r="K525" s="4" t="s">
        <v>659</v>
      </c>
      <c r="L525" s="4" t="s">
        <v>98</v>
      </c>
      <c r="N525" s="13">
        <v>15</v>
      </c>
      <c r="O525" s="4">
        <f t="shared" si="21"/>
        <v>15</v>
      </c>
      <c r="P525" s="59">
        <f t="shared" si="22"/>
        <v>115</v>
      </c>
      <c r="Q525" s="4" t="s">
        <v>97</v>
      </c>
      <c r="R525" s="4" t="s">
        <v>137</v>
      </c>
    </row>
    <row r="526" spans="1:18" ht="22.5" customHeight="1" x14ac:dyDescent="0.25">
      <c r="A526" s="76">
        <v>46078</v>
      </c>
      <c r="B526" s="4" t="s">
        <v>660</v>
      </c>
      <c r="C526" s="4" t="s">
        <v>79</v>
      </c>
      <c r="D526" s="59">
        <v>4</v>
      </c>
      <c r="E526" s="4" t="s">
        <v>22</v>
      </c>
      <c r="F526" s="4" t="s">
        <v>166</v>
      </c>
      <c r="H526" s="4" t="s">
        <v>80</v>
      </c>
      <c r="K526" s="4" t="s">
        <v>459</v>
      </c>
      <c r="L526" s="4" t="s">
        <v>98</v>
      </c>
      <c r="N526" s="13">
        <v>15</v>
      </c>
      <c r="O526" s="4">
        <f t="shared" si="21"/>
        <v>0.6</v>
      </c>
      <c r="P526" s="59">
        <f t="shared" si="22"/>
        <v>4.5999999999999996</v>
      </c>
      <c r="Q526" s="4" t="s">
        <v>97</v>
      </c>
      <c r="R526" s="4" t="s">
        <v>137</v>
      </c>
    </row>
    <row r="527" spans="1:18" ht="22.5" customHeight="1" x14ac:dyDescent="0.25">
      <c r="A527" s="76">
        <v>46078</v>
      </c>
      <c r="B527" s="4" t="s">
        <v>661</v>
      </c>
      <c r="C527" s="4" t="s">
        <v>79</v>
      </c>
      <c r="D527" s="59">
        <v>460</v>
      </c>
      <c r="E527" s="4" t="s">
        <v>22</v>
      </c>
      <c r="F527" s="4" t="s">
        <v>470</v>
      </c>
      <c r="H527" s="4" t="s">
        <v>470</v>
      </c>
      <c r="K527" s="4" t="s">
        <v>99</v>
      </c>
      <c r="L527" s="4" t="s">
        <v>98</v>
      </c>
      <c r="N527" s="13">
        <v>0</v>
      </c>
      <c r="O527" s="4">
        <f t="shared" si="21"/>
        <v>0</v>
      </c>
      <c r="P527" s="59">
        <f t="shared" si="22"/>
        <v>460</v>
      </c>
      <c r="Q527" s="4" t="s">
        <v>97</v>
      </c>
      <c r="R527" s="4" t="s">
        <v>137</v>
      </c>
    </row>
    <row r="528" spans="1:18" ht="22.5" customHeight="1" x14ac:dyDescent="0.25">
      <c r="A528" s="76">
        <v>46078</v>
      </c>
      <c r="B528" s="4" t="s">
        <v>662</v>
      </c>
      <c r="C528" s="4" t="s">
        <v>79</v>
      </c>
      <c r="D528" s="59">
        <v>360</v>
      </c>
      <c r="E528" s="4" t="s">
        <v>22</v>
      </c>
      <c r="F528" s="4" t="s">
        <v>470</v>
      </c>
      <c r="H528" s="4" t="s">
        <v>470</v>
      </c>
      <c r="K528" s="4" t="s">
        <v>663</v>
      </c>
      <c r="L528" s="4" t="s">
        <v>98</v>
      </c>
      <c r="N528" s="13">
        <v>0</v>
      </c>
      <c r="O528" s="4">
        <f t="shared" si="21"/>
        <v>0</v>
      </c>
      <c r="P528" s="59">
        <f t="shared" si="22"/>
        <v>360</v>
      </c>
      <c r="Q528" s="4" t="s">
        <v>97</v>
      </c>
      <c r="R528" s="4" t="s">
        <v>137</v>
      </c>
    </row>
    <row r="529" spans="1:18" ht="22.5" customHeight="1" x14ac:dyDescent="0.25">
      <c r="A529" s="76">
        <v>46079</v>
      </c>
      <c r="B529" s="4" t="s">
        <v>75</v>
      </c>
      <c r="C529" s="4" t="s">
        <v>79</v>
      </c>
      <c r="D529" s="59">
        <v>21</v>
      </c>
      <c r="E529" s="4" t="s">
        <v>22</v>
      </c>
      <c r="F529" s="4" t="s">
        <v>57</v>
      </c>
      <c r="H529" s="4" t="s">
        <v>81</v>
      </c>
      <c r="K529" s="4" t="s">
        <v>99</v>
      </c>
      <c r="L529" s="4" t="s">
        <v>98</v>
      </c>
      <c r="N529" s="13">
        <v>0</v>
      </c>
      <c r="O529" s="4">
        <f t="shared" si="21"/>
        <v>0</v>
      </c>
      <c r="P529" s="59">
        <f t="shared" si="22"/>
        <v>21</v>
      </c>
      <c r="Q529" s="4" t="s">
        <v>97</v>
      </c>
      <c r="R529" s="4" t="s">
        <v>137</v>
      </c>
    </row>
    <row r="530" spans="1:18" ht="22.5" customHeight="1" x14ac:dyDescent="0.25">
      <c r="A530" s="76">
        <v>46079</v>
      </c>
      <c r="B530" s="4" t="s">
        <v>664</v>
      </c>
      <c r="C530" s="4" t="s">
        <v>79</v>
      </c>
      <c r="D530" s="59">
        <v>50</v>
      </c>
      <c r="E530" s="4" t="s">
        <v>22</v>
      </c>
      <c r="F530" s="4" t="s">
        <v>568</v>
      </c>
      <c r="H530" s="4" t="s">
        <v>543</v>
      </c>
      <c r="K530" s="4" t="s">
        <v>649</v>
      </c>
      <c r="L530" s="4" t="s">
        <v>154</v>
      </c>
      <c r="N530" s="13">
        <v>0</v>
      </c>
      <c r="O530" s="4">
        <f t="shared" si="21"/>
        <v>0</v>
      </c>
      <c r="P530" s="59">
        <f t="shared" si="22"/>
        <v>50</v>
      </c>
      <c r="Q530" s="4" t="s">
        <v>97</v>
      </c>
      <c r="R530" s="4" t="s">
        <v>137</v>
      </c>
    </row>
    <row r="531" spans="1:18" ht="22.5" customHeight="1" x14ac:dyDescent="0.25">
      <c r="A531" s="76">
        <v>46079</v>
      </c>
      <c r="B531" s="4" t="s">
        <v>665</v>
      </c>
      <c r="C531" s="4" t="s">
        <v>79</v>
      </c>
      <c r="D531" s="59">
        <v>30</v>
      </c>
      <c r="E531" s="4" t="s">
        <v>22</v>
      </c>
      <c r="F531" s="4" t="s">
        <v>568</v>
      </c>
      <c r="G531" s="18" t="s">
        <v>536</v>
      </c>
      <c r="H531" s="4" t="s">
        <v>543</v>
      </c>
      <c r="K531" s="4" t="s">
        <v>99</v>
      </c>
      <c r="L531" s="4" t="s">
        <v>98</v>
      </c>
      <c r="N531" s="13">
        <v>0</v>
      </c>
      <c r="O531" s="4">
        <f t="shared" si="21"/>
        <v>0</v>
      </c>
      <c r="P531" s="59">
        <f t="shared" si="22"/>
        <v>30</v>
      </c>
      <c r="Q531" s="4" t="s">
        <v>97</v>
      </c>
      <c r="R531" s="4" t="s">
        <v>191</v>
      </c>
    </row>
    <row r="532" spans="1:18" ht="22.5" customHeight="1" x14ac:dyDescent="0.25">
      <c r="A532" s="76">
        <v>46079</v>
      </c>
      <c r="B532" s="4" t="s">
        <v>666</v>
      </c>
      <c r="C532" s="4" t="s">
        <v>79</v>
      </c>
      <c r="D532" s="59">
        <v>18.5</v>
      </c>
      <c r="E532" s="4" t="s">
        <v>22</v>
      </c>
      <c r="F532" s="4" t="s">
        <v>166</v>
      </c>
      <c r="G532" s="18" t="s">
        <v>536</v>
      </c>
      <c r="H532" s="4" t="s">
        <v>80</v>
      </c>
      <c r="K532" s="4" t="s">
        <v>392</v>
      </c>
      <c r="L532" s="4" t="s">
        <v>98</v>
      </c>
      <c r="N532" s="13">
        <v>15</v>
      </c>
      <c r="O532" s="4">
        <f t="shared" si="21"/>
        <v>2.78</v>
      </c>
      <c r="P532" s="59">
        <f t="shared" si="22"/>
        <v>21.28</v>
      </c>
      <c r="Q532" s="4" t="s">
        <v>97</v>
      </c>
      <c r="R532" s="4" t="s">
        <v>191</v>
      </c>
    </row>
    <row r="533" spans="1:18" ht="22.5" customHeight="1" x14ac:dyDescent="0.25">
      <c r="A533" s="76">
        <v>46079</v>
      </c>
      <c r="B533" s="4" t="s">
        <v>571</v>
      </c>
      <c r="C533" s="4" t="s">
        <v>79</v>
      </c>
      <c r="D533" s="59">
        <v>262.44</v>
      </c>
      <c r="E533" s="4" t="s">
        <v>22</v>
      </c>
      <c r="F533" s="4" t="s">
        <v>166</v>
      </c>
      <c r="G533" s="18" t="s">
        <v>536</v>
      </c>
      <c r="H533" s="4" t="s">
        <v>80</v>
      </c>
      <c r="K533" s="4" t="s">
        <v>134</v>
      </c>
      <c r="L533" s="4" t="s">
        <v>98</v>
      </c>
      <c r="N533" s="13">
        <v>15</v>
      </c>
      <c r="O533" s="4">
        <f t="shared" si="21"/>
        <v>39.369999999999997</v>
      </c>
      <c r="P533" s="59">
        <f t="shared" si="22"/>
        <v>301.81</v>
      </c>
      <c r="Q533" s="4" t="s">
        <v>97</v>
      </c>
      <c r="R533" s="4" t="s">
        <v>191</v>
      </c>
    </row>
    <row r="534" spans="1:18" ht="22.5" customHeight="1" x14ac:dyDescent="0.25">
      <c r="A534" s="76">
        <v>46079</v>
      </c>
      <c r="B534" s="4" t="s">
        <v>667</v>
      </c>
      <c r="C534" s="4" t="s">
        <v>79</v>
      </c>
      <c r="D534" s="59">
        <v>1000</v>
      </c>
      <c r="E534" s="4" t="s">
        <v>22</v>
      </c>
      <c r="F534" s="4" t="s">
        <v>252</v>
      </c>
      <c r="H534" s="4" t="s">
        <v>252</v>
      </c>
      <c r="K534" s="4" t="s">
        <v>668</v>
      </c>
      <c r="L534" s="4" t="s">
        <v>98</v>
      </c>
      <c r="N534" s="13">
        <v>0</v>
      </c>
      <c r="O534" s="4">
        <f t="shared" si="21"/>
        <v>0</v>
      </c>
      <c r="P534" s="59">
        <f t="shared" si="22"/>
        <v>1000</v>
      </c>
      <c r="Q534" s="4" t="s">
        <v>97</v>
      </c>
      <c r="R534" s="4" t="s">
        <v>137</v>
      </c>
    </row>
    <row r="535" spans="1:18" ht="22.5" customHeight="1" x14ac:dyDescent="0.25">
      <c r="A535" s="76">
        <v>46080</v>
      </c>
      <c r="B535" s="4" t="s">
        <v>257</v>
      </c>
      <c r="C535" s="4" t="s">
        <v>79</v>
      </c>
      <c r="D535" s="59">
        <v>43.48</v>
      </c>
      <c r="E535" s="4" t="s">
        <v>22</v>
      </c>
      <c r="F535" s="4" t="s">
        <v>115</v>
      </c>
      <c r="H535" s="4" t="s">
        <v>115</v>
      </c>
      <c r="K535" s="4" t="s">
        <v>99</v>
      </c>
      <c r="L535" s="4" t="s">
        <v>98</v>
      </c>
      <c r="N535" s="13">
        <v>15</v>
      </c>
      <c r="O535" s="4">
        <f t="shared" si="21"/>
        <v>6.52</v>
      </c>
      <c r="P535" s="59">
        <f t="shared" si="22"/>
        <v>50</v>
      </c>
      <c r="Q535" s="4" t="s">
        <v>97</v>
      </c>
      <c r="R535" s="4" t="s">
        <v>137</v>
      </c>
    </row>
    <row r="536" spans="1:18" ht="22.5" customHeight="1" x14ac:dyDescent="0.25">
      <c r="A536" s="76">
        <v>46080</v>
      </c>
      <c r="B536" s="4" t="s">
        <v>75</v>
      </c>
      <c r="C536" s="4" t="s">
        <v>79</v>
      </c>
      <c r="D536" s="59">
        <v>6</v>
      </c>
      <c r="E536" s="4" t="s">
        <v>22</v>
      </c>
      <c r="F536" s="4" t="s">
        <v>57</v>
      </c>
      <c r="H536" s="4" t="s">
        <v>81</v>
      </c>
      <c r="K536" s="4" t="s">
        <v>99</v>
      </c>
      <c r="L536" s="4" t="s">
        <v>98</v>
      </c>
      <c r="N536" s="13">
        <v>0</v>
      </c>
      <c r="O536" s="4">
        <f t="shared" si="21"/>
        <v>0</v>
      </c>
      <c r="P536" s="59">
        <f t="shared" si="22"/>
        <v>6</v>
      </c>
      <c r="Q536" s="4" t="s">
        <v>97</v>
      </c>
      <c r="R536" s="4" t="s">
        <v>137</v>
      </c>
    </row>
    <row r="537" spans="1:18" ht="22.5" customHeight="1" x14ac:dyDescent="0.25">
      <c r="A537" s="76">
        <v>46080</v>
      </c>
      <c r="B537" s="4" t="s">
        <v>654</v>
      </c>
      <c r="C537" s="4" t="s">
        <v>79</v>
      </c>
      <c r="D537" s="59">
        <v>69.569999999999993</v>
      </c>
      <c r="E537" s="4" t="s">
        <v>22</v>
      </c>
      <c r="F537" s="4" t="s">
        <v>166</v>
      </c>
      <c r="G537" s="18" t="s">
        <v>521</v>
      </c>
      <c r="H537" s="4" t="s">
        <v>80</v>
      </c>
      <c r="K537" s="4" t="s">
        <v>669</v>
      </c>
      <c r="L537" s="4" t="s">
        <v>98</v>
      </c>
      <c r="N537" s="13">
        <v>15</v>
      </c>
      <c r="O537" s="4">
        <f t="shared" si="21"/>
        <v>10.44</v>
      </c>
      <c r="P537" s="59">
        <f t="shared" si="22"/>
        <v>80.009999999999991</v>
      </c>
      <c r="Q537" s="4" t="s">
        <v>97</v>
      </c>
      <c r="R537" s="4" t="s">
        <v>191</v>
      </c>
    </row>
    <row r="538" spans="1:18" ht="22.5" customHeight="1" x14ac:dyDescent="0.25">
      <c r="A538" s="76">
        <v>46081</v>
      </c>
      <c r="B538" s="4" t="s">
        <v>655</v>
      </c>
      <c r="C538" s="4" t="s">
        <v>79</v>
      </c>
      <c r="D538" s="59">
        <v>30</v>
      </c>
      <c r="E538" s="4" t="s">
        <v>22</v>
      </c>
      <c r="F538" s="4" t="s">
        <v>379</v>
      </c>
      <c r="H538" s="4" t="s">
        <v>379</v>
      </c>
      <c r="K538" s="4" t="s">
        <v>99</v>
      </c>
      <c r="L538" s="4" t="s">
        <v>98</v>
      </c>
      <c r="N538" s="13">
        <v>0</v>
      </c>
      <c r="O538" s="4">
        <f t="shared" si="21"/>
        <v>0</v>
      </c>
      <c r="P538" s="59">
        <f t="shared" si="22"/>
        <v>30</v>
      </c>
      <c r="Q538" s="4" t="s">
        <v>97</v>
      </c>
      <c r="R538" s="4" t="s">
        <v>137</v>
      </c>
    </row>
    <row r="539" spans="1:18" ht="22.5" customHeight="1" x14ac:dyDescent="0.25">
      <c r="A539" s="76">
        <v>46081</v>
      </c>
      <c r="B539" s="4" t="s">
        <v>670</v>
      </c>
      <c r="C539" s="4" t="s">
        <v>79</v>
      </c>
      <c r="D539" s="59">
        <v>100</v>
      </c>
      <c r="E539" s="4" t="s">
        <v>22</v>
      </c>
      <c r="F539" s="4" t="s">
        <v>568</v>
      </c>
      <c r="H539" s="4" t="s">
        <v>543</v>
      </c>
      <c r="K539" s="4" t="s">
        <v>99</v>
      </c>
      <c r="L539" s="4" t="s">
        <v>98</v>
      </c>
      <c r="N539" s="13">
        <v>0</v>
      </c>
      <c r="O539" s="4">
        <f t="shared" si="21"/>
        <v>0</v>
      </c>
      <c r="P539" s="59">
        <f t="shared" si="22"/>
        <v>100</v>
      </c>
      <c r="Q539" s="4" t="s">
        <v>97</v>
      </c>
      <c r="R539" s="4" t="s">
        <v>137</v>
      </c>
    </row>
    <row r="540" spans="1:18" ht="22.5" customHeight="1" x14ac:dyDescent="0.25">
      <c r="A540" s="76">
        <v>46081</v>
      </c>
      <c r="B540" s="4" t="s">
        <v>257</v>
      </c>
      <c r="C540" s="4" t="s">
        <v>79</v>
      </c>
      <c r="D540" s="59">
        <v>86.96</v>
      </c>
      <c r="E540" s="4" t="s">
        <v>22</v>
      </c>
      <c r="F540" s="4" t="s">
        <v>115</v>
      </c>
      <c r="H540" s="4" t="s">
        <v>115</v>
      </c>
      <c r="K540" s="4" t="s">
        <v>99</v>
      </c>
      <c r="L540" s="4" t="s">
        <v>98</v>
      </c>
      <c r="N540" s="13">
        <v>15</v>
      </c>
      <c r="O540" s="4">
        <f t="shared" si="21"/>
        <v>13.04</v>
      </c>
      <c r="P540" s="59">
        <f t="shared" si="22"/>
        <v>100</v>
      </c>
      <c r="Q540" s="4" t="s">
        <v>97</v>
      </c>
      <c r="R540" s="4" t="s">
        <v>137</v>
      </c>
    </row>
    <row r="541" spans="1:18" ht="22.5" customHeight="1" x14ac:dyDescent="0.25">
      <c r="A541" s="76">
        <v>46081</v>
      </c>
      <c r="B541" s="4" t="s">
        <v>671</v>
      </c>
      <c r="C541" s="4" t="s">
        <v>79</v>
      </c>
      <c r="D541" s="59">
        <v>145</v>
      </c>
      <c r="E541" s="4" t="s">
        <v>22</v>
      </c>
      <c r="F541" s="4" t="s">
        <v>568</v>
      </c>
      <c r="H541" s="4" t="s">
        <v>543</v>
      </c>
      <c r="K541" s="4" t="s">
        <v>629</v>
      </c>
      <c r="L541" s="4" t="s">
        <v>154</v>
      </c>
      <c r="N541" s="13">
        <v>0</v>
      </c>
      <c r="O541" s="4">
        <f t="shared" si="21"/>
        <v>0</v>
      </c>
      <c r="P541" s="59">
        <f t="shared" si="22"/>
        <v>145</v>
      </c>
      <c r="Q541" s="4" t="s">
        <v>97</v>
      </c>
      <c r="R541" s="4" t="s">
        <v>137</v>
      </c>
    </row>
    <row r="542" spans="1:18" ht="22.5" customHeight="1" x14ac:dyDescent="0.25">
      <c r="A542" s="76">
        <v>46081</v>
      </c>
      <c r="B542" s="4" t="s">
        <v>672</v>
      </c>
      <c r="C542" s="4" t="s">
        <v>79</v>
      </c>
      <c r="D542" s="59">
        <v>70</v>
      </c>
      <c r="E542" s="4" t="s">
        <v>22</v>
      </c>
      <c r="F542" s="4" t="s">
        <v>29</v>
      </c>
      <c r="H542" s="4" t="s">
        <v>543</v>
      </c>
      <c r="K542" s="4" t="s">
        <v>169</v>
      </c>
      <c r="L542" s="4" t="s">
        <v>154</v>
      </c>
      <c r="N542" s="13">
        <v>0</v>
      </c>
      <c r="O542" s="4">
        <f t="shared" si="21"/>
        <v>0</v>
      </c>
      <c r="P542" s="59">
        <f t="shared" si="22"/>
        <v>70</v>
      </c>
      <c r="Q542" s="4" t="s">
        <v>97</v>
      </c>
      <c r="R542" s="4" t="s">
        <v>137</v>
      </c>
    </row>
    <row r="543" spans="1:18" ht="22.5" customHeight="1" x14ac:dyDescent="0.25">
      <c r="A543" s="76">
        <v>46082</v>
      </c>
      <c r="B543" s="4" t="s">
        <v>257</v>
      </c>
      <c r="C543" s="4" t="s">
        <v>79</v>
      </c>
      <c r="D543" s="59">
        <v>86.96</v>
      </c>
      <c r="E543" s="4" t="s">
        <v>22</v>
      </c>
      <c r="F543" s="4" t="s">
        <v>115</v>
      </c>
      <c r="G543" s="18" t="s">
        <v>521</v>
      </c>
      <c r="H543" s="4" t="s">
        <v>115</v>
      </c>
      <c r="K543" s="4" t="s">
        <v>99</v>
      </c>
      <c r="L543" s="4" t="s">
        <v>98</v>
      </c>
      <c r="N543" s="13">
        <v>15</v>
      </c>
      <c r="O543" s="4">
        <f t="shared" si="21"/>
        <v>13.04</v>
      </c>
      <c r="P543" s="59">
        <f t="shared" si="22"/>
        <v>100</v>
      </c>
      <c r="Q543" s="4" t="s">
        <v>97</v>
      </c>
      <c r="R543" s="4" t="s">
        <v>191</v>
      </c>
    </row>
    <row r="544" spans="1:18" ht="22.5" customHeight="1" x14ac:dyDescent="0.25">
      <c r="A544" s="76">
        <v>46082</v>
      </c>
      <c r="B544" s="4" t="s">
        <v>75</v>
      </c>
      <c r="C544" s="4" t="s">
        <v>79</v>
      </c>
      <c r="D544" s="59">
        <v>29</v>
      </c>
      <c r="E544" s="4" t="s">
        <v>22</v>
      </c>
      <c r="F544" s="4" t="s">
        <v>57</v>
      </c>
      <c r="H544" s="4" t="s">
        <v>81</v>
      </c>
      <c r="K544" s="4" t="s">
        <v>99</v>
      </c>
      <c r="L544" s="4" t="s">
        <v>98</v>
      </c>
      <c r="N544" s="13">
        <v>0</v>
      </c>
      <c r="O544" s="4">
        <f t="shared" si="21"/>
        <v>0</v>
      </c>
      <c r="P544" s="59">
        <f t="shared" si="22"/>
        <v>29</v>
      </c>
      <c r="Q544" s="4" t="s">
        <v>97</v>
      </c>
      <c r="R544" s="4" t="s">
        <v>137</v>
      </c>
    </row>
    <row r="545" spans="1:18" ht="22.5" customHeight="1" x14ac:dyDescent="0.25">
      <c r="A545" s="76">
        <v>46082</v>
      </c>
      <c r="B545" s="4" t="s">
        <v>257</v>
      </c>
      <c r="C545" s="4" t="s">
        <v>79</v>
      </c>
      <c r="D545" s="59">
        <v>4.3499999999999996</v>
      </c>
      <c r="E545" s="4" t="s">
        <v>22</v>
      </c>
      <c r="F545" s="4" t="s">
        <v>115</v>
      </c>
      <c r="H545" s="4" t="s">
        <v>115</v>
      </c>
      <c r="K545" s="4" t="s">
        <v>99</v>
      </c>
      <c r="L545" s="4" t="s">
        <v>98</v>
      </c>
      <c r="N545" s="13">
        <v>15</v>
      </c>
      <c r="O545" s="4">
        <f t="shared" si="21"/>
        <v>0.65</v>
      </c>
      <c r="P545" s="59">
        <f t="shared" si="22"/>
        <v>5</v>
      </c>
      <c r="Q545" s="4" t="s">
        <v>97</v>
      </c>
      <c r="R545" s="4" t="s">
        <v>137</v>
      </c>
    </row>
    <row r="546" spans="1:18" ht="22.5" customHeight="1" x14ac:dyDescent="0.25">
      <c r="A546" s="76">
        <v>46082</v>
      </c>
      <c r="B546" s="4" t="s">
        <v>593</v>
      </c>
      <c r="C546" s="4" t="s">
        <v>79</v>
      </c>
      <c r="D546" s="59">
        <v>120</v>
      </c>
      <c r="E546" s="4" t="s">
        <v>22</v>
      </c>
      <c r="F546" s="4" t="s">
        <v>203</v>
      </c>
      <c r="H546" s="4" t="s">
        <v>203</v>
      </c>
      <c r="K546" s="4" t="s">
        <v>99</v>
      </c>
      <c r="L546" s="4" t="s">
        <v>98</v>
      </c>
      <c r="N546" s="13">
        <v>0</v>
      </c>
      <c r="O546" s="4">
        <f t="shared" si="21"/>
        <v>0</v>
      </c>
      <c r="P546" s="59">
        <f t="shared" si="22"/>
        <v>120</v>
      </c>
      <c r="Q546" s="4" t="s">
        <v>97</v>
      </c>
      <c r="R546" s="4" t="s">
        <v>137</v>
      </c>
    </row>
    <row r="547" spans="1:18" ht="22.5" customHeight="1" x14ac:dyDescent="0.25">
      <c r="A547" s="76">
        <v>46082</v>
      </c>
      <c r="B547" s="4" t="s">
        <v>673</v>
      </c>
      <c r="C547" s="4" t="s">
        <v>79</v>
      </c>
      <c r="D547" s="59">
        <v>30</v>
      </c>
      <c r="E547" s="4" t="s">
        <v>22</v>
      </c>
      <c r="F547" s="4" t="s">
        <v>166</v>
      </c>
      <c r="G547" s="18" t="s">
        <v>536</v>
      </c>
      <c r="H547" s="4" t="s">
        <v>80</v>
      </c>
      <c r="K547" s="4" t="s">
        <v>99</v>
      </c>
      <c r="L547" s="4" t="s">
        <v>98</v>
      </c>
      <c r="N547" s="13">
        <v>0</v>
      </c>
      <c r="O547" s="4">
        <f t="shared" si="21"/>
        <v>0</v>
      </c>
      <c r="P547" s="59">
        <f t="shared" si="22"/>
        <v>30</v>
      </c>
      <c r="Q547" s="4" t="s">
        <v>97</v>
      </c>
      <c r="R547" s="4" t="s">
        <v>137</v>
      </c>
    </row>
    <row r="548" spans="1:18" ht="22.5" customHeight="1" x14ac:dyDescent="0.25">
      <c r="A548" s="76">
        <v>46082</v>
      </c>
      <c r="B548" s="4" t="s">
        <v>674</v>
      </c>
      <c r="C548" s="4" t="s">
        <v>79</v>
      </c>
      <c r="D548" s="59">
        <v>10</v>
      </c>
      <c r="E548" s="4" t="s">
        <v>22</v>
      </c>
      <c r="F548" s="4" t="s">
        <v>379</v>
      </c>
      <c r="H548" s="4" t="s">
        <v>379</v>
      </c>
      <c r="K548" s="4" t="s">
        <v>99</v>
      </c>
      <c r="L548" s="4" t="s">
        <v>98</v>
      </c>
      <c r="N548" s="13">
        <v>0</v>
      </c>
      <c r="O548" s="4">
        <f t="shared" si="21"/>
        <v>0</v>
      </c>
      <c r="P548" s="59">
        <f t="shared" si="22"/>
        <v>10</v>
      </c>
      <c r="Q548" s="4" t="s">
        <v>97</v>
      </c>
      <c r="R548" s="4" t="s">
        <v>137</v>
      </c>
    </row>
    <row r="549" spans="1:18" ht="22.5" customHeight="1" x14ac:dyDescent="0.25">
      <c r="A549" s="76">
        <v>46083</v>
      </c>
      <c r="B549" s="4" t="s">
        <v>257</v>
      </c>
      <c r="C549" s="4" t="s">
        <v>79</v>
      </c>
      <c r="D549" s="59">
        <v>43.48</v>
      </c>
      <c r="E549" s="4" t="s">
        <v>22</v>
      </c>
      <c r="F549" s="4" t="s">
        <v>115</v>
      </c>
      <c r="H549" s="4" t="s">
        <v>115</v>
      </c>
      <c r="K549" s="4" t="s">
        <v>99</v>
      </c>
      <c r="L549" s="4" t="s">
        <v>98</v>
      </c>
      <c r="N549" s="13">
        <v>15</v>
      </c>
      <c r="O549" s="4">
        <f t="shared" si="21"/>
        <v>6.52</v>
      </c>
      <c r="P549" s="59">
        <f t="shared" si="22"/>
        <v>50</v>
      </c>
      <c r="Q549" s="4" t="s">
        <v>97</v>
      </c>
      <c r="R549" s="4" t="s">
        <v>137</v>
      </c>
    </row>
    <row r="550" spans="1:18" ht="22.5" customHeight="1" x14ac:dyDescent="0.25">
      <c r="A550" s="76">
        <v>46083</v>
      </c>
      <c r="B550" s="4" t="s">
        <v>675</v>
      </c>
      <c r="C550" s="4" t="s">
        <v>79</v>
      </c>
      <c r="D550" s="59">
        <v>350</v>
      </c>
      <c r="E550" s="4" t="s">
        <v>22</v>
      </c>
      <c r="F550" s="4" t="s">
        <v>470</v>
      </c>
      <c r="G550" s="18" t="s">
        <v>536</v>
      </c>
      <c r="H550" s="4" t="s">
        <v>470</v>
      </c>
      <c r="K550" s="4" t="s">
        <v>676</v>
      </c>
      <c r="L550" s="4" t="s">
        <v>98</v>
      </c>
      <c r="N550" s="13">
        <v>0</v>
      </c>
      <c r="O550" s="4">
        <f t="shared" si="21"/>
        <v>0</v>
      </c>
      <c r="P550" s="59">
        <f t="shared" si="22"/>
        <v>350</v>
      </c>
      <c r="Q550" s="4" t="s">
        <v>97</v>
      </c>
      <c r="R550" s="4" t="s">
        <v>191</v>
      </c>
    </row>
    <row r="551" spans="1:18" ht="22.5" customHeight="1" x14ac:dyDescent="0.25">
      <c r="A551" s="76">
        <v>46083</v>
      </c>
      <c r="B551" s="4" t="s">
        <v>75</v>
      </c>
      <c r="C551" s="4" t="s">
        <v>79</v>
      </c>
      <c r="D551" s="59">
        <v>43</v>
      </c>
      <c r="E551" s="4" t="s">
        <v>22</v>
      </c>
      <c r="F551" s="4" t="s">
        <v>57</v>
      </c>
      <c r="H551" s="4" t="s">
        <v>81</v>
      </c>
      <c r="K551" s="4" t="s">
        <v>99</v>
      </c>
      <c r="L551" s="4" t="s">
        <v>98</v>
      </c>
      <c r="N551" s="13">
        <v>0</v>
      </c>
      <c r="O551" s="4">
        <f t="shared" si="21"/>
        <v>0</v>
      </c>
      <c r="P551" s="59">
        <f t="shared" si="22"/>
        <v>43</v>
      </c>
      <c r="Q551" s="4" t="s">
        <v>97</v>
      </c>
      <c r="R551" s="4" t="s">
        <v>137</v>
      </c>
    </row>
    <row r="552" spans="1:18" s="6" customFormat="1" ht="22.5" customHeight="1" x14ac:dyDescent="0.25">
      <c r="A552" s="83">
        <v>46083</v>
      </c>
      <c r="B552" s="6" t="s">
        <v>677</v>
      </c>
      <c r="C552" s="6" t="s">
        <v>88</v>
      </c>
      <c r="D552" s="60">
        <v>6769</v>
      </c>
      <c r="E552" s="6" t="s">
        <v>22</v>
      </c>
      <c r="F552" s="6" t="s">
        <v>89</v>
      </c>
      <c r="G552" s="6" t="s">
        <v>521</v>
      </c>
      <c r="H552" s="6" t="s">
        <v>196</v>
      </c>
      <c r="K552" s="6" t="s">
        <v>678</v>
      </c>
      <c r="L552" s="6" t="s">
        <v>86</v>
      </c>
      <c r="M552" s="6" t="s">
        <v>680</v>
      </c>
      <c r="N552" s="14">
        <v>15</v>
      </c>
      <c r="O552" s="6">
        <f t="shared" si="21"/>
        <v>1015.35</v>
      </c>
      <c r="P552" s="60">
        <f t="shared" si="22"/>
        <v>7784.35</v>
      </c>
      <c r="Q552" s="6" t="s">
        <v>97</v>
      </c>
      <c r="R552" s="6" t="s">
        <v>679</v>
      </c>
    </row>
    <row r="553" spans="1:18" ht="22.5" customHeight="1" x14ac:dyDescent="0.25">
      <c r="A553" s="76">
        <v>46083</v>
      </c>
      <c r="B553" s="4" t="s">
        <v>681</v>
      </c>
      <c r="C553" s="4" t="s">
        <v>79</v>
      </c>
      <c r="D553" s="59">
        <v>1600</v>
      </c>
      <c r="E553" s="4" t="s">
        <v>22</v>
      </c>
      <c r="F553" s="4" t="s">
        <v>253</v>
      </c>
      <c r="H553" s="4" t="s">
        <v>626</v>
      </c>
      <c r="K553" s="4" t="s">
        <v>564</v>
      </c>
      <c r="L553" s="4" t="s">
        <v>154</v>
      </c>
      <c r="N553" s="13">
        <v>0</v>
      </c>
      <c r="O553" s="4">
        <f t="shared" si="21"/>
        <v>0</v>
      </c>
      <c r="P553" s="59">
        <f t="shared" si="22"/>
        <v>1600</v>
      </c>
      <c r="Q553" s="4" t="s">
        <v>97</v>
      </c>
      <c r="R553" s="4" t="s">
        <v>137</v>
      </c>
    </row>
    <row r="554" spans="1:18" ht="22.5" customHeight="1" x14ac:dyDescent="0.25">
      <c r="A554" s="76">
        <v>46083</v>
      </c>
      <c r="B554" s="4" t="s">
        <v>682</v>
      </c>
      <c r="C554" s="4" t="s">
        <v>79</v>
      </c>
      <c r="D554" s="59">
        <v>182.61</v>
      </c>
      <c r="E554" s="4" t="s">
        <v>22</v>
      </c>
      <c r="F554" s="4" t="s">
        <v>166</v>
      </c>
      <c r="G554" s="18" t="s">
        <v>536</v>
      </c>
      <c r="H554" s="4" t="s">
        <v>80</v>
      </c>
      <c r="K554" s="4" t="s">
        <v>669</v>
      </c>
      <c r="L554" s="4" t="s">
        <v>98</v>
      </c>
      <c r="N554" s="13">
        <v>15</v>
      </c>
      <c r="O554" s="4">
        <f t="shared" si="21"/>
        <v>27.39</v>
      </c>
      <c r="P554" s="59">
        <f t="shared" si="22"/>
        <v>210</v>
      </c>
      <c r="Q554" s="4" t="s">
        <v>97</v>
      </c>
      <c r="R554" s="4" t="s">
        <v>191</v>
      </c>
    </row>
    <row r="555" spans="1:18" ht="22.5" customHeight="1" x14ac:dyDescent="0.25">
      <c r="A555" s="76">
        <v>46083</v>
      </c>
      <c r="B555" s="4" t="s">
        <v>683</v>
      </c>
      <c r="C555" s="4" t="s">
        <v>79</v>
      </c>
      <c r="D555" s="59">
        <v>749.71</v>
      </c>
      <c r="E555" s="4" t="s">
        <v>22</v>
      </c>
      <c r="F555" s="4" t="s">
        <v>166</v>
      </c>
      <c r="G555" s="18" t="s">
        <v>536</v>
      </c>
      <c r="H555" s="4" t="s">
        <v>80</v>
      </c>
      <c r="K555" s="4" t="s">
        <v>134</v>
      </c>
      <c r="L555" s="4" t="s">
        <v>98</v>
      </c>
      <c r="N555" s="13">
        <v>15</v>
      </c>
      <c r="O555" s="4">
        <f t="shared" si="21"/>
        <v>112.46</v>
      </c>
      <c r="P555" s="59">
        <f t="shared" si="22"/>
        <v>862.17000000000007</v>
      </c>
      <c r="Q555" s="4" t="s">
        <v>97</v>
      </c>
      <c r="R555" s="4" t="s">
        <v>191</v>
      </c>
    </row>
    <row r="556" spans="1:18" ht="22.5" customHeight="1" x14ac:dyDescent="0.25">
      <c r="A556" s="76">
        <v>46083</v>
      </c>
      <c r="B556" s="4" t="s">
        <v>684</v>
      </c>
      <c r="C556" s="4" t="s">
        <v>79</v>
      </c>
      <c r="D556" s="59">
        <v>174</v>
      </c>
      <c r="E556" s="4" t="s">
        <v>22</v>
      </c>
      <c r="F556" s="4" t="s">
        <v>166</v>
      </c>
      <c r="G556" s="18" t="s">
        <v>536</v>
      </c>
      <c r="H556" s="4" t="s">
        <v>80</v>
      </c>
      <c r="K556" s="4" t="s">
        <v>685</v>
      </c>
      <c r="L556" s="4" t="s">
        <v>98</v>
      </c>
      <c r="N556" s="13">
        <v>15</v>
      </c>
      <c r="O556" s="4">
        <f t="shared" si="21"/>
        <v>26.1</v>
      </c>
      <c r="P556" s="59">
        <f t="shared" si="22"/>
        <v>200.1</v>
      </c>
      <c r="Q556" s="4" t="s">
        <v>97</v>
      </c>
      <c r="R556" s="4" t="s">
        <v>191</v>
      </c>
    </row>
    <row r="557" spans="1:18" ht="22.5" customHeight="1" x14ac:dyDescent="0.25">
      <c r="A557" s="76">
        <v>46084</v>
      </c>
      <c r="B557" s="4" t="s">
        <v>257</v>
      </c>
      <c r="C557" s="4" t="s">
        <v>79</v>
      </c>
      <c r="D557" s="59">
        <v>130.4</v>
      </c>
      <c r="E557" s="4" t="s">
        <v>22</v>
      </c>
      <c r="F557" s="4" t="s">
        <v>115</v>
      </c>
      <c r="G557" s="18" t="s">
        <v>536</v>
      </c>
      <c r="H557" s="4" t="s">
        <v>115</v>
      </c>
      <c r="K557" s="4" t="s">
        <v>99</v>
      </c>
      <c r="L557" s="4" t="s">
        <v>98</v>
      </c>
      <c r="N557" s="13">
        <v>15</v>
      </c>
      <c r="O557" s="4">
        <f t="shared" si="21"/>
        <v>19.559999999999999</v>
      </c>
      <c r="P557" s="59">
        <f t="shared" si="22"/>
        <v>149.96</v>
      </c>
      <c r="Q557" s="4" t="s">
        <v>97</v>
      </c>
      <c r="R557" s="4" t="s">
        <v>191</v>
      </c>
    </row>
    <row r="558" spans="1:18" ht="22.5" customHeight="1" x14ac:dyDescent="0.25">
      <c r="A558" s="76">
        <v>46084</v>
      </c>
      <c r="B558" s="4" t="s">
        <v>75</v>
      </c>
      <c r="C558" s="4" t="s">
        <v>79</v>
      </c>
      <c r="D558" s="59">
        <v>67.83</v>
      </c>
      <c r="E558" s="4" t="s">
        <v>22</v>
      </c>
      <c r="F558" s="4" t="s">
        <v>57</v>
      </c>
      <c r="G558" s="18" t="s">
        <v>536</v>
      </c>
      <c r="H558" s="4" t="s">
        <v>81</v>
      </c>
      <c r="K558" s="4" t="s">
        <v>99</v>
      </c>
      <c r="L558" s="4" t="s">
        <v>98</v>
      </c>
      <c r="N558" s="13">
        <v>15</v>
      </c>
      <c r="O558" s="4">
        <f t="shared" si="21"/>
        <v>10.17</v>
      </c>
      <c r="P558" s="59">
        <f t="shared" si="22"/>
        <v>78</v>
      </c>
      <c r="Q558" s="4" t="s">
        <v>97</v>
      </c>
      <c r="R558" s="4" t="s">
        <v>191</v>
      </c>
    </row>
    <row r="559" spans="1:18" ht="22.5" customHeight="1" x14ac:dyDescent="0.25">
      <c r="A559" s="76">
        <v>46084</v>
      </c>
      <c r="B559" s="4" t="s">
        <v>75</v>
      </c>
      <c r="C559" s="4" t="s">
        <v>79</v>
      </c>
      <c r="D559" s="59">
        <v>16</v>
      </c>
      <c r="E559" s="4" t="s">
        <v>22</v>
      </c>
      <c r="F559" s="4" t="s">
        <v>57</v>
      </c>
      <c r="H559" s="4" t="s">
        <v>81</v>
      </c>
      <c r="K559" s="4" t="s">
        <v>99</v>
      </c>
      <c r="L559" s="4" t="s">
        <v>98</v>
      </c>
      <c r="N559" s="13">
        <v>0</v>
      </c>
      <c r="O559" s="4">
        <f t="shared" si="21"/>
        <v>0</v>
      </c>
      <c r="P559" s="59">
        <f t="shared" si="22"/>
        <v>16</v>
      </c>
      <c r="Q559" s="4" t="s">
        <v>97</v>
      </c>
      <c r="R559" s="4" t="s">
        <v>137</v>
      </c>
    </row>
    <row r="560" spans="1:18" ht="22.5" customHeight="1" x14ac:dyDescent="0.25">
      <c r="A560" s="76">
        <v>46084</v>
      </c>
      <c r="B560" s="4" t="s">
        <v>684</v>
      </c>
      <c r="C560" s="4" t="s">
        <v>79</v>
      </c>
      <c r="D560" s="59">
        <v>140</v>
      </c>
      <c r="E560" s="4" t="s">
        <v>22</v>
      </c>
      <c r="F560" s="4" t="s">
        <v>166</v>
      </c>
      <c r="G560" s="18" t="s">
        <v>536</v>
      </c>
      <c r="H560" s="4" t="s">
        <v>80</v>
      </c>
      <c r="K560" s="4" t="s">
        <v>99</v>
      </c>
      <c r="L560" s="4" t="s">
        <v>98</v>
      </c>
      <c r="N560" s="13">
        <v>0</v>
      </c>
      <c r="O560" s="4">
        <f t="shared" si="21"/>
        <v>0</v>
      </c>
      <c r="P560" s="59">
        <f t="shared" si="22"/>
        <v>140</v>
      </c>
      <c r="Q560" s="4" t="s">
        <v>97</v>
      </c>
      <c r="R560" s="4" t="s">
        <v>191</v>
      </c>
    </row>
    <row r="561" spans="1:18" ht="22.5" customHeight="1" x14ac:dyDescent="0.25">
      <c r="A561" s="76">
        <v>46084</v>
      </c>
      <c r="B561" s="4" t="s">
        <v>309</v>
      </c>
      <c r="C561" s="4" t="s">
        <v>79</v>
      </c>
      <c r="D561" s="59">
        <v>300</v>
      </c>
      <c r="E561" s="4" t="s">
        <v>22</v>
      </c>
      <c r="F561" s="4" t="s">
        <v>166</v>
      </c>
      <c r="H561" s="4" t="s">
        <v>80</v>
      </c>
      <c r="K561" s="4" t="s">
        <v>153</v>
      </c>
      <c r="L561" s="4" t="s">
        <v>154</v>
      </c>
      <c r="N561" s="13">
        <v>0</v>
      </c>
      <c r="O561" s="4">
        <f t="shared" si="21"/>
        <v>0</v>
      </c>
      <c r="P561" s="59">
        <f t="shared" si="22"/>
        <v>300</v>
      </c>
      <c r="Q561" s="4" t="s">
        <v>97</v>
      </c>
      <c r="R561" s="4" t="s">
        <v>137</v>
      </c>
    </row>
    <row r="562" spans="1:18" ht="22.5" customHeight="1" x14ac:dyDescent="0.25">
      <c r="A562" s="76">
        <v>46084</v>
      </c>
      <c r="B562" s="4" t="s">
        <v>686</v>
      </c>
      <c r="C562" s="4" t="s">
        <v>79</v>
      </c>
      <c r="D562" s="59">
        <v>500</v>
      </c>
      <c r="E562" s="4" t="s">
        <v>22</v>
      </c>
      <c r="F562" s="4" t="s">
        <v>249</v>
      </c>
      <c r="G562" s="18" t="s">
        <v>448</v>
      </c>
      <c r="H562" s="4" t="s">
        <v>622</v>
      </c>
      <c r="K562" s="4" t="s">
        <v>449</v>
      </c>
      <c r="L562" s="4" t="s">
        <v>98</v>
      </c>
      <c r="N562" s="13">
        <v>0</v>
      </c>
      <c r="O562" s="4">
        <f t="shared" si="21"/>
        <v>0</v>
      </c>
      <c r="P562" s="59">
        <f t="shared" si="22"/>
        <v>500</v>
      </c>
      <c r="Q562" s="4" t="s">
        <v>97</v>
      </c>
      <c r="R562" s="4" t="s">
        <v>191</v>
      </c>
    </row>
    <row r="563" spans="1:18" ht="22.5" customHeight="1" x14ac:dyDescent="0.25">
      <c r="A563" s="76">
        <v>46084</v>
      </c>
      <c r="B563" s="4" t="s">
        <v>687</v>
      </c>
      <c r="C563" s="4" t="s">
        <v>79</v>
      </c>
      <c r="D563" s="59">
        <v>400</v>
      </c>
      <c r="E563" s="4" t="s">
        <v>22</v>
      </c>
      <c r="F563" s="4" t="s">
        <v>470</v>
      </c>
      <c r="G563" s="18" t="s">
        <v>536</v>
      </c>
      <c r="H563" s="4" t="s">
        <v>470</v>
      </c>
      <c r="K563" s="4" t="s">
        <v>676</v>
      </c>
      <c r="L563" s="4" t="s">
        <v>98</v>
      </c>
      <c r="N563" s="13">
        <v>0</v>
      </c>
      <c r="O563" s="4">
        <f t="shared" si="21"/>
        <v>0</v>
      </c>
      <c r="P563" s="59">
        <f t="shared" si="22"/>
        <v>400</v>
      </c>
      <c r="Q563" s="4" t="s">
        <v>97</v>
      </c>
      <c r="R563" s="4" t="s">
        <v>191</v>
      </c>
    </row>
    <row r="564" spans="1:18" ht="22.5" customHeight="1" x14ac:dyDescent="0.25">
      <c r="A564" s="76">
        <v>46084</v>
      </c>
      <c r="B564" s="4" t="s">
        <v>688</v>
      </c>
      <c r="C564" s="4" t="s">
        <v>79</v>
      </c>
      <c r="D564" s="59">
        <v>400</v>
      </c>
      <c r="E564" s="4" t="s">
        <v>22</v>
      </c>
      <c r="F564" s="4" t="s">
        <v>568</v>
      </c>
      <c r="H564" s="4" t="s">
        <v>543</v>
      </c>
      <c r="K564" s="4" t="s">
        <v>610</v>
      </c>
      <c r="L564" s="4" t="s">
        <v>98</v>
      </c>
      <c r="N564" s="13">
        <v>0</v>
      </c>
      <c r="O564" s="4">
        <f t="shared" si="21"/>
        <v>0</v>
      </c>
      <c r="P564" s="59">
        <f t="shared" si="22"/>
        <v>400</v>
      </c>
      <c r="Q564" s="4" t="s">
        <v>97</v>
      </c>
      <c r="R564" s="4" t="s">
        <v>137</v>
      </c>
    </row>
    <row r="565" spans="1:18" ht="22.5" customHeight="1" x14ac:dyDescent="0.25">
      <c r="A565" s="76">
        <v>46084</v>
      </c>
      <c r="B565" s="4" t="s">
        <v>689</v>
      </c>
      <c r="C565" s="4" t="s">
        <v>79</v>
      </c>
      <c r="D565" s="59">
        <v>284</v>
      </c>
      <c r="E565" s="4" t="s">
        <v>22</v>
      </c>
      <c r="F565" s="4" t="s">
        <v>568</v>
      </c>
      <c r="H565" s="4" t="s">
        <v>543</v>
      </c>
      <c r="K565" s="4" t="s">
        <v>690</v>
      </c>
      <c r="L565" s="4" t="s">
        <v>98</v>
      </c>
      <c r="N565" s="13">
        <v>15</v>
      </c>
      <c r="O565" s="4">
        <f t="shared" si="21"/>
        <v>42.6</v>
      </c>
      <c r="P565" s="59">
        <f t="shared" si="22"/>
        <v>326.60000000000002</v>
      </c>
      <c r="Q565" s="4" t="s">
        <v>97</v>
      </c>
      <c r="R565" s="4" t="s">
        <v>137</v>
      </c>
    </row>
    <row r="566" spans="1:18" ht="22.5" customHeight="1" x14ac:dyDescent="0.25">
      <c r="A566" s="76">
        <v>46084</v>
      </c>
      <c r="B566" s="4" t="s">
        <v>691</v>
      </c>
      <c r="C566" s="4" t="s">
        <v>79</v>
      </c>
      <c r="D566" s="59">
        <v>74</v>
      </c>
      <c r="E566" s="4" t="s">
        <v>22</v>
      </c>
      <c r="F566" s="4" t="s">
        <v>166</v>
      </c>
      <c r="G566" s="18" t="s">
        <v>536</v>
      </c>
      <c r="H566" s="4" t="s">
        <v>80</v>
      </c>
      <c r="K566" s="4" t="s">
        <v>692</v>
      </c>
      <c r="L566" s="4" t="s">
        <v>98</v>
      </c>
      <c r="N566" s="13">
        <v>15</v>
      </c>
      <c r="O566" s="4">
        <f t="shared" si="21"/>
        <v>11.1</v>
      </c>
      <c r="P566" s="59">
        <f t="shared" si="22"/>
        <v>85.1</v>
      </c>
      <c r="Q566" s="4" t="s">
        <v>97</v>
      </c>
      <c r="R566" s="4" t="s">
        <v>191</v>
      </c>
    </row>
    <row r="567" spans="1:18" ht="22.5" customHeight="1" x14ac:dyDescent="0.25">
      <c r="A567" s="76">
        <v>46084</v>
      </c>
      <c r="B567" s="4" t="s">
        <v>693</v>
      </c>
      <c r="C567" s="4" t="s">
        <v>79</v>
      </c>
      <c r="D567" s="59">
        <v>160</v>
      </c>
      <c r="E567" s="4" t="s">
        <v>22</v>
      </c>
      <c r="F567" s="4" t="s">
        <v>166</v>
      </c>
      <c r="G567" s="18" t="s">
        <v>448</v>
      </c>
      <c r="H567" s="4" t="s">
        <v>80</v>
      </c>
      <c r="K567" s="4" t="s">
        <v>694</v>
      </c>
      <c r="L567" s="4" t="s">
        <v>98</v>
      </c>
      <c r="N567" s="13">
        <v>15</v>
      </c>
      <c r="O567" s="4">
        <f t="shared" si="21"/>
        <v>24</v>
      </c>
      <c r="P567" s="59">
        <f t="shared" si="22"/>
        <v>184</v>
      </c>
      <c r="Q567" s="4" t="s">
        <v>97</v>
      </c>
      <c r="R567" s="4" t="s">
        <v>191</v>
      </c>
    </row>
    <row r="568" spans="1:18" ht="22.5" customHeight="1" x14ac:dyDescent="0.25">
      <c r="A568" s="76">
        <v>46085</v>
      </c>
      <c r="B568" s="4" t="s">
        <v>401</v>
      </c>
      <c r="C568" s="4" t="s">
        <v>79</v>
      </c>
      <c r="D568" s="59">
        <v>115</v>
      </c>
      <c r="E568" s="4" t="s">
        <v>22</v>
      </c>
      <c r="F568" s="4" t="s">
        <v>253</v>
      </c>
      <c r="H568" s="4" t="s">
        <v>626</v>
      </c>
      <c r="K568" s="4" t="s">
        <v>169</v>
      </c>
      <c r="L568" s="4" t="s">
        <v>154</v>
      </c>
      <c r="N568" s="13">
        <v>0</v>
      </c>
      <c r="O568" s="4">
        <f t="shared" si="21"/>
        <v>0</v>
      </c>
      <c r="P568" s="59">
        <f t="shared" si="22"/>
        <v>115</v>
      </c>
      <c r="Q568" s="4" t="s">
        <v>97</v>
      </c>
      <c r="R568" s="4" t="s">
        <v>137</v>
      </c>
    </row>
    <row r="569" spans="1:18" ht="22.5" customHeight="1" x14ac:dyDescent="0.25">
      <c r="A569" s="76">
        <v>46085</v>
      </c>
      <c r="B569" s="4" t="s">
        <v>257</v>
      </c>
      <c r="C569" s="4" t="s">
        <v>79</v>
      </c>
      <c r="D569" s="59">
        <v>43.48</v>
      </c>
      <c r="E569" s="4" t="s">
        <v>22</v>
      </c>
      <c r="F569" s="4" t="s">
        <v>115</v>
      </c>
      <c r="H569" s="4" t="s">
        <v>115</v>
      </c>
      <c r="K569" s="4" t="s">
        <v>99</v>
      </c>
      <c r="L569" s="4" t="s">
        <v>98</v>
      </c>
      <c r="N569" s="13">
        <v>15</v>
      </c>
      <c r="O569" s="4">
        <f t="shared" si="21"/>
        <v>6.52</v>
      </c>
      <c r="P569" s="59">
        <f t="shared" si="22"/>
        <v>50</v>
      </c>
      <c r="Q569" s="4" t="s">
        <v>97</v>
      </c>
      <c r="R569" s="4" t="s">
        <v>137</v>
      </c>
    </row>
    <row r="570" spans="1:18" ht="22.5" customHeight="1" x14ac:dyDescent="0.25">
      <c r="A570" s="76">
        <v>46085</v>
      </c>
      <c r="B570" s="4" t="s">
        <v>667</v>
      </c>
      <c r="C570" s="4" t="s">
        <v>79</v>
      </c>
      <c r="D570" s="59">
        <v>2000</v>
      </c>
      <c r="E570" s="4" t="s">
        <v>22</v>
      </c>
      <c r="F570" s="4" t="s">
        <v>252</v>
      </c>
      <c r="H570" s="4" t="s">
        <v>252</v>
      </c>
      <c r="K570" s="4" t="s">
        <v>668</v>
      </c>
      <c r="L570" s="4" t="s">
        <v>98</v>
      </c>
      <c r="N570" s="13">
        <v>0</v>
      </c>
      <c r="O570" s="4">
        <f t="shared" si="21"/>
        <v>0</v>
      </c>
      <c r="P570" s="59">
        <f t="shared" si="22"/>
        <v>2000</v>
      </c>
      <c r="Q570" s="4" t="s">
        <v>97</v>
      </c>
      <c r="R570" s="4" t="s">
        <v>137</v>
      </c>
    </row>
    <row r="571" spans="1:18" ht="22.5" customHeight="1" x14ac:dyDescent="0.25">
      <c r="A571" s="76">
        <v>46085</v>
      </c>
      <c r="B571" s="4" t="s">
        <v>695</v>
      </c>
      <c r="C571" s="4" t="s">
        <v>79</v>
      </c>
      <c r="D571" s="59">
        <v>350</v>
      </c>
      <c r="E571" s="4" t="s">
        <v>22</v>
      </c>
      <c r="F571" s="4" t="s">
        <v>253</v>
      </c>
      <c r="H571" s="4" t="s">
        <v>626</v>
      </c>
      <c r="K571" s="4" t="s">
        <v>153</v>
      </c>
      <c r="L571" s="4" t="s">
        <v>154</v>
      </c>
      <c r="N571" s="13">
        <v>0</v>
      </c>
      <c r="O571" s="4">
        <f t="shared" si="21"/>
        <v>0</v>
      </c>
      <c r="P571" s="59">
        <f t="shared" si="22"/>
        <v>350</v>
      </c>
      <c r="Q571" s="4" t="s">
        <v>97</v>
      </c>
      <c r="R571" s="4" t="s">
        <v>137</v>
      </c>
    </row>
    <row r="572" spans="1:18" ht="22.5" customHeight="1" x14ac:dyDescent="0.25">
      <c r="A572" s="76">
        <v>46085</v>
      </c>
      <c r="B572" s="4" t="s">
        <v>309</v>
      </c>
      <c r="C572" s="4" t="s">
        <v>79</v>
      </c>
      <c r="D572" s="59">
        <v>1200</v>
      </c>
      <c r="E572" s="4" t="s">
        <v>22</v>
      </c>
      <c r="F572" s="4" t="s">
        <v>29</v>
      </c>
      <c r="H572" s="4" t="s">
        <v>196</v>
      </c>
      <c r="K572" s="4" t="s">
        <v>153</v>
      </c>
      <c r="L572" s="4" t="s">
        <v>154</v>
      </c>
      <c r="N572" s="13">
        <v>0</v>
      </c>
      <c r="O572" s="4">
        <f t="shared" si="21"/>
        <v>0</v>
      </c>
      <c r="P572" s="59">
        <f t="shared" si="22"/>
        <v>1200</v>
      </c>
      <c r="Q572" s="4" t="s">
        <v>97</v>
      </c>
      <c r="R572" s="4" t="s">
        <v>137</v>
      </c>
    </row>
    <row r="573" spans="1:18" s="6" customFormat="1" ht="22.5" customHeight="1" x14ac:dyDescent="0.25">
      <c r="A573" s="83">
        <v>46089</v>
      </c>
      <c r="B573" s="6" t="s">
        <v>713</v>
      </c>
      <c r="C573" s="6" t="s">
        <v>88</v>
      </c>
      <c r="D573" s="60">
        <v>23080</v>
      </c>
      <c r="E573" s="6" t="s">
        <v>22</v>
      </c>
      <c r="F573" s="6" t="s">
        <v>89</v>
      </c>
      <c r="G573" s="6" t="s">
        <v>731</v>
      </c>
      <c r="H573" s="6" t="s">
        <v>196</v>
      </c>
      <c r="K573" s="6" t="s">
        <v>729</v>
      </c>
      <c r="L573" s="6" t="s">
        <v>86</v>
      </c>
      <c r="M573" s="31" t="s">
        <v>766</v>
      </c>
      <c r="N573" s="14">
        <v>15</v>
      </c>
      <c r="O573" s="6">
        <f t="shared" si="21"/>
        <v>3462</v>
      </c>
      <c r="P573" s="60">
        <f t="shared" si="22"/>
        <v>26542</v>
      </c>
      <c r="Q573" s="6" t="s">
        <v>97</v>
      </c>
      <c r="R573" s="6" t="s">
        <v>732</v>
      </c>
    </row>
    <row r="574" spans="1:18" ht="22.5" customHeight="1" x14ac:dyDescent="0.25">
      <c r="A574" s="76">
        <v>46085</v>
      </c>
      <c r="B574" s="4" t="s">
        <v>251</v>
      </c>
      <c r="C574" s="4" t="s">
        <v>79</v>
      </c>
      <c r="D574" s="59">
        <v>2300</v>
      </c>
      <c r="E574" s="4" t="s">
        <v>22</v>
      </c>
      <c r="F574" s="4" t="s">
        <v>251</v>
      </c>
      <c r="G574" s="18" t="s">
        <v>731</v>
      </c>
      <c r="H574" s="4" t="s">
        <v>251</v>
      </c>
      <c r="K574" s="4" t="s">
        <v>99</v>
      </c>
      <c r="L574" s="4" t="s">
        <v>98</v>
      </c>
      <c r="N574" s="13">
        <v>0</v>
      </c>
      <c r="O574" s="4">
        <f t="shared" si="21"/>
        <v>0</v>
      </c>
      <c r="P574" s="59">
        <f t="shared" si="22"/>
        <v>2300</v>
      </c>
      <c r="Q574" s="4" t="s">
        <v>97</v>
      </c>
      <c r="R574" s="4" t="s">
        <v>191</v>
      </c>
    </row>
    <row r="575" spans="1:18" ht="22.5" customHeight="1" x14ac:dyDescent="0.25">
      <c r="A575" s="76">
        <v>46085</v>
      </c>
      <c r="B575" s="4" t="s">
        <v>696</v>
      </c>
      <c r="C575" s="4" t="s">
        <v>79</v>
      </c>
      <c r="D575" s="59">
        <v>8696</v>
      </c>
      <c r="E575" s="4" t="s">
        <v>22</v>
      </c>
      <c r="F575" s="4" t="s">
        <v>697</v>
      </c>
      <c r="G575" s="18" t="s">
        <v>731</v>
      </c>
      <c r="H575" s="4" t="s">
        <v>698</v>
      </c>
      <c r="K575" s="4" t="s">
        <v>699</v>
      </c>
      <c r="L575" s="4" t="s">
        <v>98</v>
      </c>
      <c r="N575" s="13">
        <v>15</v>
      </c>
      <c r="O575" s="4">
        <f t="shared" si="21"/>
        <v>1304.4000000000001</v>
      </c>
      <c r="P575" s="59">
        <f t="shared" si="22"/>
        <v>10000.4</v>
      </c>
      <c r="Q575" s="4" t="s">
        <v>97</v>
      </c>
      <c r="R575" s="4" t="s">
        <v>191</v>
      </c>
    </row>
    <row r="576" spans="1:18" ht="22.5" customHeight="1" x14ac:dyDescent="0.25">
      <c r="A576" s="76">
        <v>46085</v>
      </c>
      <c r="B576" s="4" t="s">
        <v>700</v>
      </c>
      <c r="C576" s="4" t="s">
        <v>79</v>
      </c>
      <c r="D576" s="59">
        <v>239.1</v>
      </c>
      <c r="E576" s="4" t="s">
        <v>22</v>
      </c>
      <c r="F576" s="4" t="s">
        <v>166</v>
      </c>
      <c r="G576" s="18" t="s">
        <v>536</v>
      </c>
      <c r="H576" s="4" t="s">
        <v>80</v>
      </c>
      <c r="K576" s="4" t="s">
        <v>134</v>
      </c>
      <c r="L576" s="4" t="s">
        <v>98</v>
      </c>
      <c r="N576" s="13">
        <v>15</v>
      </c>
      <c r="O576" s="4">
        <f t="shared" si="21"/>
        <v>35.869999999999997</v>
      </c>
      <c r="P576" s="59">
        <f t="shared" si="22"/>
        <v>274.96999999999997</v>
      </c>
      <c r="Q576" s="4" t="s">
        <v>97</v>
      </c>
      <c r="R576" s="4" t="s">
        <v>191</v>
      </c>
    </row>
    <row r="577" spans="1:18" ht="22.5" customHeight="1" x14ac:dyDescent="0.25">
      <c r="A577" s="76">
        <v>46085</v>
      </c>
      <c r="B577" s="4" t="s">
        <v>75</v>
      </c>
      <c r="C577" s="4" t="s">
        <v>79</v>
      </c>
      <c r="D577" s="59">
        <v>58.2</v>
      </c>
      <c r="E577" s="4" t="s">
        <v>22</v>
      </c>
      <c r="F577" s="4" t="s">
        <v>57</v>
      </c>
      <c r="G577" s="18" t="s">
        <v>536</v>
      </c>
      <c r="H577" s="4" t="s">
        <v>81</v>
      </c>
      <c r="K577" s="4" t="s">
        <v>99</v>
      </c>
      <c r="L577" s="4" t="s">
        <v>98</v>
      </c>
      <c r="N577" s="13">
        <v>15</v>
      </c>
      <c r="O577" s="4">
        <f t="shared" si="21"/>
        <v>8.73</v>
      </c>
      <c r="P577" s="59">
        <f t="shared" si="22"/>
        <v>66.930000000000007</v>
      </c>
      <c r="Q577" s="4" t="s">
        <v>97</v>
      </c>
      <c r="R577" s="4" t="s">
        <v>191</v>
      </c>
    </row>
    <row r="578" spans="1:18" ht="22.5" customHeight="1" x14ac:dyDescent="0.25">
      <c r="A578" s="76">
        <v>46085</v>
      </c>
      <c r="B578" s="4" t="s">
        <v>75</v>
      </c>
      <c r="C578" s="4" t="s">
        <v>79</v>
      </c>
      <c r="D578" s="59">
        <v>19</v>
      </c>
      <c r="E578" s="4" t="s">
        <v>22</v>
      </c>
      <c r="F578" s="4" t="s">
        <v>57</v>
      </c>
      <c r="G578" s="18" t="s">
        <v>536</v>
      </c>
      <c r="H578" s="4" t="s">
        <v>81</v>
      </c>
      <c r="K578" s="4" t="s">
        <v>99</v>
      </c>
      <c r="L578" s="4" t="s">
        <v>98</v>
      </c>
      <c r="N578" s="13">
        <v>0</v>
      </c>
      <c r="O578" s="4">
        <f t="shared" si="21"/>
        <v>0</v>
      </c>
      <c r="P578" s="59">
        <f t="shared" si="22"/>
        <v>19</v>
      </c>
      <c r="Q578" s="4" t="s">
        <v>97</v>
      </c>
      <c r="R578" s="4" t="s">
        <v>191</v>
      </c>
    </row>
    <row r="579" spans="1:18" ht="22.5" customHeight="1" x14ac:dyDescent="0.25">
      <c r="A579" s="76">
        <v>46085</v>
      </c>
      <c r="B579" s="4" t="s">
        <v>689</v>
      </c>
      <c r="C579" s="4" t="s">
        <v>79</v>
      </c>
      <c r="D579" s="59">
        <v>39.130000000000003</v>
      </c>
      <c r="E579" s="4" t="s">
        <v>22</v>
      </c>
      <c r="F579" s="4" t="s">
        <v>568</v>
      </c>
      <c r="H579" s="4" t="s">
        <v>543</v>
      </c>
      <c r="K579" s="4" t="s">
        <v>701</v>
      </c>
      <c r="L579" s="4" t="s">
        <v>98</v>
      </c>
      <c r="N579" s="13">
        <v>15</v>
      </c>
      <c r="O579" s="4">
        <f t="shared" si="21"/>
        <v>5.87</v>
      </c>
      <c r="P579" s="59">
        <f t="shared" si="22"/>
        <v>45</v>
      </c>
      <c r="Q579" s="4" t="s">
        <v>97</v>
      </c>
      <c r="R579" s="4" t="s">
        <v>137</v>
      </c>
    </row>
    <row r="580" spans="1:18" ht="22.5" customHeight="1" x14ac:dyDescent="0.25">
      <c r="A580" s="76">
        <v>46086</v>
      </c>
      <c r="B580" s="4" t="s">
        <v>716</v>
      </c>
      <c r="C580" s="4" t="s">
        <v>79</v>
      </c>
      <c r="D580" s="59">
        <v>408</v>
      </c>
      <c r="E580" s="4" t="s">
        <v>22</v>
      </c>
      <c r="F580" s="4" t="s">
        <v>115</v>
      </c>
      <c r="H580" s="4" t="s">
        <v>115</v>
      </c>
      <c r="K580" s="4" t="s">
        <v>99</v>
      </c>
      <c r="L580" s="4" t="s">
        <v>98</v>
      </c>
      <c r="N580" s="13">
        <v>15</v>
      </c>
      <c r="O580" s="4">
        <f t="shared" si="21"/>
        <v>61.2</v>
      </c>
      <c r="P580" s="59">
        <f t="shared" si="22"/>
        <v>469.2</v>
      </c>
      <c r="Q580" s="4" t="s">
        <v>97</v>
      </c>
      <c r="R580" s="4" t="s">
        <v>137</v>
      </c>
    </row>
    <row r="581" spans="1:18" ht="22.5" customHeight="1" x14ac:dyDescent="0.25">
      <c r="A581" s="76">
        <v>46086</v>
      </c>
      <c r="B581" s="4" t="s">
        <v>75</v>
      </c>
      <c r="C581" s="4" t="s">
        <v>79</v>
      </c>
      <c r="D581" s="59">
        <v>34</v>
      </c>
      <c r="E581" s="4" t="s">
        <v>22</v>
      </c>
      <c r="F581" s="4" t="s">
        <v>57</v>
      </c>
      <c r="H581" s="4" t="s">
        <v>81</v>
      </c>
      <c r="K581" s="4" t="s">
        <v>99</v>
      </c>
      <c r="L581" s="4" t="s">
        <v>98</v>
      </c>
      <c r="N581" s="13">
        <v>15</v>
      </c>
      <c r="O581" s="4">
        <f t="shared" ref="O581:O588" si="23">IF(OR(D581="", N581=""), "", ROUND(D581 * N581 / 100, 2))</f>
        <v>5.0999999999999996</v>
      </c>
      <c r="P581" s="59">
        <f t="shared" ref="P581:P588" si="24">IF(D581="", "", D581 + O581)</f>
        <v>39.1</v>
      </c>
      <c r="Q581" s="4" t="s">
        <v>97</v>
      </c>
      <c r="R581" s="4" t="s">
        <v>137</v>
      </c>
    </row>
    <row r="582" spans="1:18" ht="22.5" customHeight="1" x14ac:dyDescent="0.25">
      <c r="A582" s="76">
        <v>46086</v>
      </c>
      <c r="B582" s="4" t="s">
        <v>75</v>
      </c>
      <c r="C582" s="4" t="s">
        <v>79</v>
      </c>
      <c r="D582" s="59">
        <v>11</v>
      </c>
      <c r="E582" s="4" t="s">
        <v>22</v>
      </c>
      <c r="F582" s="4" t="s">
        <v>57</v>
      </c>
      <c r="H582" s="4" t="s">
        <v>81</v>
      </c>
      <c r="K582" s="4" t="s">
        <v>99</v>
      </c>
      <c r="L582" s="4" t="s">
        <v>98</v>
      </c>
      <c r="N582" s="13">
        <v>0</v>
      </c>
      <c r="O582" s="4">
        <f t="shared" si="23"/>
        <v>0</v>
      </c>
      <c r="P582" s="59">
        <f t="shared" si="24"/>
        <v>11</v>
      </c>
      <c r="Q582" s="4" t="s">
        <v>97</v>
      </c>
      <c r="R582" s="4" t="s">
        <v>137</v>
      </c>
    </row>
    <row r="583" spans="1:18" ht="22.5" customHeight="1" x14ac:dyDescent="0.25">
      <c r="A583" s="76">
        <v>46086</v>
      </c>
      <c r="B583" s="4" t="s">
        <v>691</v>
      </c>
      <c r="C583" s="4" t="s">
        <v>79</v>
      </c>
      <c r="D583" s="59">
        <v>120.8</v>
      </c>
      <c r="E583" s="4" t="s">
        <v>22</v>
      </c>
      <c r="F583" s="4" t="s">
        <v>166</v>
      </c>
      <c r="G583" s="18" t="s">
        <v>536</v>
      </c>
      <c r="H583" s="4" t="s">
        <v>80</v>
      </c>
      <c r="K583" s="4" t="s">
        <v>718</v>
      </c>
      <c r="L583" s="4" t="s">
        <v>98</v>
      </c>
      <c r="N583" s="13">
        <v>15</v>
      </c>
      <c r="O583" s="4">
        <f t="shared" si="23"/>
        <v>18.12</v>
      </c>
      <c r="P583" s="59">
        <f t="shared" si="24"/>
        <v>138.91999999999999</v>
      </c>
      <c r="Q583" s="4" t="s">
        <v>97</v>
      </c>
      <c r="R583" s="4" t="s">
        <v>191</v>
      </c>
    </row>
    <row r="584" spans="1:18" ht="22.5" customHeight="1" x14ac:dyDescent="0.25">
      <c r="A584" s="76">
        <v>46086</v>
      </c>
      <c r="B584" s="4" t="s">
        <v>719</v>
      </c>
      <c r="C584" s="4" t="s">
        <v>79</v>
      </c>
      <c r="D584" s="59">
        <v>409</v>
      </c>
      <c r="E584" s="4" t="s">
        <v>22</v>
      </c>
      <c r="F584" s="4" t="s">
        <v>166</v>
      </c>
      <c r="G584" s="18" t="s">
        <v>448</v>
      </c>
      <c r="H584" s="4" t="s">
        <v>80</v>
      </c>
      <c r="K584" s="4" t="s">
        <v>720</v>
      </c>
      <c r="L584" s="4" t="s">
        <v>98</v>
      </c>
      <c r="N584" s="13">
        <v>15</v>
      </c>
      <c r="O584" s="4">
        <f t="shared" si="23"/>
        <v>61.35</v>
      </c>
      <c r="P584" s="59">
        <f t="shared" si="24"/>
        <v>470.35</v>
      </c>
      <c r="Q584" s="4" t="s">
        <v>97</v>
      </c>
      <c r="R584" s="4" t="s">
        <v>191</v>
      </c>
    </row>
    <row r="585" spans="1:18" ht="22.5" customHeight="1" x14ac:dyDescent="0.25">
      <c r="A585" s="76">
        <v>46087</v>
      </c>
      <c r="B585" s="4" t="s">
        <v>75</v>
      </c>
      <c r="C585" s="4" t="s">
        <v>79</v>
      </c>
      <c r="D585" s="59">
        <v>42</v>
      </c>
      <c r="E585" s="4" t="s">
        <v>22</v>
      </c>
      <c r="F585" s="4" t="s">
        <v>57</v>
      </c>
      <c r="H585" s="4" t="s">
        <v>81</v>
      </c>
      <c r="K585" s="4" t="s">
        <v>99</v>
      </c>
      <c r="L585" s="4" t="s">
        <v>98</v>
      </c>
      <c r="N585" s="13">
        <v>15</v>
      </c>
      <c r="O585" s="4">
        <f t="shared" si="23"/>
        <v>6.3</v>
      </c>
      <c r="P585" s="59">
        <f t="shared" si="24"/>
        <v>48.3</v>
      </c>
      <c r="Q585" s="4" t="s">
        <v>97</v>
      </c>
      <c r="R585" s="4" t="s">
        <v>137</v>
      </c>
    </row>
    <row r="586" spans="1:18" ht="22.5" customHeight="1" x14ac:dyDescent="0.25">
      <c r="A586" s="76">
        <v>46087</v>
      </c>
      <c r="B586" s="4" t="s">
        <v>721</v>
      </c>
      <c r="C586" s="4" t="s">
        <v>79</v>
      </c>
      <c r="D586" s="59">
        <v>63</v>
      </c>
      <c r="E586" s="4" t="s">
        <v>22</v>
      </c>
      <c r="F586" s="4" t="s">
        <v>166</v>
      </c>
      <c r="G586" s="18" t="s">
        <v>536</v>
      </c>
      <c r="H586" s="4" t="s">
        <v>80</v>
      </c>
      <c r="K586" s="4" t="s">
        <v>99</v>
      </c>
      <c r="L586" s="4" t="s">
        <v>98</v>
      </c>
      <c r="N586" s="13">
        <v>0</v>
      </c>
      <c r="O586" s="4">
        <f t="shared" si="23"/>
        <v>0</v>
      </c>
      <c r="P586" s="59">
        <f t="shared" si="24"/>
        <v>63</v>
      </c>
      <c r="Q586" s="4" t="s">
        <v>97</v>
      </c>
      <c r="R586" s="4" t="s">
        <v>191</v>
      </c>
    </row>
    <row r="587" spans="1:18" ht="22.5" customHeight="1" x14ac:dyDescent="0.25">
      <c r="A587" s="76">
        <v>46087</v>
      </c>
      <c r="B587" s="4" t="s">
        <v>722</v>
      </c>
      <c r="C587" s="4" t="s">
        <v>79</v>
      </c>
      <c r="D587" s="59">
        <v>34.78</v>
      </c>
      <c r="E587" s="4" t="s">
        <v>22</v>
      </c>
      <c r="F587" s="4" t="s">
        <v>166</v>
      </c>
      <c r="G587" s="18" t="s">
        <v>536</v>
      </c>
      <c r="H587" s="4" t="s">
        <v>80</v>
      </c>
      <c r="K587" s="4" t="s">
        <v>717</v>
      </c>
      <c r="L587" s="4" t="s">
        <v>98</v>
      </c>
      <c r="N587" s="13">
        <v>15</v>
      </c>
      <c r="O587" s="4">
        <f t="shared" ref="O587" si="25">IF(OR(D587="", N587=""), "", ROUND(D587 * N587 / 100, 2))</f>
        <v>5.22</v>
      </c>
      <c r="P587" s="59">
        <f t="shared" ref="P587" si="26">IF(D587="", "", D587 + O587)</f>
        <v>40</v>
      </c>
      <c r="Q587" s="4" t="s">
        <v>97</v>
      </c>
      <c r="R587" s="4" t="s">
        <v>191</v>
      </c>
    </row>
    <row r="588" spans="1:18" ht="22.5" customHeight="1" x14ac:dyDescent="0.25">
      <c r="A588" s="76">
        <v>46087</v>
      </c>
      <c r="B588" s="4" t="s">
        <v>257</v>
      </c>
      <c r="C588" s="4" t="s">
        <v>79</v>
      </c>
      <c r="D588" s="59">
        <v>86.96</v>
      </c>
      <c r="E588" s="4" t="s">
        <v>22</v>
      </c>
      <c r="F588" s="4" t="s">
        <v>115</v>
      </c>
      <c r="G588" s="18" t="s">
        <v>536</v>
      </c>
      <c r="H588" s="4" t="s">
        <v>115</v>
      </c>
      <c r="K588" s="4" t="s">
        <v>99</v>
      </c>
      <c r="L588" s="4" t="s">
        <v>98</v>
      </c>
      <c r="N588" s="13">
        <v>15</v>
      </c>
      <c r="O588" s="4">
        <f t="shared" si="23"/>
        <v>13.04</v>
      </c>
      <c r="P588" s="59">
        <f t="shared" si="24"/>
        <v>100</v>
      </c>
      <c r="Q588" s="4" t="s">
        <v>97</v>
      </c>
      <c r="R588" s="4" t="s">
        <v>191</v>
      </c>
    </row>
    <row r="589" spans="1:18" ht="22.5" customHeight="1" x14ac:dyDescent="0.25">
      <c r="A589" s="76">
        <v>46088</v>
      </c>
      <c r="B589" s="4" t="s">
        <v>75</v>
      </c>
      <c r="C589" s="4" t="s">
        <v>79</v>
      </c>
      <c r="D589" s="59">
        <v>101</v>
      </c>
      <c r="E589" s="4" t="s">
        <v>22</v>
      </c>
      <c r="F589" s="4" t="s">
        <v>57</v>
      </c>
      <c r="H589" s="4" t="s">
        <v>81</v>
      </c>
      <c r="K589" s="4" t="s">
        <v>99</v>
      </c>
      <c r="L589" s="4" t="s">
        <v>98</v>
      </c>
      <c r="N589" s="13">
        <v>0</v>
      </c>
      <c r="O589" s="4">
        <f t="shared" ref="O589:O597" si="27">IF(OR(D589="", N589=""), "", ROUND(D589 * N589 / 100, 2))</f>
        <v>0</v>
      </c>
      <c r="P589" s="59">
        <f t="shared" ref="P589:P597" si="28">IF(D589="", "", D589 + O589)</f>
        <v>101</v>
      </c>
      <c r="Q589" s="4" t="s">
        <v>97</v>
      </c>
      <c r="R589" s="4" t="s">
        <v>137</v>
      </c>
    </row>
    <row r="590" spans="1:18" ht="22.5" customHeight="1" x14ac:dyDescent="0.25">
      <c r="A590" s="76">
        <v>46088</v>
      </c>
      <c r="B590" s="4" t="s">
        <v>257</v>
      </c>
      <c r="C590" s="4" t="s">
        <v>79</v>
      </c>
      <c r="D590" s="59">
        <v>173.91</v>
      </c>
      <c r="E590" s="4" t="s">
        <v>22</v>
      </c>
      <c r="F590" s="4" t="s">
        <v>115</v>
      </c>
      <c r="G590" s="18" t="s">
        <v>448</v>
      </c>
      <c r="H590" s="4" t="s">
        <v>115</v>
      </c>
      <c r="K590" s="4" t="s">
        <v>99</v>
      </c>
      <c r="L590" s="4" t="s">
        <v>98</v>
      </c>
      <c r="N590" s="13">
        <v>15</v>
      </c>
      <c r="O590" s="4">
        <f t="shared" si="27"/>
        <v>26.09</v>
      </c>
      <c r="P590" s="59">
        <f t="shared" si="28"/>
        <v>200</v>
      </c>
      <c r="Q590" s="4" t="s">
        <v>97</v>
      </c>
      <c r="R590" s="4" t="s">
        <v>191</v>
      </c>
    </row>
    <row r="591" spans="1:18" ht="22.5" customHeight="1" x14ac:dyDescent="0.25">
      <c r="A591" s="76">
        <v>46088</v>
      </c>
      <c r="B591" s="4" t="s">
        <v>723</v>
      </c>
      <c r="C591" s="4" t="s">
        <v>79</v>
      </c>
      <c r="D591" s="59">
        <v>2000</v>
      </c>
      <c r="E591" s="4" t="s">
        <v>22</v>
      </c>
      <c r="F591" s="4" t="s">
        <v>253</v>
      </c>
      <c r="H591" s="4" t="s">
        <v>626</v>
      </c>
      <c r="K591" s="4" t="s">
        <v>99</v>
      </c>
      <c r="L591" s="4" t="s">
        <v>98</v>
      </c>
      <c r="N591" s="13">
        <v>0</v>
      </c>
      <c r="O591" s="4">
        <f t="shared" si="27"/>
        <v>0</v>
      </c>
      <c r="P591" s="59">
        <f t="shared" si="28"/>
        <v>2000</v>
      </c>
      <c r="Q591" s="4" t="s">
        <v>97</v>
      </c>
      <c r="R591" s="4" t="s">
        <v>137</v>
      </c>
    </row>
    <row r="592" spans="1:18" ht="22.5" customHeight="1" x14ac:dyDescent="0.25">
      <c r="A592" s="76">
        <v>46088</v>
      </c>
      <c r="B592" s="4" t="s">
        <v>740</v>
      </c>
      <c r="C592" s="4" t="s">
        <v>79</v>
      </c>
      <c r="D592" s="59">
        <v>10000</v>
      </c>
      <c r="E592" s="4" t="s">
        <v>22</v>
      </c>
      <c r="F592" s="4" t="s">
        <v>249</v>
      </c>
      <c r="G592" s="18" t="s">
        <v>448</v>
      </c>
      <c r="H592" s="4" t="s">
        <v>622</v>
      </c>
      <c r="K592" s="4" t="s">
        <v>449</v>
      </c>
      <c r="L592" s="4" t="s">
        <v>98</v>
      </c>
      <c r="N592" s="13">
        <v>0</v>
      </c>
      <c r="O592" s="4">
        <f t="shared" si="27"/>
        <v>0</v>
      </c>
      <c r="P592" s="59">
        <f t="shared" si="28"/>
        <v>10000</v>
      </c>
      <c r="Q592" s="4" t="s">
        <v>97</v>
      </c>
      <c r="R592" s="4" t="s">
        <v>191</v>
      </c>
    </row>
    <row r="593" spans="1:18" ht="22.5" customHeight="1" x14ac:dyDescent="0.25">
      <c r="A593" s="76">
        <v>46088</v>
      </c>
      <c r="B593" s="4" t="s">
        <v>829</v>
      </c>
      <c r="C593" s="4" t="s">
        <v>79</v>
      </c>
      <c r="D593" s="59">
        <v>1500</v>
      </c>
      <c r="E593" s="4" t="s">
        <v>22</v>
      </c>
      <c r="F593" s="4" t="s">
        <v>166</v>
      </c>
      <c r="G593" s="18" t="s">
        <v>448</v>
      </c>
      <c r="H593" s="4" t="s">
        <v>80</v>
      </c>
      <c r="K593" s="4" t="s">
        <v>449</v>
      </c>
      <c r="L593" s="4" t="s">
        <v>98</v>
      </c>
      <c r="N593" s="13">
        <v>0</v>
      </c>
      <c r="O593" s="4">
        <f t="shared" si="27"/>
        <v>0</v>
      </c>
      <c r="P593" s="59">
        <f t="shared" si="28"/>
        <v>1500</v>
      </c>
      <c r="Q593" s="4" t="s">
        <v>97</v>
      </c>
      <c r="R593" s="4" t="s">
        <v>191</v>
      </c>
    </row>
    <row r="594" spans="1:18" ht="22.5" customHeight="1" x14ac:dyDescent="0.25">
      <c r="A594" s="76">
        <v>46088</v>
      </c>
      <c r="B594" s="4" t="s">
        <v>725</v>
      </c>
      <c r="C594" s="4" t="s">
        <v>79</v>
      </c>
      <c r="D594" s="59">
        <v>104.3</v>
      </c>
      <c r="E594" s="4" t="s">
        <v>22</v>
      </c>
      <c r="F594" s="4" t="s">
        <v>166</v>
      </c>
      <c r="G594" s="18" t="s">
        <v>536</v>
      </c>
      <c r="H594" s="4" t="s">
        <v>80</v>
      </c>
      <c r="K594" s="4" t="s">
        <v>724</v>
      </c>
      <c r="L594" s="4" t="s">
        <v>98</v>
      </c>
      <c r="N594" s="13">
        <v>15</v>
      </c>
      <c r="O594" s="4">
        <f t="shared" si="27"/>
        <v>15.65</v>
      </c>
      <c r="P594" s="59">
        <f t="shared" si="28"/>
        <v>119.95</v>
      </c>
      <c r="Q594" s="4" t="s">
        <v>97</v>
      </c>
      <c r="R594" s="4" t="s">
        <v>191</v>
      </c>
    </row>
    <row r="595" spans="1:18" ht="22.5" customHeight="1" x14ac:dyDescent="0.25">
      <c r="A595" s="76">
        <v>46088</v>
      </c>
      <c r="B595" s="4" t="s">
        <v>721</v>
      </c>
      <c r="C595" s="4" t="s">
        <v>79</v>
      </c>
      <c r="D595" s="59">
        <v>188.3</v>
      </c>
      <c r="E595" s="4" t="s">
        <v>22</v>
      </c>
      <c r="F595" s="4" t="s">
        <v>568</v>
      </c>
      <c r="H595" s="4" t="s">
        <v>543</v>
      </c>
      <c r="K595" s="4" t="s">
        <v>392</v>
      </c>
      <c r="L595" s="4" t="s">
        <v>98</v>
      </c>
      <c r="N595" s="13">
        <v>15</v>
      </c>
      <c r="O595" s="4">
        <f t="shared" si="27"/>
        <v>28.25</v>
      </c>
      <c r="P595" s="59">
        <f t="shared" si="28"/>
        <v>216.55</v>
      </c>
      <c r="Q595" s="4" t="s">
        <v>97</v>
      </c>
      <c r="R595" s="4" t="s">
        <v>137</v>
      </c>
    </row>
    <row r="596" spans="1:18" ht="22.5" customHeight="1" x14ac:dyDescent="0.25">
      <c r="A596" s="76">
        <v>46089</v>
      </c>
      <c r="B596" s="4" t="s">
        <v>75</v>
      </c>
      <c r="C596" s="4" t="s">
        <v>79</v>
      </c>
      <c r="D596" s="59">
        <v>27</v>
      </c>
      <c r="E596" s="4" t="s">
        <v>22</v>
      </c>
      <c r="F596" s="4" t="s">
        <v>57</v>
      </c>
      <c r="H596" s="4" t="s">
        <v>81</v>
      </c>
      <c r="K596" s="4" t="s">
        <v>99</v>
      </c>
      <c r="L596" s="4" t="s">
        <v>98</v>
      </c>
      <c r="N596" s="13">
        <v>15</v>
      </c>
      <c r="O596" s="4">
        <f t="shared" si="27"/>
        <v>4.05</v>
      </c>
      <c r="P596" s="59">
        <f t="shared" si="28"/>
        <v>31.05</v>
      </c>
      <c r="Q596" s="4" t="s">
        <v>97</v>
      </c>
      <c r="R596" s="4" t="s">
        <v>137</v>
      </c>
    </row>
    <row r="597" spans="1:18" ht="22.5" customHeight="1" x14ac:dyDescent="0.25">
      <c r="A597" s="76">
        <v>46089</v>
      </c>
      <c r="B597" s="4" t="s">
        <v>726</v>
      </c>
      <c r="C597" s="4" t="s">
        <v>79</v>
      </c>
      <c r="D597" s="59">
        <v>605</v>
      </c>
      <c r="E597" s="4" t="s">
        <v>22</v>
      </c>
      <c r="F597" s="4" t="s">
        <v>166</v>
      </c>
      <c r="G597" s="18" t="s">
        <v>536</v>
      </c>
      <c r="H597" s="4" t="s">
        <v>80</v>
      </c>
      <c r="K597" s="4" t="s">
        <v>727</v>
      </c>
      <c r="L597" s="4" t="s">
        <v>98</v>
      </c>
      <c r="N597" s="13">
        <v>15</v>
      </c>
      <c r="O597" s="4">
        <f t="shared" si="27"/>
        <v>90.75</v>
      </c>
      <c r="P597" s="59">
        <f t="shared" si="28"/>
        <v>695.75</v>
      </c>
      <c r="Q597" s="4" t="s">
        <v>97</v>
      </c>
      <c r="R597" s="4" t="s">
        <v>191</v>
      </c>
    </row>
    <row r="598" spans="1:18" ht="22.5" customHeight="1" x14ac:dyDescent="0.25">
      <c r="A598" s="76">
        <v>46089</v>
      </c>
      <c r="B598" s="4" t="s">
        <v>703</v>
      </c>
      <c r="C598" s="4" t="s">
        <v>79</v>
      </c>
      <c r="D598" s="59">
        <v>1700</v>
      </c>
      <c r="E598" s="4" t="s">
        <v>22</v>
      </c>
      <c r="F598" s="4" t="s">
        <v>568</v>
      </c>
      <c r="H598" s="4" t="s">
        <v>543</v>
      </c>
      <c r="K598" s="4" t="s">
        <v>649</v>
      </c>
      <c r="L598" s="4" t="s">
        <v>154</v>
      </c>
      <c r="N598" s="13">
        <v>0</v>
      </c>
      <c r="O598" s="4">
        <f t="shared" si="21"/>
        <v>0</v>
      </c>
      <c r="P598" s="59">
        <f t="shared" si="22"/>
        <v>1700</v>
      </c>
      <c r="Q598" s="4" t="s">
        <v>97</v>
      </c>
      <c r="R598" s="4" t="s">
        <v>702</v>
      </c>
    </row>
    <row r="599" spans="1:18" ht="22.5" customHeight="1" x14ac:dyDescent="0.25">
      <c r="A599" s="76">
        <v>46089</v>
      </c>
      <c r="B599" s="4" t="s">
        <v>257</v>
      </c>
      <c r="C599" s="4" t="s">
        <v>79</v>
      </c>
      <c r="D599" s="59">
        <v>43.48</v>
      </c>
      <c r="E599" s="4" t="s">
        <v>22</v>
      </c>
      <c r="F599" s="4" t="s">
        <v>115</v>
      </c>
      <c r="G599" s="18" t="s">
        <v>536</v>
      </c>
      <c r="H599" s="4" t="s">
        <v>115</v>
      </c>
      <c r="K599" s="4" t="s">
        <v>99</v>
      </c>
      <c r="L599" s="4" t="s">
        <v>98</v>
      </c>
      <c r="N599" s="13">
        <v>15</v>
      </c>
      <c r="O599" s="4">
        <f t="shared" si="21"/>
        <v>6.52</v>
      </c>
      <c r="P599" s="59">
        <f t="shared" si="22"/>
        <v>50</v>
      </c>
      <c r="Q599" s="4" t="s">
        <v>97</v>
      </c>
      <c r="R599" s="4" t="s">
        <v>191</v>
      </c>
    </row>
    <row r="600" spans="1:18" ht="22.5" customHeight="1" x14ac:dyDescent="0.25">
      <c r="A600" s="76">
        <v>46089</v>
      </c>
      <c r="B600" s="4" t="s">
        <v>709</v>
      </c>
      <c r="C600" s="4" t="s">
        <v>79</v>
      </c>
      <c r="D600" s="59">
        <v>95</v>
      </c>
      <c r="E600" s="4" t="s">
        <v>22</v>
      </c>
      <c r="F600" s="4" t="s">
        <v>57</v>
      </c>
      <c r="H600" s="4" t="s">
        <v>81</v>
      </c>
      <c r="K600" s="4" t="s">
        <v>99</v>
      </c>
      <c r="L600" s="4" t="s">
        <v>98</v>
      </c>
      <c r="N600" s="13">
        <v>0</v>
      </c>
      <c r="O600" s="4">
        <f t="shared" si="21"/>
        <v>0</v>
      </c>
      <c r="P600" s="59">
        <f t="shared" si="22"/>
        <v>95</v>
      </c>
      <c r="Q600" s="4" t="s">
        <v>97</v>
      </c>
      <c r="R600" s="4" t="s">
        <v>137</v>
      </c>
    </row>
    <row r="601" spans="1:18" ht="22.5" customHeight="1" x14ac:dyDescent="0.25">
      <c r="A601" s="76">
        <v>46089</v>
      </c>
      <c r="B601" s="4" t="s">
        <v>161</v>
      </c>
      <c r="C601" s="4" t="s">
        <v>79</v>
      </c>
      <c r="D601" s="59">
        <v>1300</v>
      </c>
      <c r="E601" s="4" t="s">
        <v>22</v>
      </c>
      <c r="F601" s="4" t="s">
        <v>25</v>
      </c>
      <c r="H601" s="4" t="s">
        <v>196</v>
      </c>
      <c r="K601" s="4" t="s">
        <v>162</v>
      </c>
      <c r="L601" s="4" t="s">
        <v>163</v>
      </c>
      <c r="N601" s="13">
        <v>0</v>
      </c>
      <c r="O601" s="4">
        <f t="shared" si="21"/>
        <v>0</v>
      </c>
      <c r="P601" s="59">
        <f t="shared" si="22"/>
        <v>1300</v>
      </c>
      <c r="Q601" s="4" t="s">
        <v>97</v>
      </c>
      <c r="R601" s="4" t="s">
        <v>137</v>
      </c>
    </row>
    <row r="602" spans="1:18" ht="22.5" customHeight="1" x14ac:dyDescent="0.25">
      <c r="A602" s="76">
        <v>46089</v>
      </c>
      <c r="B602" s="4" t="s">
        <v>309</v>
      </c>
      <c r="C602" s="4" t="s">
        <v>79</v>
      </c>
      <c r="D602" s="59">
        <v>800</v>
      </c>
      <c r="E602" s="4" t="s">
        <v>22</v>
      </c>
      <c r="F602" s="4" t="s">
        <v>29</v>
      </c>
      <c r="H602" s="4" t="s">
        <v>196</v>
      </c>
      <c r="K602" s="4" t="s">
        <v>153</v>
      </c>
      <c r="L602" s="4" t="s">
        <v>154</v>
      </c>
      <c r="N602" s="13">
        <v>0</v>
      </c>
      <c r="O602" s="4">
        <f t="shared" si="21"/>
        <v>0</v>
      </c>
      <c r="P602" s="59">
        <f t="shared" si="22"/>
        <v>800</v>
      </c>
      <c r="Q602" s="4" t="s">
        <v>97</v>
      </c>
      <c r="R602" s="4" t="s">
        <v>137</v>
      </c>
    </row>
    <row r="603" spans="1:18" ht="22.5" customHeight="1" x14ac:dyDescent="0.25">
      <c r="A603" s="76">
        <v>46089</v>
      </c>
      <c r="B603" s="4" t="s">
        <v>704</v>
      </c>
      <c r="C603" s="4" t="s">
        <v>79</v>
      </c>
      <c r="D603" s="59">
        <v>3000</v>
      </c>
      <c r="E603" s="4" t="s">
        <v>22</v>
      </c>
      <c r="F603" s="4" t="s">
        <v>252</v>
      </c>
      <c r="H603" s="4" t="s">
        <v>252</v>
      </c>
      <c r="K603" s="4" t="s">
        <v>705</v>
      </c>
      <c r="L603" s="4" t="s">
        <v>98</v>
      </c>
      <c r="N603" s="13">
        <v>0</v>
      </c>
      <c r="O603" s="4">
        <f t="shared" ref="O603:O667" si="29">IF(OR(D603="", N603=""), "", ROUND(D603 * N603 / 100, 2))</f>
        <v>0</v>
      </c>
      <c r="P603" s="59">
        <f t="shared" ref="P603:P667" si="30">IF(D603="", "", D603 + O603)</f>
        <v>3000</v>
      </c>
      <c r="Q603" s="4" t="s">
        <v>97</v>
      </c>
      <c r="R603" s="4" t="s">
        <v>137</v>
      </c>
    </row>
    <row r="604" spans="1:18" ht="22.5" customHeight="1" x14ac:dyDescent="0.25">
      <c r="A604" s="76">
        <v>46089</v>
      </c>
      <c r="B604" s="4" t="s">
        <v>706</v>
      </c>
      <c r="C604" s="4" t="s">
        <v>79</v>
      </c>
      <c r="D604" s="59">
        <v>60</v>
      </c>
      <c r="E604" s="4" t="s">
        <v>22</v>
      </c>
      <c r="F604" s="4" t="s">
        <v>568</v>
      </c>
      <c r="H604" s="4" t="s">
        <v>543</v>
      </c>
      <c r="K604" s="4" t="s">
        <v>99</v>
      </c>
      <c r="L604" s="4" t="s">
        <v>98</v>
      </c>
      <c r="N604" s="13">
        <v>0</v>
      </c>
      <c r="O604" s="4">
        <f t="shared" si="29"/>
        <v>0</v>
      </c>
      <c r="P604" s="59">
        <f t="shared" si="30"/>
        <v>60</v>
      </c>
      <c r="Q604" s="4" t="s">
        <v>97</v>
      </c>
      <c r="R604" s="4" t="s">
        <v>137</v>
      </c>
    </row>
    <row r="605" spans="1:18" ht="22.5" customHeight="1" x14ac:dyDescent="0.25">
      <c r="A605" s="76">
        <v>46089</v>
      </c>
      <c r="B605" s="4" t="s">
        <v>707</v>
      </c>
      <c r="C605" s="4" t="s">
        <v>79</v>
      </c>
      <c r="D605" s="59">
        <v>2000</v>
      </c>
      <c r="E605" s="4" t="s">
        <v>22</v>
      </c>
      <c r="F605" s="4" t="s">
        <v>470</v>
      </c>
      <c r="G605" s="18" t="s">
        <v>210</v>
      </c>
      <c r="H605" s="4" t="s">
        <v>470</v>
      </c>
      <c r="K605" s="4" t="s">
        <v>708</v>
      </c>
      <c r="L605" s="4" t="s">
        <v>98</v>
      </c>
      <c r="N605" s="13">
        <v>0</v>
      </c>
      <c r="O605" s="4">
        <f t="shared" si="29"/>
        <v>0</v>
      </c>
      <c r="P605" s="59">
        <f t="shared" si="30"/>
        <v>2000</v>
      </c>
      <c r="Q605" s="4" t="s">
        <v>97</v>
      </c>
      <c r="R605" s="4" t="s">
        <v>191</v>
      </c>
    </row>
    <row r="606" spans="1:18" ht="22.5" customHeight="1" x14ac:dyDescent="0.25">
      <c r="A606" s="76">
        <v>46089</v>
      </c>
      <c r="B606" s="4" t="s">
        <v>710</v>
      </c>
      <c r="C606" s="4" t="s">
        <v>79</v>
      </c>
      <c r="D606" s="59">
        <v>150</v>
      </c>
      <c r="E606" s="4" t="s">
        <v>22</v>
      </c>
      <c r="F606" s="4" t="s">
        <v>59</v>
      </c>
      <c r="G606" s="18" t="s">
        <v>536</v>
      </c>
      <c r="H606" s="4" t="s">
        <v>59</v>
      </c>
      <c r="K606" s="4" t="s">
        <v>99</v>
      </c>
      <c r="L606" s="4" t="s">
        <v>98</v>
      </c>
      <c r="N606" s="13">
        <v>0</v>
      </c>
      <c r="O606" s="4">
        <f t="shared" si="29"/>
        <v>0</v>
      </c>
      <c r="P606" s="59">
        <f t="shared" si="30"/>
        <v>150</v>
      </c>
      <c r="Q606" s="4" t="s">
        <v>97</v>
      </c>
      <c r="R606" s="4" t="s">
        <v>191</v>
      </c>
    </row>
    <row r="607" spans="1:18" ht="22.5" customHeight="1" x14ac:dyDescent="0.25">
      <c r="A607" s="76">
        <v>46089</v>
      </c>
      <c r="B607" s="4" t="s">
        <v>728</v>
      </c>
      <c r="C607" s="4" t="s">
        <v>79</v>
      </c>
      <c r="D607" s="59">
        <v>113.4</v>
      </c>
      <c r="E607" s="4" t="s">
        <v>22</v>
      </c>
      <c r="F607" s="4" t="s">
        <v>166</v>
      </c>
      <c r="H607" s="4" t="s">
        <v>80</v>
      </c>
      <c r="K607" s="4" t="s">
        <v>459</v>
      </c>
      <c r="L607" s="4" t="s">
        <v>98</v>
      </c>
      <c r="N607" s="13">
        <v>15</v>
      </c>
      <c r="O607" s="4">
        <f t="shared" ref="O607" si="31">IF(OR(D607="", N607=""), "", ROUND(D607 * N607 / 100, 2))</f>
        <v>17.010000000000002</v>
      </c>
      <c r="P607" s="59">
        <f t="shared" ref="P607" si="32">IF(D607="", "", D607 + O607)</f>
        <v>130.41</v>
      </c>
      <c r="Q607" s="4" t="s">
        <v>97</v>
      </c>
      <c r="R607" s="4" t="s">
        <v>191</v>
      </c>
    </row>
    <row r="608" spans="1:18" ht="22.5" customHeight="1" x14ac:dyDescent="0.25">
      <c r="A608" s="76">
        <v>46090</v>
      </c>
      <c r="B608" s="4" t="s">
        <v>711</v>
      </c>
      <c r="C608" s="4" t="s">
        <v>79</v>
      </c>
      <c r="D608" s="59">
        <v>1000</v>
      </c>
      <c r="E608" s="4" t="s">
        <v>22</v>
      </c>
      <c r="F608" s="4" t="s">
        <v>249</v>
      </c>
      <c r="H608" s="4" t="s">
        <v>622</v>
      </c>
      <c r="K608" s="4" t="s">
        <v>712</v>
      </c>
      <c r="L608" s="4" t="s">
        <v>98</v>
      </c>
      <c r="N608" s="13">
        <v>0</v>
      </c>
      <c r="O608" s="4">
        <f t="shared" si="29"/>
        <v>0</v>
      </c>
      <c r="P608" s="59">
        <f t="shared" si="30"/>
        <v>1000</v>
      </c>
      <c r="Q608" s="4" t="s">
        <v>97</v>
      </c>
      <c r="R608" s="4" t="s">
        <v>191</v>
      </c>
    </row>
    <row r="609" spans="1:18" s="6" customFormat="1" ht="22.5" customHeight="1" x14ac:dyDescent="0.25">
      <c r="A609" s="83">
        <v>46090</v>
      </c>
      <c r="B609" s="6" t="s">
        <v>713</v>
      </c>
      <c r="C609" s="6" t="s">
        <v>88</v>
      </c>
      <c r="D609" s="60">
        <v>6100</v>
      </c>
      <c r="E609" s="6" t="s">
        <v>22</v>
      </c>
      <c r="F609" s="6" t="s">
        <v>89</v>
      </c>
      <c r="G609" s="6" t="s">
        <v>353</v>
      </c>
      <c r="H609" s="6" t="s">
        <v>196</v>
      </c>
      <c r="K609" s="6" t="s">
        <v>387</v>
      </c>
      <c r="L609" s="6" t="s">
        <v>86</v>
      </c>
      <c r="M609" s="35" t="s">
        <v>715</v>
      </c>
      <c r="N609" s="14">
        <v>15</v>
      </c>
      <c r="O609" s="6">
        <f t="shared" si="29"/>
        <v>915</v>
      </c>
      <c r="P609" s="60">
        <f t="shared" si="30"/>
        <v>7015</v>
      </c>
      <c r="Q609" s="6" t="s">
        <v>97</v>
      </c>
      <c r="R609" s="6" t="s">
        <v>714</v>
      </c>
    </row>
    <row r="610" spans="1:18" ht="22.5" customHeight="1" x14ac:dyDescent="0.25">
      <c r="A610" s="76">
        <v>46090</v>
      </c>
      <c r="B610" s="4" t="s">
        <v>257</v>
      </c>
      <c r="C610" s="4" t="s">
        <v>79</v>
      </c>
      <c r="D610" s="59">
        <v>130.4</v>
      </c>
      <c r="E610" s="4" t="s">
        <v>22</v>
      </c>
      <c r="F610" s="4" t="s">
        <v>115</v>
      </c>
      <c r="G610" s="18" t="s">
        <v>448</v>
      </c>
      <c r="H610" s="4" t="s">
        <v>115</v>
      </c>
      <c r="K610" s="4" t="s">
        <v>99</v>
      </c>
      <c r="L610" s="4" t="s">
        <v>98</v>
      </c>
      <c r="N610" s="13">
        <v>15</v>
      </c>
      <c r="O610" s="4">
        <f t="shared" si="29"/>
        <v>19.559999999999999</v>
      </c>
      <c r="P610" s="59">
        <f t="shared" si="30"/>
        <v>149.96</v>
      </c>
      <c r="Q610" s="4" t="s">
        <v>97</v>
      </c>
      <c r="R610" s="4" t="s">
        <v>191</v>
      </c>
    </row>
    <row r="611" spans="1:18" ht="22.5" customHeight="1" x14ac:dyDescent="0.25">
      <c r="A611" s="76">
        <v>46090</v>
      </c>
      <c r="B611" s="4" t="s">
        <v>75</v>
      </c>
      <c r="C611" s="4" t="s">
        <v>79</v>
      </c>
      <c r="D611" s="59">
        <v>31</v>
      </c>
      <c r="E611" s="4" t="s">
        <v>22</v>
      </c>
      <c r="F611" s="4" t="s">
        <v>57</v>
      </c>
      <c r="H611" s="4" t="s">
        <v>81</v>
      </c>
      <c r="K611" s="4" t="s">
        <v>99</v>
      </c>
      <c r="L611" s="4" t="s">
        <v>98</v>
      </c>
      <c r="N611" s="13">
        <v>0</v>
      </c>
      <c r="O611" s="4">
        <f t="shared" si="29"/>
        <v>0</v>
      </c>
      <c r="P611" s="59">
        <f t="shared" si="30"/>
        <v>31</v>
      </c>
      <c r="Q611" s="4" t="s">
        <v>97</v>
      </c>
      <c r="R611" s="4" t="s">
        <v>137</v>
      </c>
    </row>
    <row r="612" spans="1:18" ht="22.5" customHeight="1" x14ac:dyDescent="0.25">
      <c r="A612" s="76">
        <v>46090</v>
      </c>
      <c r="B612" s="4" t="s">
        <v>730</v>
      </c>
      <c r="C612" s="4" t="s">
        <v>79</v>
      </c>
      <c r="D612" s="59">
        <v>122</v>
      </c>
      <c r="E612" s="4" t="s">
        <v>22</v>
      </c>
      <c r="F612" s="4" t="s">
        <v>115</v>
      </c>
      <c r="G612" s="18" t="s">
        <v>448</v>
      </c>
      <c r="H612" s="4" t="s">
        <v>115</v>
      </c>
      <c r="K612" s="4" t="s">
        <v>99</v>
      </c>
      <c r="L612" s="4" t="s">
        <v>98</v>
      </c>
      <c r="N612" s="13">
        <v>15</v>
      </c>
      <c r="O612" s="4">
        <f t="shared" si="29"/>
        <v>18.3</v>
      </c>
      <c r="P612" s="59">
        <f t="shared" si="30"/>
        <v>140.30000000000001</v>
      </c>
      <c r="Q612" s="4" t="s">
        <v>97</v>
      </c>
      <c r="R612" s="4" t="s">
        <v>191</v>
      </c>
    </row>
    <row r="613" spans="1:18" ht="22.5" customHeight="1" x14ac:dyDescent="0.25">
      <c r="A613" s="76">
        <v>46090</v>
      </c>
      <c r="B613" s="4" t="s">
        <v>696</v>
      </c>
      <c r="C613" s="4" t="s">
        <v>79</v>
      </c>
      <c r="D613" s="59">
        <v>3478.26</v>
      </c>
      <c r="E613" s="4" t="s">
        <v>22</v>
      </c>
      <c r="F613" s="4" t="s">
        <v>697</v>
      </c>
      <c r="G613" s="18" t="s">
        <v>731</v>
      </c>
      <c r="H613" s="4" t="s">
        <v>698</v>
      </c>
      <c r="K613" s="4" t="s">
        <v>699</v>
      </c>
      <c r="L613" s="4" t="s">
        <v>98</v>
      </c>
      <c r="N613" s="13">
        <v>15</v>
      </c>
      <c r="O613" s="4">
        <f t="shared" si="29"/>
        <v>521.74</v>
      </c>
      <c r="P613" s="59">
        <f t="shared" si="30"/>
        <v>4000</v>
      </c>
      <c r="Q613" s="4" t="s">
        <v>97</v>
      </c>
      <c r="R613" s="4" t="s">
        <v>191</v>
      </c>
    </row>
    <row r="614" spans="1:18" ht="22.5" customHeight="1" x14ac:dyDescent="0.25">
      <c r="A614" s="76">
        <v>46090</v>
      </c>
      <c r="B614" s="4" t="s">
        <v>733</v>
      </c>
      <c r="C614" s="4" t="s">
        <v>79</v>
      </c>
      <c r="D614" s="59">
        <v>1000</v>
      </c>
      <c r="E614" s="4" t="s">
        <v>22</v>
      </c>
      <c r="F614" s="4" t="s">
        <v>253</v>
      </c>
      <c r="H614" s="4" t="s">
        <v>196</v>
      </c>
      <c r="K614" s="4" t="s">
        <v>734</v>
      </c>
      <c r="L614" s="4" t="s">
        <v>98</v>
      </c>
      <c r="N614" s="13">
        <v>0</v>
      </c>
      <c r="O614" s="4">
        <f t="shared" si="29"/>
        <v>0</v>
      </c>
      <c r="P614" s="59">
        <f t="shared" si="30"/>
        <v>1000</v>
      </c>
      <c r="Q614" s="4" t="s">
        <v>97</v>
      </c>
      <c r="R614" s="4" t="s">
        <v>137</v>
      </c>
    </row>
    <row r="615" spans="1:18" ht="22.5" customHeight="1" x14ac:dyDescent="0.25">
      <c r="A615" s="76">
        <v>46090</v>
      </c>
      <c r="B615" s="4" t="s">
        <v>735</v>
      </c>
      <c r="C615" s="4" t="s">
        <v>79</v>
      </c>
      <c r="D615" s="59">
        <v>86.96</v>
      </c>
      <c r="E615" s="4" t="s">
        <v>22</v>
      </c>
      <c r="F615" s="4" t="s">
        <v>166</v>
      </c>
      <c r="G615" s="18" t="s">
        <v>448</v>
      </c>
      <c r="H615" s="4" t="s">
        <v>80</v>
      </c>
      <c r="K615" s="4" t="s">
        <v>637</v>
      </c>
      <c r="L615" s="4" t="s">
        <v>98</v>
      </c>
      <c r="N615" s="13">
        <v>15</v>
      </c>
      <c r="O615" s="4">
        <f t="shared" si="29"/>
        <v>13.04</v>
      </c>
      <c r="P615" s="59">
        <f t="shared" si="30"/>
        <v>100</v>
      </c>
      <c r="Q615" s="4" t="s">
        <v>97</v>
      </c>
      <c r="R615" s="4" t="s">
        <v>191</v>
      </c>
    </row>
    <row r="616" spans="1:18" ht="22.5" customHeight="1" x14ac:dyDescent="0.25">
      <c r="A616" s="76">
        <v>46090</v>
      </c>
      <c r="B616" s="4" t="s">
        <v>736</v>
      </c>
      <c r="C616" s="4" t="s">
        <v>79</v>
      </c>
      <c r="D616" s="59">
        <v>204.3</v>
      </c>
      <c r="E616" s="4" t="s">
        <v>22</v>
      </c>
      <c r="F616" s="4" t="s">
        <v>166</v>
      </c>
      <c r="G616" s="18" t="s">
        <v>448</v>
      </c>
      <c r="H616" s="4" t="s">
        <v>80</v>
      </c>
      <c r="K616" s="4" t="s">
        <v>134</v>
      </c>
      <c r="L616" s="4" t="s">
        <v>98</v>
      </c>
      <c r="N616" s="13">
        <v>15</v>
      </c>
      <c r="O616" s="4">
        <f t="shared" si="29"/>
        <v>30.65</v>
      </c>
      <c r="P616" s="59">
        <f t="shared" si="30"/>
        <v>234.95000000000002</v>
      </c>
      <c r="Q616" s="4" t="s">
        <v>97</v>
      </c>
      <c r="R616" s="4" t="s">
        <v>191</v>
      </c>
    </row>
    <row r="617" spans="1:18" ht="22.5" customHeight="1" x14ac:dyDescent="0.25">
      <c r="A617" s="76">
        <v>46090</v>
      </c>
      <c r="B617" s="4" t="s">
        <v>721</v>
      </c>
      <c r="C617" s="4" t="s">
        <v>79</v>
      </c>
      <c r="D617" s="59">
        <v>69.569999999999993</v>
      </c>
      <c r="E617" s="4" t="s">
        <v>22</v>
      </c>
      <c r="F617" s="4" t="s">
        <v>166</v>
      </c>
      <c r="G617" s="18" t="s">
        <v>448</v>
      </c>
      <c r="H617" s="4" t="s">
        <v>80</v>
      </c>
      <c r="K617" s="4" t="s">
        <v>737</v>
      </c>
      <c r="L617" s="4" t="s">
        <v>98</v>
      </c>
      <c r="N617" s="13">
        <v>15</v>
      </c>
      <c r="O617" s="4">
        <f t="shared" si="29"/>
        <v>10.44</v>
      </c>
      <c r="P617" s="59">
        <f t="shared" si="30"/>
        <v>80.009999999999991</v>
      </c>
      <c r="Q617" s="4" t="s">
        <v>97</v>
      </c>
      <c r="R617" s="4" t="s">
        <v>191</v>
      </c>
    </row>
    <row r="618" spans="1:18" ht="22.5" customHeight="1" x14ac:dyDescent="0.25">
      <c r="A618" s="76">
        <v>46090</v>
      </c>
      <c r="B618" s="4" t="s">
        <v>738</v>
      </c>
      <c r="C618" s="4" t="s">
        <v>79</v>
      </c>
      <c r="D618" s="59">
        <v>150</v>
      </c>
      <c r="E618" s="4" t="s">
        <v>22</v>
      </c>
      <c r="F618" s="4" t="s">
        <v>470</v>
      </c>
      <c r="G618" s="18" t="s">
        <v>448</v>
      </c>
      <c r="H618" s="4" t="s">
        <v>470</v>
      </c>
      <c r="K618" s="4" t="s">
        <v>739</v>
      </c>
      <c r="L618" s="4" t="s">
        <v>98</v>
      </c>
      <c r="N618" s="13">
        <v>0</v>
      </c>
      <c r="O618" s="4">
        <f t="shared" si="29"/>
        <v>0</v>
      </c>
      <c r="P618" s="59">
        <f t="shared" si="30"/>
        <v>150</v>
      </c>
      <c r="Q618" s="4" t="s">
        <v>97</v>
      </c>
      <c r="R618" s="4" t="s">
        <v>191</v>
      </c>
    </row>
    <row r="619" spans="1:18" ht="22.5" customHeight="1" x14ac:dyDescent="0.25">
      <c r="A619" s="76">
        <v>46091</v>
      </c>
      <c r="B619" s="4" t="s">
        <v>75</v>
      </c>
      <c r="C619" s="4" t="s">
        <v>79</v>
      </c>
      <c r="D619" s="59">
        <v>15</v>
      </c>
      <c r="E619" s="4" t="s">
        <v>22</v>
      </c>
      <c r="F619" s="4" t="s">
        <v>57</v>
      </c>
      <c r="G619" s="18" t="s">
        <v>448</v>
      </c>
      <c r="H619" s="4" t="s">
        <v>81</v>
      </c>
      <c r="K619" s="4" t="s">
        <v>99</v>
      </c>
      <c r="L619" s="4" t="s">
        <v>98</v>
      </c>
      <c r="N619" s="13">
        <v>0</v>
      </c>
      <c r="O619" s="4">
        <f t="shared" si="29"/>
        <v>0</v>
      </c>
      <c r="P619" s="59">
        <f t="shared" si="30"/>
        <v>15</v>
      </c>
      <c r="Q619" s="4" t="s">
        <v>97</v>
      </c>
      <c r="R619" s="4" t="s">
        <v>191</v>
      </c>
    </row>
    <row r="620" spans="1:18" ht="22.5" customHeight="1" x14ac:dyDescent="0.25">
      <c r="A620" s="76">
        <v>46091</v>
      </c>
      <c r="B620" s="4" t="s">
        <v>741</v>
      </c>
      <c r="C620" s="4" t="s">
        <v>79</v>
      </c>
      <c r="D620" s="59">
        <v>54</v>
      </c>
      <c r="E620" s="4" t="s">
        <v>22</v>
      </c>
      <c r="F620" s="4" t="s">
        <v>253</v>
      </c>
      <c r="G620" s="18" t="s">
        <v>448</v>
      </c>
      <c r="H620" s="4" t="s">
        <v>626</v>
      </c>
      <c r="K620" s="4" t="s">
        <v>99</v>
      </c>
      <c r="L620" s="4" t="s">
        <v>98</v>
      </c>
      <c r="N620" s="13">
        <v>15</v>
      </c>
      <c r="O620" s="4">
        <f t="shared" si="29"/>
        <v>8.1</v>
      </c>
      <c r="P620" s="59">
        <f t="shared" si="30"/>
        <v>62.1</v>
      </c>
      <c r="Q620" s="4" t="s">
        <v>97</v>
      </c>
      <c r="R620" s="4" t="s">
        <v>191</v>
      </c>
    </row>
    <row r="621" spans="1:18" ht="22.5" customHeight="1" x14ac:dyDescent="0.25">
      <c r="A621" s="76">
        <v>46091</v>
      </c>
      <c r="B621" s="4" t="s">
        <v>742</v>
      </c>
      <c r="C621" s="4" t="s">
        <v>79</v>
      </c>
      <c r="D621" s="59">
        <v>2609</v>
      </c>
      <c r="E621" s="4" t="s">
        <v>22</v>
      </c>
      <c r="F621" s="4" t="s">
        <v>697</v>
      </c>
      <c r="G621" s="18" t="s">
        <v>731</v>
      </c>
      <c r="H621" s="4" t="s">
        <v>698</v>
      </c>
      <c r="K621" s="4" t="s">
        <v>699</v>
      </c>
      <c r="L621" s="4" t="s">
        <v>98</v>
      </c>
      <c r="N621" s="13">
        <v>15</v>
      </c>
      <c r="O621" s="4">
        <f t="shared" si="29"/>
        <v>391.35</v>
      </c>
      <c r="P621" s="59">
        <f t="shared" si="30"/>
        <v>3000.35</v>
      </c>
      <c r="Q621" s="4" t="s">
        <v>97</v>
      </c>
      <c r="R621" s="4" t="s">
        <v>191</v>
      </c>
    </row>
    <row r="622" spans="1:18" ht="22.5" customHeight="1" x14ac:dyDescent="0.25">
      <c r="A622" s="76">
        <v>46091</v>
      </c>
      <c r="B622" s="4" t="s">
        <v>743</v>
      </c>
      <c r="C622" s="4" t="s">
        <v>79</v>
      </c>
      <c r="D622" s="59">
        <v>500</v>
      </c>
      <c r="E622" s="4" t="s">
        <v>22</v>
      </c>
      <c r="F622" s="4" t="s">
        <v>470</v>
      </c>
      <c r="G622" s="18" t="s">
        <v>448</v>
      </c>
      <c r="H622" s="4" t="s">
        <v>470</v>
      </c>
      <c r="K622" s="4" t="s">
        <v>744</v>
      </c>
      <c r="L622" s="4" t="s">
        <v>98</v>
      </c>
      <c r="N622" s="13">
        <v>0</v>
      </c>
      <c r="O622" s="4">
        <f t="shared" si="29"/>
        <v>0</v>
      </c>
      <c r="P622" s="59">
        <f t="shared" si="30"/>
        <v>500</v>
      </c>
      <c r="Q622" s="4" t="s">
        <v>97</v>
      </c>
      <c r="R622" s="4" t="s">
        <v>191</v>
      </c>
    </row>
    <row r="623" spans="1:18" ht="22.5" customHeight="1" x14ac:dyDescent="0.25">
      <c r="A623" s="76">
        <v>46092</v>
      </c>
      <c r="B623" s="4" t="s">
        <v>75</v>
      </c>
      <c r="C623" s="4" t="s">
        <v>79</v>
      </c>
      <c r="D623" s="59">
        <v>93.9</v>
      </c>
      <c r="E623" s="4" t="s">
        <v>22</v>
      </c>
      <c r="F623" s="4" t="s">
        <v>57</v>
      </c>
      <c r="G623" s="18" t="s">
        <v>448</v>
      </c>
      <c r="H623" s="4" t="s">
        <v>81</v>
      </c>
      <c r="K623" s="4" t="s">
        <v>99</v>
      </c>
      <c r="L623" s="4" t="s">
        <v>98</v>
      </c>
      <c r="N623" s="13">
        <v>15</v>
      </c>
      <c r="O623" s="4">
        <f t="shared" si="29"/>
        <v>14.09</v>
      </c>
      <c r="P623" s="59">
        <f t="shared" si="30"/>
        <v>107.99000000000001</v>
      </c>
      <c r="Q623" s="4" t="s">
        <v>97</v>
      </c>
      <c r="R623" s="4" t="s">
        <v>191</v>
      </c>
    </row>
    <row r="624" spans="1:18" ht="22.5" customHeight="1" x14ac:dyDescent="0.25">
      <c r="A624" s="76">
        <v>46092</v>
      </c>
      <c r="B624" s="4" t="s">
        <v>745</v>
      </c>
      <c r="C624" s="4" t="s">
        <v>79</v>
      </c>
      <c r="D624" s="59">
        <v>50</v>
      </c>
      <c r="E624" s="4" t="s">
        <v>22</v>
      </c>
      <c r="F624" s="4" t="s">
        <v>568</v>
      </c>
      <c r="H624" s="4" t="s">
        <v>543</v>
      </c>
      <c r="K624" s="4" t="s">
        <v>99</v>
      </c>
      <c r="L624" s="4" t="s">
        <v>98</v>
      </c>
      <c r="N624" s="13">
        <v>0</v>
      </c>
      <c r="O624" s="4">
        <f t="shared" si="29"/>
        <v>0</v>
      </c>
      <c r="P624" s="59">
        <f t="shared" si="30"/>
        <v>50</v>
      </c>
      <c r="Q624" s="4" t="s">
        <v>97</v>
      </c>
      <c r="R624" s="4" t="s">
        <v>137</v>
      </c>
    </row>
    <row r="625" spans="1:18" ht="22.5" customHeight="1" x14ac:dyDescent="0.25">
      <c r="A625" s="76">
        <v>46092</v>
      </c>
      <c r="B625" s="4" t="s">
        <v>75</v>
      </c>
      <c r="C625" s="4" t="s">
        <v>79</v>
      </c>
      <c r="D625" s="59">
        <v>36</v>
      </c>
      <c r="E625" s="4" t="s">
        <v>22</v>
      </c>
      <c r="F625" s="4" t="s">
        <v>57</v>
      </c>
      <c r="H625" s="4" t="s">
        <v>81</v>
      </c>
      <c r="K625" s="4" t="s">
        <v>99</v>
      </c>
      <c r="L625" s="4" t="s">
        <v>98</v>
      </c>
      <c r="N625" s="13">
        <v>0</v>
      </c>
      <c r="O625" s="4">
        <f t="shared" si="29"/>
        <v>0</v>
      </c>
      <c r="P625" s="59">
        <f t="shared" si="30"/>
        <v>36</v>
      </c>
      <c r="Q625" s="4" t="s">
        <v>97</v>
      </c>
      <c r="R625" s="4" t="s">
        <v>137</v>
      </c>
    </row>
    <row r="626" spans="1:18" ht="22.5" customHeight="1" x14ac:dyDescent="0.25">
      <c r="A626" s="76">
        <v>46092</v>
      </c>
      <c r="B626" s="4" t="s">
        <v>746</v>
      </c>
      <c r="C626" s="4" t="s">
        <v>79</v>
      </c>
      <c r="D626" s="59">
        <v>70</v>
      </c>
      <c r="E626" s="4" t="s">
        <v>22</v>
      </c>
      <c r="F626" s="4" t="s">
        <v>166</v>
      </c>
      <c r="H626" s="4" t="s">
        <v>80</v>
      </c>
      <c r="K626" s="4" t="s">
        <v>99</v>
      </c>
      <c r="L626" s="4" t="s">
        <v>98</v>
      </c>
      <c r="N626" s="13">
        <v>0</v>
      </c>
      <c r="O626" s="4">
        <f t="shared" si="29"/>
        <v>0</v>
      </c>
      <c r="P626" s="59">
        <f t="shared" si="30"/>
        <v>70</v>
      </c>
      <c r="Q626" s="4" t="s">
        <v>97</v>
      </c>
      <c r="R626" s="4" t="s">
        <v>137</v>
      </c>
    </row>
    <row r="627" spans="1:18" ht="22.5" customHeight="1" x14ac:dyDescent="0.25">
      <c r="A627" s="76">
        <v>46092</v>
      </c>
      <c r="B627" s="4" t="s">
        <v>257</v>
      </c>
      <c r="C627" s="4" t="s">
        <v>79</v>
      </c>
      <c r="D627" s="59">
        <v>54.81</v>
      </c>
      <c r="E627" s="4" t="s">
        <v>22</v>
      </c>
      <c r="F627" s="4" t="s">
        <v>115</v>
      </c>
      <c r="G627" s="18" t="s">
        <v>448</v>
      </c>
      <c r="H627" s="4" t="s">
        <v>115</v>
      </c>
      <c r="K627" s="4" t="s">
        <v>99</v>
      </c>
      <c r="L627" s="4" t="s">
        <v>98</v>
      </c>
      <c r="N627" s="13">
        <v>15</v>
      </c>
      <c r="O627" s="4">
        <f t="shared" si="29"/>
        <v>8.2200000000000006</v>
      </c>
      <c r="P627" s="59">
        <f t="shared" si="30"/>
        <v>63.03</v>
      </c>
      <c r="Q627" s="4" t="s">
        <v>97</v>
      </c>
      <c r="R627" s="4" t="s">
        <v>191</v>
      </c>
    </row>
    <row r="628" spans="1:18" ht="22.5" customHeight="1" x14ac:dyDescent="0.25">
      <c r="A628" s="76">
        <v>46092</v>
      </c>
      <c r="B628" s="4" t="s">
        <v>721</v>
      </c>
      <c r="C628" s="4" t="s">
        <v>79</v>
      </c>
      <c r="D628" s="59">
        <v>150</v>
      </c>
      <c r="E628" s="4" t="s">
        <v>22</v>
      </c>
      <c r="F628" s="4" t="s">
        <v>166</v>
      </c>
      <c r="G628" s="18" t="s">
        <v>448</v>
      </c>
      <c r="H628" s="4" t="s">
        <v>80</v>
      </c>
      <c r="K628" s="4" t="s">
        <v>99</v>
      </c>
      <c r="L628" s="4" t="s">
        <v>98</v>
      </c>
      <c r="N628" s="13">
        <v>15</v>
      </c>
      <c r="O628" s="4">
        <f t="shared" si="29"/>
        <v>22.5</v>
      </c>
      <c r="P628" s="59">
        <f t="shared" si="30"/>
        <v>172.5</v>
      </c>
      <c r="Q628" s="4" t="s">
        <v>97</v>
      </c>
      <c r="R628" s="4" t="s">
        <v>191</v>
      </c>
    </row>
    <row r="629" spans="1:18" ht="22.5" customHeight="1" x14ac:dyDescent="0.25">
      <c r="A629" s="76">
        <v>46093</v>
      </c>
      <c r="B629" s="4" t="s">
        <v>75</v>
      </c>
      <c r="C629" s="4" t="s">
        <v>79</v>
      </c>
      <c r="D629" s="59">
        <v>37</v>
      </c>
      <c r="E629" s="4" t="s">
        <v>22</v>
      </c>
      <c r="F629" s="4" t="s">
        <v>57</v>
      </c>
      <c r="G629" s="18" t="s">
        <v>448</v>
      </c>
      <c r="H629" s="4" t="s">
        <v>81</v>
      </c>
      <c r="K629" s="4" t="s">
        <v>99</v>
      </c>
      <c r="L629" s="4" t="s">
        <v>98</v>
      </c>
      <c r="N629" s="13">
        <v>0</v>
      </c>
      <c r="O629" s="4">
        <f t="shared" si="29"/>
        <v>0</v>
      </c>
      <c r="P629" s="59">
        <f t="shared" si="30"/>
        <v>37</v>
      </c>
      <c r="Q629" s="4" t="s">
        <v>97</v>
      </c>
      <c r="R629" s="4" t="s">
        <v>191</v>
      </c>
    </row>
    <row r="630" spans="1:18" ht="22.5" customHeight="1" x14ac:dyDescent="0.25">
      <c r="A630" s="76">
        <v>46093</v>
      </c>
      <c r="B630" s="4" t="s">
        <v>747</v>
      </c>
      <c r="C630" s="4" t="s">
        <v>79</v>
      </c>
      <c r="D630" s="59">
        <v>70</v>
      </c>
      <c r="E630" s="4" t="s">
        <v>22</v>
      </c>
      <c r="F630" s="4" t="s">
        <v>568</v>
      </c>
      <c r="H630" s="4" t="s">
        <v>543</v>
      </c>
      <c r="K630" s="4" t="s">
        <v>99</v>
      </c>
      <c r="L630" s="4" t="s">
        <v>98</v>
      </c>
      <c r="N630" s="13">
        <v>15</v>
      </c>
      <c r="O630" s="4">
        <f t="shared" si="29"/>
        <v>10.5</v>
      </c>
      <c r="P630" s="59">
        <f t="shared" si="30"/>
        <v>80.5</v>
      </c>
      <c r="Q630" s="4" t="s">
        <v>97</v>
      </c>
      <c r="R630" s="4" t="s">
        <v>137</v>
      </c>
    </row>
    <row r="631" spans="1:18" ht="22.5" customHeight="1" x14ac:dyDescent="0.25">
      <c r="A631" s="76">
        <v>46093</v>
      </c>
      <c r="B631" s="4" t="s">
        <v>257</v>
      </c>
      <c r="C631" s="4" t="s">
        <v>79</v>
      </c>
      <c r="D631" s="59">
        <v>86.96</v>
      </c>
      <c r="E631" s="4" t="s">
        <v>22</v>
      </c>
      <c r="F631" s="4" t="s">
        <v>115</v>
      </c>
      <c r="H631" s="4" t="s">
        <v>115</v>
      </c>
      <c r="K631" s="4" t="s">
        <v>99</v>
      </c>
      <c r="L631" s="4" t="s">
        <v>98</v>
      </c>
      <c r="N631" s="13">
        <v>15</v>
      </c>
      <c r="O631" s="4">
        <f t="shared" si="29"/>
        <v>13.04</v>
      </c>
      <c r="P631" s="59">
        <f t="shared" si="30"/>
        <v>100</v>
      </c>
      <c r="Q631" s="4" t="s">
        <v>97</v>
      </c>
      <c r="R631" s="4" t="s">
        <v>137</v>
      </c>
    </row>
    <row r="632" spans="1:18" ht="22.5" customHeight="1" x14ac:dyDescent="0.25">
      <c r="A632" s="76">
        <v>46094</v>
      </c>
      <c r="B632" s="4" t="s">
        <v>742</v>
      </c>
      <c r="C632" s="4" t="s">
        <v>79</v>
      </c>
      <c r="D632" s="59">
        <v>3478.26</v>
      </c>
      <c r="E632" s="4" t="s">
        <v>22</v>
      </c>
      <c r="F632" s="4" t="s">
        <v>697</v>
      </c>
      <c r="G632" s="18" t="s">
        <v>731</v>
      </c>
      <c r="H632" s="4" t="s">
        <v>698</v>
      </c>
      <c r="K632" s="4" t="s">
        <v>699</v>
      </c>
      <c r="L632" s="4" t="s">
        <v>98</v>
      </c>
      <c r="N632" s="13">
        <v>15</v>
      </c>
      <c r="O632" s="4">
        <f t="shared" si="29"/>
        <v>521.74</v>
      </c>
      <c r="P632" s="59">
        <f t="shared" si="30"/>
        <v>4000</v>
      </c>
      <c r="Q632" s="4" t="s">
        <v>97</v>
      </c>
      <c r="R632" s="4" t="s">
        <v>191</v>
      </c>
    </row>
    <row r="633" spans="1:18" ht="22.5" customHeight="1" x14ac:dyDescent="0.25">
      <c r="A633" s="76">
        <v>46094</v>
      </c>
      <c r="B633" s="4" t="s">
        <v>75</v>
      </c>
      <c r="C633" s="4" t="s">
        <v>79</v>
      </c>
      <c r="D633" s="59">
        <v>77.3</v>
      </c>
      <c r="E633" s="4" t="s">
        <v>22</v>
      </c>
      <c r="F633" s="4" t="s">
        <v>57</v>
      </c>
      <c r="G633" s="18" t="s">
        <v>448</v>
      </c>
      <c r="H633" s="4" t="s">
        <v>81</v>
      </c>
      <c r="K633" s="4" t="s">
        <v>99</v>
      </c>
      <c r="L633" s="4" t="s">
        <v>98</v>
      </c>
      <c r="N633" s="13">
        <v>15</v>
      </c>
      <c r="O633" s="4">
        <f t="shared" si="29"/>
        <v>11.6</v>
      </c>
      <c r="P633" s="59">
        <f t="shared" si="30"/>
        <v>88.899999999999991</v>
      </c>
      <c r="Q633" s="4" t="s">
        <v>97</v>
      </c>
      <c r="R633" s="4" t="s">
        <v>191</v>
      </c>
    </row>
    <row r="634" spans="1:18" ht="22.5" customHeight="1" x14ac:dyDescent="0.25">
      <c r="A634" s="76">
        <v>46094</v>
      </c>
      <c r="B634" s="4" t="s">
        <v>747</v>
      </c>
      <c r="C634" s="4" t="s">
        <v>79</v>
      </c>
      <c r="D634" s="59">
        <v>70</v>
      </c>
      <c r="E634" s="4" t="s">
        <v>22</v>
      </c>
      <c r="F634" s="4" t="s">
        <v>568</v>
      </c>
      <c r="H634" s="4" t="s">
        <v>543</v>
      </c>
      <c r="K634" s="4" t="s">
        <v>564</v>
      </c>
      <c r="L634" s="4" t="s">
        <v>154</v>
      </c>
      <c r="N634" s="13">
        <v>15</v>
      </c>
      <c r="O634" s="4">
        <f t="shared" si="29"/>
        <v>10.5</v>
      </c>
      <c r="P634" s="59">
        <f t="shared" si="30"/>
        <v>80.5</v>
      </c>
      <c r="Q634" s="4" t="s">
        <v>97</v>
      </c>
      <c r="R634" s="4" t="s">
        <v>137</v>
      </c>
    </row>
    <row r="635" spans="1:18" s="6" customFormat="1" ht="22.5" customHeight="1" x14ac:dyDescent="0.25">
      <c r="A635" s="83">
        <v>46096</v>
      </c>
      <c r="B635" s="6" t="s">
        <v>749</v>
      </c>
      <c r="C635" s="6" t="s">
        <v>88</v>
      </c>
      <c r="D635" s="60">
        <v>14905</v>
      </c>
      <c r="E635" s="6" t="s">
        <v>22</v>
      </c>
      <c r="F635" s="6" t="s">
        <v>89</v>
      </c>
      <c r="G635" s="6" t="s">
        <v>210</v>
      </c>
      <c r="H635" s="6" t="s">
        <v>196</v>
      </c>
      <c r="K635" s="6" t="s">
        <v>750</v>
      </c>
      <c r="L635" s="6" t="s">
        <v>86</v>
      </c>
      <c r="M635" s="68" t="s">
        <v>748</v>
      </c>
      <c r="N635" s="14">
        <v>0</v>
      </c>
      <c r="O635" s="6">
        <f t="shared" si="29"/>
        <v>0</v>
      </c>
      <c r="P635" s="60">
        <f t="shared" si="30"/>
        <v>14905</v>
      </c>
      <c r="Q635" s="6" t="s">
        <v>97</v>
      </c>
      <c r="R635" s="6" t="s">
        <v>751</v>
      </c>
    </row>
    <row r="636" spans="1:18" ht="22.5" customHeight="1" x14ac:dyDescent="0.25">
      <c r="A636" s="76">
        <v>46096</v>
      </c>
      <c r="B636" s="4" t="s">
        <v>730</v>
      </c>
      <c r="C636" s="4" t="s">
        <v>79</v>
      </c>
      <c r="D636" s="59">
        <v>217.3</v>
      </c>
      <c r="E636" s="4" t="s">
        <v>22</v>
      </c>
      <c r="F636" s="4" t="s">
        <v>115</v>
      </c>
      <c r="H636" s="4" t="s">
        <v>115</v>
      </c>
      <c r="K636" s="4" t="s">
        <v>99</v>
      </c>
      <c r="L636" s="4" t="s">
        <v>98</v>
      </c>
      <c r="N636" s="13">
        <v>15</v>
      </c>
      <c r="O636" s="4">
        <f t="shared" si="29"/>
        <v>32.6</v>
      </c>
      <c r="P636" s="59">
        <f t="shared" si="30"/>
        <v>249.9</v>
      </c>
      <c r="Q636" s="4" t="s">
        <v>97</v>
      </c>
      <c r="R636" s="4" t="s">
        <v>137</v>
      </c>
    </row>
    <row r="637" spans="1:18" ht="22.5" customHeight="1" x14ac:dyDescent="0.25">
      <c r="A637" s="76">
        <v>46096</v>
      </c>
      <c r="B637" s="4" t="s">
        <v>75</v>
      </c>
      <c r="C637" s="4" t="s">
        <v>79</v>
      </c>
      <c r="D637" s="59">
        <v>44.2</v>
      </c>
      <c r="E637" s="4" t="s">
        <v>22</v>
      </c>
      <c r="F637" s="4" t="s">
        <v>57</v>
      </c>
      <c r="H637" s="4" t="s">
        <v>81</v>
      </c>
      <c r="K637" s="4" t="s">
        <v>99</v>
      </c>
      <c r="L637" s="4" t="s">
        <v>98</v>
      </c>
      <c r="N637" s="13">
        <v>15</v>
      </c>
      <c r="O637" s="4">
        <f t="shared" si="29"/>
        <v>6.63</v>
      </c>
      <c r="P637" s="59">
        <f t="shared" si="30"/>
        <v>50.830000000000005</v>
      </c>
      <c r="Q637" s="4" t="s">
        <v>97</v>
      </c>
      <c r="R637" s="4" t="s">
        <v>137</v>
      </c>
    </row>
    <row r="638" spans="1:18" ht="22.5" customHeight="1" x14ac:dyDescent="0.25">
      <c r="A638" s="76">
        <v>46096</v>
      </c>
      <c r="B638" s="4" t="s">
        <v>257</v>
      </c>
      <c r="C638" s="4" t="s">
        <v>79</v>
      </c>
      <c r="D638" s="59">
        <v>43.48</v>
      </c>
      <c r="E638" s="4" t="s">
        <v>22</v>
      </c>
      <c r="F638" s="4" t="s">
        <v>115</v>
      </c>
      <c r="H638" s="4" t="s">
        <v>115</v>
      </c>
      <c r="K638" s="4" t="s">
        <v>99</v>
      </c>
      <c r="L638" s="4" t="s">
        <v>98</v>
      </c>
      <c r="N638" s="13">
        <v>15</v>
      </c>
      <c r="O638" s="4">
        <f t="shared" si="29"/>
        <v>6.52</v>
      </c>
      <c r="P638" s="59">
        <f t="shared" si="30"/>
        <v>50</v>
      </c>
      <c r="Q638" s="4" t="s">
        <v>97</v>
      </c>
      <c r="R638" s="4" t="s">
        <v>137</v>
      </c>
    </row>
    <row r="639" spans="1:18" ht="22.5" customHeight="1" x14ac:dyDescent="0.25">
      <c r="A639" s="76">
        <v>46096</v>
      </c>
      <c r="B639" s="4" t="s">
        <v>75</v>
      </c>
      <c r="C639" s="4" t="s">
        <v>79</v>
      </c>
      <c r="D639" s="59">
        <v>17</v>
      </c>
      <c r="E639" s="4" t="s">
        <v>22</v>
      </c>
      <c r="F639" s="4" t="s">
        <v>57</v>
      </c>
      <c r="H639" s="4" t="s">
        <v>81</v>
      </c>
      <c r="K639" s="4" t="s">
        <v>99</v>
      </c>
      <c r="L639" s="4" t="s">
        <v>98</v>
      </c>
      <c r="N639" s="13">
        <v>0</v>
      </c>
      <c r="O639" s="4">
        <f t="shared" si="29"/>
        <v>0</v>
      </c>
      <c r="P639" s="59">
        <f t="shared" si="30"/>
        <v>17</v>
      </c>
      <c r="Q639" s="4" t="s">
        <v>97</v>
      </c>
      <c r="R639" s="4" t="s">
        <v>137</v>
      </c>
    </row>
    <row r="640" spans="1:18" ht="22.5" customHeight="1" x14ac:dyDescent="0.25">
      <c r="A640" s="76">
        <v>46096</v>
      </c>
      <c r="B640" s="4" t="s">
        <v>752</v>
      </c>
      <c r="C640" s="4" t="s">
        <v>79</v>
      </c>
      <c r="D640" s="59">
        <v>152.35</v>
      </c>
      <c r="E640" s="4" t="s">
        <v>22</v>
      </c>
      <c r="F640" s="4" t="s">
        <v>166</v>
      </c>
      <c r="G640" s="18" t="s">
        <v>456</v>
      </c>
      <c r="H640" s="4" t="s">
        <v>80</v>
      </c>
      <c r="K640" s="4" t="s">
        <v>753</v>
      </c>
      <c r="L640" s="4" t="s">
        <v>98</v>
      </c>
      <c r="N640" s="13">
        <v>15</v>
      </c>
      <c r="O640" s="4">
        <f t="shared" si="29"/>
        <v>22.85</v>
      </c>
      <c r="P640" s="59">
        <f t="shared" si="30"/>
        <v>175.2</v>
      </c>
      <c r="Q640" s="4" t="s">
        <v>97</v>
      </c>
      <c r="R640" s="4" t="s">
        <v>191</v>
      </c>
    </row>
    <row r="641" spans="1:18" ht="22.5" customHeight="1" x14ac:dyDescent="0.25">
      <c r="A641" s="76">
        <v>46096</v>
      </c>
      <c r="B641" s="4" t="s">
        <v>754</v>
      </c>
      <c r="C641" s="4" t="s">
        <v>79</v>
      </c>
      <c r="D641" s="59">
        <v>2000</v>
      </c>
      <c r="E641" s="4" t="s">
        <v>22</v>
      </c>
      <c r="F641" s="4" t="s">
        <v>252</v>
      </c>
      <c r="G641" s="18" t="s">
        <v>210</v>
      </c>
      <c r="H641" s="4" t="s">
        <v>252</v>
      </c>
      <c r="K641" s="4" t="s">
        <v>708</v>
      </c>
      <c r="L641" s="4" t="s">
        <v>98</v>
      </c>
      <c r="N641" s="13">
        <v>0</v>
      </c>
      <c r="O641" s="4">
        <f t="shared" si="29"/>
        <v>0</v>
      </c>
      <c r="P641" s="59">
        <f t="shared" si="30"/>
        <v>2000</v>
      </c>
      <c r="Q641" s="4" t="s">
        <v>97</v>
      </c>
      <c r="R641" s="4" t="s">
        <v>191</v>
      </c>
    </row>
    <row r="642" spans="1:18" ht="22.5" customHeight="1" x14ac:dyDescent="0.25">
      <c r="A642" s="76">
        <v>46096</v>
      </c>
      <c r="B642" s="4" t="s">
        <v>251</v>
      </c>
      <c r="C642" s="4" t="s">
        <v>79</v>
      </c>
      <c r="D642" s="59">
        <v>2000</v>
      </c>
      <c r="E642" s="4" t="s">
        <v>22</v>
      </c>
      <c r="F642" s="4" t="s">
        <v>251</v>
      </c>
      <c r="G642" s="18" t="s">
        <v>210</v>
      </c>
      <c r="H642" s="4" t="s">
        <v>251</v>
      </c>
      <c r="K642" s="4" t="s">
        <v>755</v>
      </c>
      <c r="L642" s="4" t="s">
        <v>98</v>
      </c>
      <c r="N642" s="13">
        <v>0</v>
      </c>
      <c r="O642" s="4">
        <f t="shared" si="29"/>
        <v>0</v>
      </c>
      <c r="P642" s="59">
        <f t="shared" si="30"/>
        <v>2000</v>
      </c>
      <c r="Q642" s="4" t="s">
        <v>97</v>
      </c>
      <c r="R642" s="4" t="s">
        <v>191</v>
      </c>
    </row>
    <row r="643" spans="1:18" ht="22.5" customHeight="1" x14ac:dyDescent="0.25">
      <c r="A643" s="76">
        <v>46097</v>
      </c>
      <c r="B643" s="4" t="s">
        <v>257</v>
      </c>
      <c r="C643" s="4" t="s">
        <v>79</v>
      </c>
      <c r="D643" s="59">
        <v>86.96</v>
      </c>
      <c r="E643" s="4" t="s">
        <v>22</v>
      </c>
      <c r="F643" s="4" t="s">
        <v>115</v>
      </c>
      <c r="H643" s="4" t="s">
        <v>115</v>
      </c>
      <c r="K643" s="4" t="s">
        <v>99</v>
      </c>
      <c r="L643" s="4" t="s">
        <v>98</v>
      </c>
      <c r="N643" s="13">
        <v>15</v>
      </c>
      <c r="O643" s="4">
        <f t="shared" si="29"/>
        <v>13.04</v>
      </c>
      <c r="P643" s="59">
        <f t="shared" si="30"/>
        <v>100</v>
      </c>
      <c r="Q643" s="4" t="s">
        <v>97</v>
      </c>
      <c r="R643" s="4" t="s">
        <v>137</v>
      </c>
    </row>
    <row r="644" spans="1:18" ht="22.5" customHeight="1" x14ac:dyDescent="0.25">
      <c r="A644" s="76">
        <v>46097</v>
      </c>
      <c r="B644" s="4" t="s">
        <v>721</v>
      </c>
      <c r="C644" s="4" t="s">
        <v>79</v>
      </c>
      <c r="D644" s="59">
        <v>193</v>
      </c>
      <c r="E644" s="4" t="s">
        <v>22</v>
      </c>
      <c r="F644" s="4" t="s">
        <v>568</v>
      </c>
      <c r="H644" s="4" t="s">
        <v>543</v>
      </c>
      <c r="K644" s="4" t="s">
        <v>690</v>
      </c>
      <c r="L644" s="4" t="s">
        <v>98</v>
      </c>
      <c r="N644" s="13">
        <v>15</v>
      </c>
      <c r="O644" s="4">
        <f t="shared" si="29"/>
        <v>28.95</v>
      </c>
      <c r="P644" s="59">
        <f t="shared" si="30"/>
        <v>221.95</v>
      </c>
      <c r="Q644" s="4" t="s">
        <v>97</v>
      </c>
      <c r="R644" s="4" t="s">
        <v>137</v>
      </c>
    </row>
    <row r="645" spans="1:18" ht="22.5" customHeight="1" x14ac:dyDescent="0.25">
      <c r="A645" s="76">
        <v>46097</v>
      </c>
      <c r="B645" s="4" t="s">
        <v>75</v>
      </c>
      <c r="C645" s="4" t="s">
        <v>79</v>
      </c>
      <c r="D645" s="59">
        <v>13.9</v>
      </c>
      <c r="E645" s="4" t="s">
        <v>22</v>
      </c>
      <c r="F645" s="4" t="s">
        <v>57</v>
      </c>
      <c r="H645" s="4" t="s">
        <v>81</v>
      </c>
      <c r="K645" s="4" t="s">
        <v>99</v>
      </c>
      <c r="L645" s="4" t="s">
        <v>98</v>
      </c>
      <c r="N645" s="13">
        <v>0</v>
      </c>
      <c r="O645" s="4">
        <f t="shared" si="29"/>
        <v>0</v>
      </c>
      <c r="P645" s="59">
        <f t="shared" si="30"/>
        <v>13.9</v>
      </c>
      <c r="Q645" s="4" t="s">
        <v>97</v>
      </c>
      <c r="R645" s="4" t="s">
        <v>137</v>
      </c>
    </row>
    <row r="646" spans="1:18" ht="22.5" customHeight="1" x14ac:dyDescent="0.25">
      <c r="A646" s="76">
        <v>46097</v>
      </c>
      <c r="B646" s="4" t="s">
        <v>756</v>
      </c>
      <c r="C646" s="4" t="s">
        <v>79</v>
      </c>
      <c r="D646" s="59">
        <v>350</v>
      </c>
      <c r="E646" s="4" t="s">
        <v>22</v>
      </c>
      <c r="F646" s="4" t="s">
        <v>59</v>
      </c>
      <c r="G646" s="18" t="s">
        <v>771</v>
      </c>
      <c r="H646" s="4" t="s">
        <v>59</v>
      </c>
      <c r="K646" s="4" t="s">
        <v>757</v>
      </c>
      <c r="L646" s="4" t="s">
        <v>98</v>
      </c>
      <c r="N646" s="13">
        <v>0</v>
      </c>
      <c r="O646" s="4">
        <f t="shared" si="29"/>
        <v>0</v>
      </c>
      <c r="P646" s="59">
        <f t="shared" si="30"/>
        <v>350</v>
      </c>
      <c r="Q646" s="4" t="s">
        <v>97</v>
      </c>
      <c r="R646" s="4" t="s">
        <v>191</v>
      </c>
    </row>
    <row r="647" spans="1:18" ht="22.5" customHeight="1" x14ac:dyDescent="0.25">
      <c r="A647" s="76">
        <v>46097</v>
      </c>
      <c r="B647" s="4" t="s">
        <v>758</v>
      </c>
      <c r="C647" s="4" t="s">
        <v>79</v>
      </c>
      <c r="D647" s="59">
        <v>3200</v>
      </c>
      <c r="E647" s="4" t="s">
        <v>22</v>
      </c>
      <c r="F647" s="4" t="s">
        <v>29</v>
      </c>
      <c r="H647" s="4" t="s">
        <v>196</v>
      </c>
      <c r="K647" s="4" t="s">
        <v>153</v>
      </c>
      <c r="L647" s="4" t="s">
        <v>154</v>
      </c>
      <c r="N647" s="13">
        <v>0</v>
      </c>
      <c r="O647" s="4">
        <f t="shared" si="29"/>
        <v>0</v>
      </c>
      <c r="P647" s="59">
        <f t="shared" si="30"/>
        <v>3200</v>
      </c>
      <c r="Q647" s="4" t="s">
        <v>97</v>
      </c>
      <c r="R647" s="4" t="s">
        <v>137</v>
      </c>
    </row>
    <row r="648" spans="1:18" ht="22.5" customHeight="1" x14ac:dyDescent="0.25">
      <c r="A648" s="76">
        <v>46098</v>
      </c>
      <c r="B648" s="4" t="s">
        <v>759</v>
      </c>
      <c r="C648" s="4" t="s">
        <v>79</v>
      </c>
      <c r="D648" s="59">
        <v>500</v>
      </c>
      <c r="E648" s="4" t="s">
        <v>22</v>
      </c>
      <c r="F648" s="4" t="s">
        <v>249</v>
      </c>
      <c r="G648" s="18" t="s">
        <v>448</v>
      </c>
      <c r="H648" s="4" t="s">
        <v>622</v>
      </c>
      <c r="K648" s="4" t="s">
        <v>744</v>
      </c>
      <c r="L648" s="4" t="s">
        <v>98</v>
      </c>
      <c r="N648" s="13">
        <v>0</v>
      </c>
      <c r="O648" s="4">
        <f t="shared" si="29"/>
        <v>0</v>
      </c>
      <c r="P648" s="59">
        <f t="shared" si="30"/>
        <v>500</v>
      </c>
      <c r="Q648" s="4" t="s">
        <v>97</v>
      </c>
      <c r="R648" s="4" t="s">
        <v>191</v>
      </c>
    </row>
    <row r="649" spans="1:18" ht="22.5" customHeight="1" x14ac:dyDescent="0.25">
      <c r="A649" s="76">
        <v>46099</v>
      </c>
      <c r="B649" s="4" t="s">
        <v>75</v>
      </c>
      <c r="C649" s="4" t="s">
        <v>79</v>
      </c>
      <c r="D649" s="59">
        <v>100</v>
      </c>
      <c r="E649" s="4" t="s">
        <v>22</v>
      </c>
      <c r="F649" s="4" t="s">
        <v>57</v>
      </c>
      <c r="H649" s="4" t="s">
        <v>81</v>
      </c>
      <c r="K649" s="4" t="s">
        <v>99</v>
      </c>
      <c r="L649" s="4" t="s">
        <v>98</v>
      </c>
      <c r="N649" s="13">
        <v>0</v>
      </c>
      <c r="O649" s="4">
        <f t="shared" si="29"/>
        <v>0</v>
      </c>
      <c r="P649" s="59">
        <f t="shared" si="30"/>
        <v>100</v>
      </c>
      <c r="Q649" s="4" t="s">
        <v>97</v>
      </c>
      <c r="R649" s="4" t="s">
        <v>137</v>
      </c>
    </row>
    <row r="650" spans="1:18" ht="22.5" customHeight="1" x14ac:dyDescent="0.25">
      <c r="A650" s="76">
        <v>46099</v>
      </c>
      <c r="B650" s="4" t="s">
        <v>760</v>
      </c>
      <c r="C650" s="4" t="s">
        <v>79</v>
      </c>
      <c r="D650" s="59">
        <v>2000</v>
      </c>
      <c r="E650" s="4" t="s">
        <v>22</v>
      </c>
      <c r="F650" s="4" t="s">
        <v>252</v>
      </c>
      <c r="H650" s="4" t="s">
        <v>252</v>
      </c>
      <c r="K650" s="4" t="s">
        <v>441</v>
      </c>
      <c r="L650" s="4" t="s">
        <v>98</v>
      </c>
      <c r="N650" s="13">
        <v>0</v>
      </c>
      <c r="O650" s="4">
        <f t="shared" si="29"/>
        <v>0</v>
      </c>
      <c r="P650" s="59">
        <f t="shared" si="30"/>
        <v>2000</v>
      </c>
      <c r="Q650" s="4" t="s">
        <v>97</v>
      </c>
      <c r="R650" s="75" t="s">
        <v>761</v>
      </c>
    </row>
    <row r="651" spans="1:18" ht="22.5" customHeight="1" x14ac:dyDescent="0.25">
      <c r="A651" s="76">
        <v>46099</v>
      </c>
      <c r="B651" s="4" t="s">
        <v>762</v>
      </c>
      <c r="C651" s="4" t="s">
        <v>79</v>
      </c>
      <c r="D651" s="59">
        <v>200</v>
      </c>
      <c r="E651" s="4" t="s">
        <v>22</v>
      </c>
      <c r="F651" s="4" t="s">
        <v>253</v>
      </c>
      <c r="H651" s="4" t="s">
        <v>626</v>
      </c>
      <c r="K651" s="4" t="s">
        <v>169</v>
      </c>
      <c r="L651" s="4" t="s">
        <v>154</v>
      </c>
      <c r="N651" s="13">
        <v>0</v>
      </c>
      <c r="O651" s="4">
        <f t="shared" si="29"/>
        <v>0</v>
      </c>
      <c r="P651" s="59">
        <f t="shared" si="30"/>
        <v>200</v>
      </c>
      <c r="Q651" s="4" t="s">
        <v>97</v>
      </c>
      <c r="R651" s="4" t="s">
        <v>137</v>
      </c>
    </row>
    <row r="652" spans="1:18" s="6" customFormat="1" ht="22.5" customHeight="1" x14ac:dyDescent="0.25">
      <c r="A652" s="83">
        <v>46099</v>
      </c>
      <c r="B652" s="6" t="s">
        <v>763</v>
      </c>
      <c r="C652" s="6" t="s">
        <v>88</v>
      </c>
      <c r="D652" s="60">
        <v>8400</v>
      </c>
      <c r="E652" s="6" t="s">
        <v>22</v>
      </c>
      <c r="F652" s="6" t="s">
        <v>89</v>
      </c>
      <c r="G652" s="6" t="s">
        <v>536</v>
      </c>
      <c r="H652" s="6" t="s">
        <v>196</v>
      </c>
      <c r="K652" s="6" t="s">
        <v>364</v>
      </c>
      <c r="L652" s="6" t="s">
        <v>86</v>
      </c>
      <c r="M652" s="68" t="s">
        <v>764</v>
      </c>
      <c r="N652" s="14">
        <v>15</v>
      </c>
      <c r="O652" s="6">
        <f t="shared" si="29"/>
        <v>1260</v>
      </c>
      <c r="P652" s="60">
        <f t="shared" si="30"/>
        <v>9660</v>
      </c>
      <c r="Q652" s="6" t="s">
        <v>97</v>
      </c>
      <c r="R652" s="6" t="s">
        <v>765</v>
      </c>
    </row>
    <row r="653" spans="1:18" s="6" customFormat="1" ht="22.5" customHeight="1" x14ac:dyDescent="0.25">
      <c r="A653" s="83">
        <v>46099</v>
      </c>
      <c r="B653" s="6" t="s">
        <v>763</v>
      </c>
      <c r="C653" s="6" t="s">
        <v>88</v>
      </c>
      <c r="D653" s="60">
        <v>6770</v>
      </c>
      <c r="E653" s="6" t="s">
        <v>22</v>
      </c>
      <c r="F653" s="6" t="s">
        <v>89</v>
      </c>
      <c r="G653" s="6" t="s">
        <v>521</v>
      </c>
      <c r="H653" s="6" t="s">
        <v>196</v>
      </c>
      <c r="K653" s="6" t="s">
        <v>678</v>
      </c>
      <c r="L653" s="6" t="s">
        <v>86</v>
      </c>
      <c r="M653" s="31" t="s">
        <v>680</v>
      </c>
      <c r="N653" s="14">
        <v>15</v>
      </c>
      <c r="O653" s="6">
        <f t="shared" si="29"/>
        <v>1015.5</v>
      </c>
      <c r="P653" s="60">
        <f t="shared" si="30"/>
        <v>7785.5</v>
      </c>
      <c r="Q653" s="6" t="s">
        <v>97</v>
      </c>
      <c r="R653" s="6" t="s">
        <v>765</v>
      </c>
    </row>
    <row r="654" spans="1:18" s="6" customFormat="1" ht="22.5" customHeight="1" x14ac:dyDescent="0.25">
      <c r="A654" s="83">
        <v>46099</v>
      </c>
      <c r="B654" s="6" t="s">
        <v>713</v>
      </c>
      <c r="C654" s="6" t="s">
        <v>88</v>
      </c>
      <c r="D654" s="60">
        <v>8024</v>
      </c>
      <c r="E654" s="6" t="s">
        <v>22</v>
      </c>
      <c r="F654" s="6" t="s">
        <v>89</v>
      </c>
      <c r="G654" s="6" t="s">
        <v>731</v>
      </c>
      <c r="K654" s="6" t="s">
        <v>729</v>
      </c>
      <c r="L654" s="6" t="s">
        <v>86</v>
      </c>
      <c r="M654" s="31" t="s">
        <v>767</v>
      </c>
      <c r="N654" s="14">
        <v>15</v>
      </c>
      <c r="O654" s="6">
        <f t="shared" si="29"/>
        <v>1203.5999999999999</v>
      </c>
      <c r="P654" s="60">
        <f t="shared" si="30"/>
        <v>9227.6</v>
      </c>
      <c r="Q654" s="6" t="s">
        <v>97</v>
      </c>
      <c r="R654" s="6" t="s">
        <v>765</v>
      </c>
    </row>
    <row r="655" spans="1:18" s="6" customFormat="1" ht="22.5" customHeight="1" x14ac:dyDescent="0.25">
      <c r="A655" s="83">
        <v>46099</v>
      </c>
      <c r="B655" s="6" t="s">
        <v>770</v>
      </c>
      <c r="C655" s="6" t="s">
        <v>88</v>
      </c>
      <c r="D655" s="60">
        <v>4400</v>
      </c>
      <c r="E655" s="6" t="s">
        <v>22</v>
      </c>
      <c r="F655" s="6" t="s">
        <v>89</v>
      </c>
      <c r="G655" s="6" t="s">
        <v>771</v>
      </c>
      <c r="H655" s="6" t="s">
        <v>196</v>
      </c>
      <c r="K655" s="6" t="s">
        <v>364</v>
      </c>
      <c r="L655" s="6" t="s">
        <v>86</v>
      </c>
      <c r="M655" s="31" t="s">
        <v>772</v>
      </c>
      <c r="N655" s="14">
        <v>15</v>
      </c>
      <c r="O655" s="6">
        <f t="shared" si="29"/>
        <v>660</v>
      </c>
      <c r="P655" s="60">
        <f t="shared" si="30"/>
        <v>5060</v>
      </c>
      <c r="Q655" s="6" t="s">
        <v>97</v>
      </c>
      <c r="R655" s="6" t="s">
        <v>679</v>
      </c>
    </row>
    <row r="656" spans="1:18" s="21" customFormat="1" ht="22.5" customHeight="1" x14ac:dyDescent="0.25">
      <c r="A656" s="76">
        <v>46100</v>
      </c>
      <c r="B656" s="21" t="s">
        <v>742</v>
      </c>
      <c r="C656" s="21" t="s">
        <v>79</v>
      </c>
      <c r="D656" s="63">
        <v>3478.26</v>
      </c>
      <c r="E656" s="21" t="s">
        <v>22</v>
      </c>
      <c r="F656" s="21" t="s">
        <v>249</v>
      </c>
      <c r="G656" s="45" t="s">
        <v>731</v>
      </c>
      <c r="H656" s="21" t="s">
        <v>622</v>
      </c>
      <c r="K656" s="21" t="s">
        <v>699</v>
      </c>
      <c r="L656" s="21" t="s">
        <v>98</v>
      </c>
      <c r="N656" s="22">
        <v>15</v>
      </c>
      <c r="O656" s="21">
        <f t="shared" si="29"/>
        <v>521.74</v>
      </c>
      <c r="P656" s="63">
        <f t="shared" si="30"/>
        <v>4000</v>
      </c>
      <c r="Q656" s="21" t="s">
        <v>97</v>
      </c>
      <c r="R656" s="21" t="s">
        <v>191</v>
      </c>
    </row>
    <row r="657" spans="1:18" ht="22.5" customHeight="1" x14ac:dyDescent="0.25">
      <c r="A657" s="76">
        <v>46100</v>
      </c>
      <c r="B657" s="4" t="s">
        <v>773</v>
      </c>
      <c r="C657" s="4" t="s">
        <v>79</v>
      </c>
      <c r="D657" s="59">
        <v>2000</v>
      </c>
      <c r="E657" s="4" t="s">
        <v>22</v>
      </c>
      <c r="F657" s="4" t="s">
        <v>249</v>
      </c>
      <c r="G657" s="18" t="s">
        <v>448</v>
      </c>
      <c r="H657" s="4" t="s">
        <v>776</v>
      </c>
      <c r="K657" s="4" t="s">
        <v>449</v>
      </c>
      <c r="L657" s="4" t="s">
        <v>98</v>
      </c>
      <c r="N657" s="13">
        <v>0</v>
      </c>
      <c r="O657" s="4">
        <f t="shared" si="29"/>
        <v>0</v>
      </c>
      <c r="P657" s="59">
        <f t="shared" si="30"/>
        <v>2000</v>
      </c>
      <c r="Q657" s="4" t="s">
        <v>97</v>
      </c>
      <c r="R657" s="4" t="s">
        <v>191</v>
      </c>
    </row>
    <row r="658" spans="1:18" ht="22.5" customHeight="1" x14ac:dyDescent="0.25">
      <c r="A658" s="76">
        <v>46100</v>
      </c>
      <c r="B658" s="4" t="s">
        <v>774</v>
      </c>
      <c r="C658" s="4" t="s">
        <v>79</v>
      </c>
      <c r="D658" s="59">
        <v>1700</v>
      </c>
      <c r="E658" s="4" t="s">
        <v>22</v>
      </c>
      <c r="F658" s="4" t="s">
        <v>203</v>
      </c>
      <c r="H658" s="4" t="s">
        <v>626</v>
      </c>
      <c r="K658" s="4" t="s">
        <v>775</v>
      </c>
      <c r="L658" s="4" t="s">
        <v>98</v>
      </c>
      <c r="N658" s="13">
        <v>0</v>
      </c>
      <c r="O658" s="4">
        <f t="shared" si="29"/>
        <v>0</v>
      </c>
      <c r="P658" s="59">
        <f t="shared" si="30"/>
        <v>1700</v>
      </c>
      <c r="Q658" s="4" t="s">
        <v>97</v>
      </c>
      <c r="R658" s="4" t="s">
        <v>137</v>
      </c>
    </row>
    <row r="659" spans="1:18" ht="22.5" customHeight="1" x14ac:dyDescent="0.25">
      <c r="A659" s="76">
        <v>46100</v>
      </c>
      <c r="B659" s="4" t="s">
        <v>704</v>
      </c>
      <c r="C659" s="4" t="s">
        <v>79</v>
      </c>
      <c r="D659" s="59">
        <v>1500</v>
      </c>
      <c r="E659" s="4" t="s">
        <v>22</v>
      </c>
      <c r="F659" s="4" t="s">
        <v>249</v>
      </c>
      <c r="G659" s="18" t="s">
        <v>521</v>
      </c>
      <c r="H659" s="4" t="s">
        <v>622</v>
      </c>
      <c r="K659" s="4" t="s">
        <v>705</v>
      </c>
      <c r="L659" s="4" t="s">
        <v>98</v>
      </c>
      <c r="N659" s="13">
        <v>0</v>
      </c>
      <c r="O659" s="4">
        <f t="shared" si="29"/>
        <v>0</v>
      </c>
      <c r="P659" s="59">
        <f t="shared" si="30"/>
        <v>1500</v>
      </c>
      <c r="Q659" s="4" t="s">
        <v>97</v>
      </c>
      <c r="R659" s="4" t="s">
        <v>137</v>
      </c>
    </row>
    <row r="660" spans="1:18" ht="22.5" customHeight="1" x14ac:dyDescent="0.25">
      <c r="A660" s="76">
        <v>46100</v>
      </c>
      <c r="B660" s="4" t="s">
        <v>774</v>
      </c>
      <c r="C660" s="4" t="s">
        <v>79</v>
      </c>
      <c r="D660" s="59">
        <v>1100</v>
      </c>
      <c r="E660" s="4" t="s">
        <v>22</v>
      </c>
      <c r="F660" s="4" t="s">
        <v>203</v>
      </c>
      <c r="H660" s="4" t="s">
        <v>776</v>
      </c>
      <c r="K660" s="4" t="s">
        <v>777</v>
      </c>
      <c r="L660" s="4" t="s">
        <v>98</v>
      </c>
      <c r="N660" s="13">
        <v>0</v>
      </c>
      <c r="O660" s="4">
        <f t="shared" si="29"/>
        <v>0</v>
      </c>
      <c r="P660" s="59">
        <f t="shared" si="30"/>
        <v>1100</v>
      </c>
      <c r="Q660" s="4" t="s">
        <v>97</v>
      </c>
      <c r="R660" s="4" t="s">
        <v>137</v>
      </c>
    </row>
    <row r="661" spans="1:18" ht="22.5" customHeight="1" x14ac:dyDescent="0.25">
      <c r="A661" s="76">
        <v>46100</v>
      </c>
      <c r="B661" s="4" t="s">
        <v>778</v>
      </c>
      <c r="C661" s="4" t="s">
        <v>79</v>
      </c>
      <c r="D661" s="59">
        <v>2000</v>
      </c>
      <c r="E661" s="4" t="s">
        <v>22</v>
      </c>
      <c r="F661" s="4" t="s">
        <v>253</v>
      </c>
      <c r="H661" s="4" t="s">
        <v>626</v>
      </c>
      <c r="K661" s="4" t="s">
        <v>169</v>
      </c>
      <c r="L661" s="4" t="s">
        <v>154</v>
      </c>
      <c r="N661" s="13">
        <v>0</v>
      </c>
      <c r="O661" s="4">
        <f t="shared" si="29"/>
        <v>0</v>
      </c>
      <c r="P661" s="59">
        <f t="shared" si="30"/>
        <v>2000</v>
      </c>
      <c r="Q661" s="4" t="s">
        <v>97</v>
      </c>
      <c r="R661" s="4" t="s">
        <v>137</v>
      </c>
    </row>
    <row r="662" spans="1:18" ht="22.5" customHeight="1" x14ac:dyDescent="0.25">
      <c r="A662" s="76">
        <v>46100</v>
      </c>
      <c r="B662" s="4" t="s">
        <v>442</v>
      </c>
      <c r="C662" s="4" t="s">
        <v>79</v>
      </c>
      <c r="D662" s="59">
        <v>1000</v>
      </c>
      <c r="E662" s="4" t="s">
        <v>22</v>
      </c>
      <c r="F662" s="4" t="s">
        <v>57</v>
      </c>
      <c r="H662" s="4" t="s">
        <v>81</v>
      </c>
      <c r="K662" s="4" t="s">
        <v>779</v>
      </c>
      <c r="L662" s="4" t="s">
        <v>98</v>
      </c>
      <c r="N662" s="13">
        <v>0</v>
      </c>
      <c r="O662" s="4">
        <f t="shared" si="29"/>
        <v>0</v>
      </c>
      <c r="P662" s="59">
        <f t="shared" si="30"/>
        <v>1000</v>
      </c>
      <c r="Q662" s="4" t="s">
        <v>97</v>
      </c>
      <c r="R662" s="4" t="s">
        <v>137</v>
      </c>
    </row>
    <row r="663" spans="1:18" ht="22.5" customHeight="1" x14ac:dyDescent="0.25">
      <c r="A663" s="76">
        <v>46100</v>
      </c>
      <c r="B663" s="4" t="s">
        <v>780</v>
      </c>
      <c r="C663" s="4" t="s">
        <v>79</v>
      </c>
      <c r="D663" s="59">
        <v>500</v>
      </c>
      <c r="E663" s="4" t="s">
        <v>22</v>
      </c>
      <c r="F663" s="4" t="s">
        <v>253</v>
      </c>
      <c r="H663" s="4" t="s">
        <v>626</v>
      </c>
      <c r="K663" s="4" t="s">
        <v>564</v>
      </c>
      <c r="L663" s="4" t="s">
        <v>154</v>
      </c>
      <c r="N663" s="13">
        <v>0</v>
      </c>
      <c r="O663" s="4">
        <f t="shared" si="29"/>
        <v>0</v>
      </c>
      <c r="P663" s="59">
        <f t="shared" si="30"/>
        <v>500</v>
      </c>
      <c r="Q663" s="4" t="s">
        <v>97</v>
      </c>
      <c r="R663" s="4" t="s">
        <v>137</v>
      </c>
    </row>
    <row r="664" spans="1:18" ht="22.5" customHeight="1" x14ac:dyDescent="0.25">
      <c r="A664" s="76">
        <v>46100</v>
      </c>
      <c r="B664" s="4" t="s">
        <v>781</v>
      </c>
      <c r="C664" s="4" t="s">
        <v>79</v>
      </c>
      <c r="D664" s="59">
        <v>1500</v>
      </c>
      <c r="E664" s="4" t="s">
        <v>22</v>
      </c>
      <c r="F664" s="4" t="s">
        <v>253</v>
      </c>
      <c r="H664" s="4" t="s">
        <v>626</v>
      </c>
      <c r="K664" s="4" t="s">
        <v>307</v>
      </c>
      <c r="L664" s="4" t="s">
        <v>154</v>
      </c>
      <c r="N664" s="13">
        <v>0</v>
      </c>
      <c r="O664" s="4">
        <f t="shared" si="29"/>
        <v>0</v>
      </c>
      <c r="P664" s="59">
        <f t="shared" si="30"/>
        <v>1500</v>
      </c>
      <c r="Q664" s="4" t="s">
        <v>97</v>
      </c>
      <c r="R664" s="4" t="s">
        <v>137</v>
      </c>
    </row>
    <row r="665" spans="1:18" ht="22.5" customHeight="1" x14ac:dyDescent="0.25">
      <c r="A665" s="76">
        <v>46100</v>
      </c>
      <c r="B665" s="4" t="s">
        <v>780</v>
      </c>
      <c r="C665" s="4" t="s">
        <v>79</v>
      </c>
      <c r="D665" s="59">
        <v>200</v>
      </c>
      <c r="E665" s="4" t="s">
        <v>22</v>
      </c>
      <c r="F665" s="4" t="s">
        <v>253</v>
      </c>
      <c r="H665" s="4" t="s">
        <v>626</v>
      </c>
      <c r="K665" s="4" t="s">
        <v>649</v>
      </c>
      <c r="L665" s="4" t="s">
        <v>154</v>
      </c>
      <c r="N665" s="13">
        <v>0</v>
      </c>
      <c r="O665" s="4">
        <f t="shared" si="29"/>
        <v>0</v>
      </c>
      <c r="P665" s="59">
        <f t="shared" si="30"/>
        <v>200</v>
      </c>
      <c r="Q665" s="4" t="s">
        <v>97</v>
      </c>
      <c r="R665" s="4" t="s">
        <v>137</v>
      </c>
    </row>
    <row r="666" spans="1:18" ht="22.5" customHeight="1" x14ac:dyDescent="0.25">
      <c r="A666" s="76">
        <v>46100</v>
      </c>
      <c r="B666" s="4" t="s">
        <v>774</v>
      </c>
      <c r="C666" s="4" t="s">
        <v>79</v>
      </c>
      <c r="D666" s="59">
        <v>165</v>
      </c>
      <c r="E666" s="4" t="s">
        <v>22</v>
      </c>
      <c r="F666" s="4" t="s">
        <v>470</v>
      </c>
      <c r="H666" s="4" t="s">
        <v>470</v>
      </c>
      <c r="K666" s="4" t="s">
        <v>782</v>
      </c>
      <c r="L666" s="4" t="s">
        <v>98</v>
      </c>
      <c r="N666" s="13">
        <v>0</v>
      </c>
      <c r="O666" s="4">
        <f t="shared" si="29"/>
        <v>0</v>
      </c>
      <c r="P666" s="59">
        <f t="shared" si="30"/>
        <v>165</v>
      </c>
      <c r="Q666" s="4" t="s">
        <v>97</v>
      </c>
      <c r="R666" s="4" t="s">
        <v>137</v>
      </c>
    </row>
    <row r="667" spans="1:18" ht="22.5" customHeight="1" x14ac:dyDescent="0.25">
      <c r="A667" s="76">
        <v>46100</v>
      </c>
      <c r="B667" s="4" t="s">
        <v>783</v>
      </c>
      <c r="C667" s="4" t="s">
        <v>79</v>
      </c>
      <c r="D667" s="59">
        <v>1000</v>
      </c>
      <c r="E667" s="4" t="s">
        <v>22</v>
      </c>
      <c r="F667" s="4" t="s">
        <v>252</v>
      </c>
      <c r="H667" s="4" t="s">
        <v>252</v>
      </c>
      <c r="K667" s="4" t="s">
        <v>510</v>
      </c>
      <c r="L667" s="4" t="s">
        <v>98</v>
      </c>
      <c r="N667" s="13">
        <v>0</v>
      </c>
      <c r="O667" s="4">
        <f t="shared" si="29"/>
        <v>0</v>
      </c>
      <c r="P667" s="59">
        <f t="shared" si="30"/>
        <v>1000</v>
      </c>
      <c r="Q667" s="4" t="s">
        <v>97</v>
      </c>
      <c r="R667" s="4" t="s">
        <v>137</v>
      </c>
    </row>
    <row r="668" spans="1:18" ht="22.5" customHeight="1" x14ac:dyDescent="0.25">
      <c r="A668" s="76">
        <v>46100</v>
      </c>
      <c r="B668" s="4" t="s">
        <v>75</v>
      </c>
      <c r="C668" s="4" t="s">
        <v>79</v>
      </c>
      <c r="D668" s="59">
        <v>46.9</v>
      </c>
      <c r="E668" s="4" t="s">
        <v>22</v>
      </c>
      <c r="F668" s="4" t="s">
        <v>57</v>
      </c>
      <c r="H668" s="4" t="s">
        <v>81</v>
      </c>
      <c r="K668" s="4" t="s">
        <v>99</v>
      </c>
      <c r="L668" s="4" t="s">
        <v>98</v>
      </c>
      <c r="N668" s="13">
        <v>15</v>
      </c>
      <c r="O668" s="4">
        <f t="shared" ref="O668:O731" si="33">IF(OR(D668="", N668=""), "", ROUND(D668 * N668 / 100, 2))</f>
        <v>7.04</v>
      </c>
      <c r="P668" s="59">
        <f t="shared" ref="P668:P731" si="34">IF(D668="", "", D668 + O668)</f>
        <v>53.94</v>
      </c>
      <c r="Q668" s="4" t="s">
        <v>97</v>
      </c>
      <c r="R668" s="4" t="s">
        <v>137</v>
      </c>
    </row>
    <row r="669" spans="1:18" ht="22.5" customHeight="1" x14ac:dyDescent="0.25">
      <c r="A669" s="76">
        <v>46100</v>
      </c>
      <c r="B669" s="4" t="s">
        <v>257</v>
      </c>
      <c r="C669" s="4" t="s">
        <v>79</v>
      </c>
      <c r="D669" s="59">
        <v>78.27</v>
      </c>
      <c r="E669" s="4" t="s">
        <v>22</v>
      </c>
      <c r="F669" s="4" t="s">
        <v>115</v>
      </c>
      <c r="H669" s="4" t="s">
        <v>115</v>
      </c>
      <c r="K669" s="4" t="s">
        <v>99</v>
      </c>
      <c r="L669" s="4" t="s">
        <v>98</v>
      </c>
      <c r="N669" s="13">
        <v>15</v>
      </c>
      <c r="O669" s="4">
        <f t="shared" si="33"/>
        <v>11.74</v>
      </c>
      <c r="P669" s="59">
        <f t="shared" si="34"/>
        <v>90.009999999999991</v>
      </c>
      <c r="Q669" s="4" t="s">
        <v>97</v>
      </c>
      <c r="R669" s="4" t="s">
        <v>137</v>
      </c>
    </row>
    <row r="670" spans="1:18" ht="22.5" customHeight="1" x14ac:dyDescent="0.25">
      <c r="A670" s="76">
        <v>46100</v>
      </c>
      <c r="B670" s="4" t="s">
        <v>784</v>
      </c>
      <c r="C670" s="4" t="s">
        <v>79</v>
      </c>
      <c r="D670" s="59">
        <v>45.62</v>
      </c>
      <c r="E670" s="4" t="s">
        <v>22</v>
      </c>
      <c r="F670" s="4" t="s">
        <v>568</v>
      </c>
      <c r="H670" s="4" t="s">
        <v>543</v>
      </c>
      <c r="K670" s="4" t="s">
        <v>99</v>
      </c>
      <c r="L670" s="4" t="s">
        <v>98</v>
      </c>
      <c r="N670" s="13">
        <v>15</v>
      </c>
      <c r="O670" s="4">
        <f t="shared" si="33"/>
        <v>6.84</v>
      </c>
      <c r="P670" s="59">
        <f t="shared" si="34"/>
        <v>52.459999999999994</v>
      </c>
      <c r="Q670" s="4" t="s">
        <v>97</v>
      </c>
      <c r="R670" s="4" t="s">
        <v>137</v>
      </c>
    </row>
    <row r="671" spans="1:18" ht="22.5" customHeight="1" x14ac:dyDescent="0.25">
      <c r="A671" s="76">
        <v>46100</v>
      </c>
      <c r="B671" s="4" t="s">
        <v>785</v>
      </c>
      <c r="C671" s="4" t="s">
        <v>79</v>
      </c>
      <c r="D671" s="59">
        <v>147.87</v>
      </c>
      <c r="E671" s="4" t="s">
        <v>22</v>
      </c>
      <c r="F671" s="4" t="s">
        <v>203</v>
      </c>
      <c r="H671" s="4" t="s">
        <v>776</v>
      </c>
      <c r="K671" s="4" t="s">
        <v>786</v>
      </c>
      <c r="L671" s="4" t="s">
        <v>98</v>
      </c>
      <c r="N671" s="13">
        <v>15</v>
      </c>
      <c r="O671" s="4">
        <f t="shared" si="33"/>
        <v>22.18</v>
      </c>
      <c r="P671" s="59">
        <f t="shared" si="34"/>
        <v>170.05</v>
      </c>
      <c r="Q671" s="4" t="s">
        <v>97</v>
      </c>
      <c r="R671" s="4" t="s">
        <v>137</v>
      </c>
    </row>
    <row r="672" spans="1:18" ht="22.5" customHeight="1" x14ac:dyDescent="0.25">
      <c r="A672" s="76">
        <v>46100</v>
      </c>
      <c r="B672" s="4" t="s">
        <v>787</v>
      </c>
      <c r="C672" s="4" t="s">
        <v>79</v>
      </c>
      <c r="D672" s="59">
        <v>1930</v>
      </c>
      <c r="E672" s="4" t="s">
        <v>22</v>
      </c>
      <c r="F672" s="4" t="s">
        <v>253</v>
      </c>
      <c r="H672" s="4" t="s">
        <v>626</v>
      </c>
      <c r="K672" s="4" t="s">
        <v>788</v>
      </c>
      <c r="L672" s="4" t="s">
        <v>98</v>
      </c>
      <c r="N672" s="13">
        <v>0</v>
      </c>
      <c r="O672" s="4">
        <f t="shared" si="33"/>
        <v>0</v>
      </c>
      <c r="P672" s="59">
        <f t="shared" si="34"/>
        <v>1930</v>
      </c>
      <c r="Q672" s="4" t="s">
        <v>97</v>
      </c>
      <c r="R672" s="4" t="s">
        <v>137</v>
      </c>
    </row>
    <row r="673" spans="1:18" ht="22.5" customHeight="1" x14ac:dyDescent="0.25">
      <c r="A673" s="76">
        <v>46100</v>
      </c>
      <c r="B673" s="4" t="s">
        <v>760</v>
      </c>
      <c r="C673" s="4" t="s">
        <v>79</v>
      </c>
      <c r="D673" s="59">
        <v>2000</v>
      </c>
      <c r="E673" s="4" t="s">
        <v>22</v>
      </c>
      <c r="F673" s="4" t="s">
        <v>252</v>
      </c>
      <c r="H673" s="4" t="s">
        <v>252</v>
      </c>
      <c r="K673" s="4" t="s">
        <v>441</v>
      </c>
      <c r="L673" s="4" t="s">
        <v>98</v>
      </c>
      <c r="N673" s="13">
        <v>0</v>
      </c>
      <c r="O673" s="4">
        <f t="shared" si="33"/>
        <v>0</v>
      </c>
      <c r="P673" s="59">
        <f t="shared" si="34"/>
        <v>2000</v>
      </c>
      <c r="Q673" s="4" t="s">
        <v>97</v>
      </c>
      <c r="R673" s="75" t="s">
        <v>789</v>
      </c>
    </row>
    <row r="674" spans="1:18" ht="22.5" customHeight="1" x14ac:dyDescent="0.25">
      <c r="A674" s="76">
        <v>46100</v>
      </c>
      <c r="B674" s="4" t="s">
        <v>790</v>
      </c>
      <c r="C674" s="4" t="s">
        <v>79</v>
      </c>
      <c r="D674" s="59">
        <v>1000</v>
      </c>
      <c r="E674" s="4" t="s">
        <v>22</v>
      </c>
      <c r="F674" s="4" t="s">
        <v>252</v>
      </c>
      <c r="H674" s="4" t="s">
        <v>252</v>
      </c>
      <c r="K674" s="4" t="s">
        <v>791</v>
      </c>
      <c r="L674" s="4" t="s">
        <v>98</v>
      </c>
      <c r="N674" s="13">
        <v>0</v>
      </c>
      <c r="O674" s="4">
        <f t="shared" si="33"/>
        <v>0</v>
      </c>
      <c r="P674" s="59">
        <f t="shared" si="34"/>
        <v>1000</v>
      </c>
      <c r="Q674" s="4" t="s">
        <v>97</v>
      </c>
      <c r="R674" s="4" t="s">
        <v>137</v>
      </c>
    </row>
    <row r="675" spans="1:18" ht="22.5" customHeight="1" x14ac:dyDescent="0.25">
      <c r="A675" s="76">
        <v>46100</v>
      </c>
      <c r="B675" s="4" t="s">
        <v>792</v>
      </c>
      <c r="C675" s="4" t="s">
        <v>79</v>
      </c>
      <c r="D675" s="59">
        <v>18</v>
      </c>
      <c r="E675" s="4" t="s">
        <v>22</v>
      </c>
      <c r="F675" s="4" t="s">
        <v>568</v>
      </c>
      <c r="H675" s="4" t="s">
        <v>543</v>
      </c>
      <c r="K675" s="4" t="s">
        <v>99</v>
      </c>
      <c r="L675" s="4" t="s">
        <v>98</v>
      </c>
      <c r="N675" s="13">
        <v>0</v>
      </c>
      <c r="O675" s="4">
        <f t="shared" si="33"/>
        <v>0</v>
      </c>
      <c r="P675" s="59">
        <f t="shared" si="34"/>
        <v>18</v>
      </c>
      <c r="Q675" s="4" t="s">
        <v>97</v>
      </c>
      <c r="R675" s="4" t="s">
        <v>137</v>
      </c>
    </row>
    <row r="676" spans="1:18" ht="22.5" customHeight="1" x14ac:dyDescent="0.25">
      <c r="A676" s="76">
        <v>46102</v>
      </c>
      <c r="B676" s="4" t="s">
        <v>75</v>
      </c>
      <c r="C676" s="4" t="s">
        <v>79</v>
      </c>
      <c r="D676" s="59">
        <v>18.260000000000002</v>
      </c>
      <c r="E676" s="4" t="s">
        <v>22</v>
      </c>
      <c r="F676" s="4" t="s">
        <v>57</v>
      </c>
      <c r="H676" s="4" t="s">
        <v>81</v>
      </c>
      <c r="K676" s="4" t="s">
        <v>99</v>
      </c>
      <c r="L676" s="4" t="s">
        <v>98</v>
      </c>
      <c r="N676" s="13">
        <v>15</v>
      </c>
      <c r="O676" s="4">
        <f t="shared" si="33"/>
        <v>2.74</v>
      </c>
      <c r="P676" s="59">
        <f t="shared" si="34"/>
        <v>21</v>
      </c>
      <c r="Q676" s="4" t="s">
        <v>97</v>
      </c>
      <c r="R676" s="4" t="s">
        <v>137</v>
      </c>
    </row>
    <row r="677" spans="1:18" ht="22.5" customHeight="1" x14ac:dyDescent="0.25">
      <c r="A677" s="76">
        <v>46102</v>
      </c>
      <c r="B677" s="4" t="s">
        <v>794</v>
      </c>
      <c r="C677" s="4" t="s">
        <v>79</v>
      </c>
      <c r="D677" s="59">
        <v>440</v>
      </c>
      <c r="E677" s="4" t="s">
        <v>22</v>
      </c>
      <c r="F677" s="4" t="s">
        <v>795</v>
      </c>
      <c r="H677" s="4" t="s">
        <v>338</v>
      </c>
      <c r="K677" s="4" t="s">
        <v>162</v>
      </c>
      <c r="L677" s="4" t="s">
        <v>163</v>
      </c>
      <c r="N677" s="13">
        <v>0</v>
      </c>
      <c r="O677" s="4">
        <f t="shared" si="33"/>
        <v>0</v>
      </c>
      <c r="P677" s="59">
        <f t="shared" si="34"/>
        <v>440</v>
      </c>
      <c r="Q677" s="4" t="s">
        <v>97</v>
      </c>
      <c r="R677" s="4" t="s">
        <v>137</v>
      </c>
    </row>
    <row r="678" spans="1:18" ht="22.5" customHeight="1" x14ac:dyDescent="0.25">
      <c r="A678" s="76">
        <v>46103</v>
      </c>
      <c r="B678" s="4" t="s">
        <v>793</v>
      </c>
      <c r="C678" s="4" t="s">
        <v>79</v>
      </c>
      <c r="D678" s="59">
        <v>20</v>
      </c>
      <c r="E678" s="4" t="s">
        <v>22</v>
      </c>
      <c r="F678" s="4" t="s">
        <v>57</v>
      </c>
      <c r="H678" s="4" t="s">
        <v>81</v>
      </c>
      <c r="K678" s="4" t="s">
        <v>99</v>
      </c>
      <c r="L678" s="4" t="s">
        <v>98</v>
      </c>
      <c r="N678" s="13">
        <v>15</v>
      </c>
      <c r="O678" s="4">
        <f t="shared" si="33"/>
        <v>3</v>
      </c>
      <c r="P678" s="59">
        <f t="shared" si="34"/>
        <v>23</v>
      </c>
      <c r="Q678" s="4" t="s">
        <v>97</v>
      </c>
      <c r="R678" s="4" t="s">
        <v>137</v>
      </c>
    </row>
    <row r="679" spans="1:18" ht="22.5" customHeight="1" x14ac:dyDescent="0.25">
      <c r="A679" s="76">
        <v>46103</v>
      </c>
      <c r="B679" s="4" t="s">
        <v>75</v>
      </c>
      <c r="C679" s="4" t="s">
        <v>79</v>
      </c>
      <c r="D679" s="59">
        <v>55</v>
      </c>
      <c r="E679" s="4" t="s">
        <v>22</v>
      </c>
      <c r="F679" s="4" t="s">
        <v>57</v>
      </c>
      <c r="H679" s="4" t="s">
        <v>81</v>
      </c>
      <c r="K679" s="4" t="s">
        <v>99</v>
      </c>
      <c r="L679" s="4" t="s">
        <v>98</v>
      </c>
      <c r="N679" s="13">
        <v>0</v>
      </c>
      <c r="O679" s="4">
        <f t="shared" si="33"/>
        <v>0</v>
      </c>
      <c r="P679" s="59">
        <f t="shared" si="34"/>
        <v>55</v>
      </c>
      <c r="Q679" s="4" t="s">
        <v>97</v>
      </c>
      <c r="R679" s="4" t="s">
        <v>137</v>
      </c>
    </row>
    <row r="680" spans="1:18" ht="22.5" customHeight="1" x14ac:dyDescent="0.25">
      <c r="A680" s="76">
        <v>46104</v>
      </c>
      <c r="B680" s="4" t="s">
        <v>257</v>
      </c>
      <c r="C680" s="4" t="s">
        <v>79</v>
      </c>
      <c r="D680" s="59">
        <v>82.61</v>
      </c>
      <c r="E680" s="4" t="s">
        <v>22</v>
      </c>
      <c r="F680" s="4" t="s">
        <v>115</v>
      </c>
      <c r="G680" s="18" t="s">
        <v>448</v>
      </c>
      <c r="H680" s="4" t="s">
        <v>115</v>
      </c>
      <c r="K680" s="4" t="s">
        <v>99</v>
      </c>
      <c r="L680" s="4" t="s">
        <v>98</v>
      </c>
      <c r="N680" s="13">
        <v>15</v>
      </c>
      <c r="O680" s="4">
        <f t="shared" si="33"/>
        <v>12.39</v>
      </c>
      <c r="P680" s="59">
        <f t="shared" si="34"/>
        <v>95</v>
      </c>
      <c r="Q680" s="4" t="s">
        <v>97</v>
      </c>
      <c r="R680" s="4" t="s">
        <v>191</v>
      </c>
    </row>
    <row r="681" spans="1:18" ht="22.5" customHeight="1" x14ac:dyDescent="0.25">
      <c r="A681" s="76">
        <v>46104</v>
      </c>
      <c r="B681" s="4" t="s">
        <v>793</v>
      </c>
      <c r="C681" s="4" t="s">
        <v>79</v>
      </c>
      <c r="D681" s="59">
        <v>39.1</v>
      </c>
      <c r="E681" s="4" t="s">
        <v>22</v>
      </c>
      <c r="F681" s="4" t="s">
        <v>57</v>
      </c>
      <c r="H681" s="4" t="s">
        <v>81</v>
      </c>
      <c r="K681" s="4" t="s">
        <v>99</v>
      </c>
      <c r="L681" s="4" t="s">
        <v>98</v>
      </c>
      <c r="N681" s="13">
        <v>15</v>
      </c>
      <c r="O681" s="4">
        <f t="shared" si="33"/>
        <v>5.87</v>
      </c>
      <c r="P681" s="59">
        <f t="shared" si="34"/>
        <v>44.97</v>
      </c>
      <c r="Q681" s="4" t="s">
        <v>97</v>
      </c>
      <c r="R681" s="4" t="s">
        <v>137</v>
      </c>
    </row>
    <row r="682" spans="1:18" ht="22.5" customHeight="1" x14ac:dyDescent="0.25">
      <c r="A682" s="76">
        <v>46104</v>
      </c>
      <c r="B682" s="4" t="s">
        <v>75</v>
      </c>
      <c r="C682" s="4" t="s">
        <v>79</v>
      </c>
      <c r="D682" s="59">
        <v>27</v>
      </c>
      <c r="E682" s="4" t="s">
        <v>22</v>
      </c>
      <c r="F682" s="4" t="s">
        <v>57</v>
      </c>
      <c r="H682" s="4" t="s">
        <v>81</v>
      </c>
      <c r="K682" s="4" t="s">
        <v>99</v>
      </c>
      <c r="L682" s="4" t="s">
        <v>98</v>
      </c>
      <c r="N682" s="13">
        <v>0</v>
      </c>
      <c r="O682" s="4">
        <f t="shared" si="33"/>
        <v>0</v>
      </c>
      <c r="P682" s="59">
        <f t="shared" si="34"/>
        <v>27</v>
      </c>
      <c r="Q682" s="4" t="s">
        <v>97</v>
      </c>
      <c r="R682" s="4" t="s">
        <v>137</v>
      </c>
    </row>
    <row r="683" spans="1:18" ht="22.5" customHeight="1" x14ac:dyDescent="0.25">
      <c r="A683" s="76">
        <v>46104</v>
      </c>
      <c r="B683" s="4" t="s">
        <v>796</v>
      </c>
      <c r="C683" s="4" t="s">
        <v>79</v>
      </c>
      <c r="D683" s="59">
        <v>3500</v>
      </c>
      <c r="E683" s="4" t="s">
        <v>22</v>
      </c>
      <c r="F683" s="4" t="s">
        <v>166</v>
      </c>
      <c r="G683" s="18" t="s">
        <v>448</v>
      </c>
      <c r="H683" s="4" t="s">
        <v>80</v>
      </c>
      <c r="K683" s="4" t="s">
        <v>449</v>
      </c>
      <c r="L683" s="4" t="s">
        <v>98</v>
      </c>
      <c r="N683" s="13">
        <v>0</v>
      </c>
      <c r="O683" s="4">
        <f t="shared" si="33"/>
        <v>0</v>
      </c>
      <c r="P683" s="59">
        <f t="shared" si="34"/>
        <v>3500</v>
      </c>
      <c r="Q683" s="4" t="s">
        <v>97</v>
      </c>
      <c r="R683" s="4" t="s">
        <v>191</v>
      </c>
    </row>
    <row r="684" spans="1:18" ht="22.5" customHeight="1" x14ac:dyDescent="0.25">
      <c r="A684" s="76">
        <v>46104</v>
      </c>
      <c r="B684" s="4" t="s">
        <v>797</v>
      </c>
      <c r="C684" s="4" t="s">
        <v>79</v>
      </c>
      <c r="D684" s="59">
        <v>3200</v>
      </c>
      <c r="E684" s="4" t="s">
        <v>22</v>
      </c>
      <c r="F684" s="4" t="s">
        <v>249</v>
      </c>
      <c r="G684" s="18" t="s">
        <v>448</v>
      </c>
      <c r="H684" s="4" t="s">
        <v>622</v>
      </c>
      <c r="K684" s="4" t="s">
        <v>798</v>
      </c>
      <c r="L684" s="4" t="s">
        <v>98</v>
      </c>
      <c r="N684" s="13">
        <v>0</v>
      </c>
      <c r="O684" s="4">
        <f t="shared" si="33"/>
        <v>0</v>
      </c>
      <c r="P684" s="59">
        <f t="shared" si="34"/>
        <v>3200</v>
      </c>
      <c r="Q684" s="4" t="s">
        <v>97</v>
      </c>
      <c r="R684" s="4" t="s">
        <v>191</v>
      </c>
    </row>
    <row r="685" spans="1:18" ht="22.5" customHeight="1" x14ac:dyDescent="0.25">
      <c r="A685" s="76">
        <v>46104</v>
      </c>
      <c r="B685" s="4" t="s">
        <v>797</v>
      </c>
      <c r="C685" s="4" t="s">
        <v>79</v>
      </c>
      <c r="D685" s="59">
        <v>900</v>
      </c>
      <c r="E685" s="4" t="s">
        <v>22</v>
      </c>
      <c r="F685" s="4" t="s">
        <v>249</v>
      </c>
      <c r="G685" s="18" t="s">
        <v>456</v>
      </c>
      <c r="H685" s="4" t="s">
        <v>622</v>
      </c>
      <c r="K685" s="4" t="s">
        <v>798</v>
      </c>
      <c r="L685" s="4" t="s">
        <v>98</v>
      </c>
      <c r="N685" s="13">
        <v>0</v>
      </c>
      <c r="O685" s="4">
        <f t="shared" si="33"/>
        <v>0</v>
      </c>
      <c r="P685" s="59">
        <f t="shared" si="34"/>
        <v>900</v>
      </c>
      <c r="Q685" s="4" t="s">
        <v>97</v>
      </c>
      <c r="R685" s="4" t="s">
        <v>191</v>
      </c>
    </row>
    <row r="686" spans="1:18" ht="22.5" customHeight="1" x14ac:dyDescent="0.25">
      <c r="A686" s="76">
        <v>46104</v>
      </c>
      <c r="B686" s="4" t="s">
        <v>721</v>
      </c>
      <c r="C686" s="4" t="s">
        <v>79</v>
      </c>
      <c r="D686" s="59">
        <v>47.84</v>
      </c>
      <c r="E686" s="4" t="s">
        <v>22</v>
      </c>
      <c r="F686" s="4" t="s">
        <v>568</v>
      </c>
      <c r="H686" s="4" t="s">
        <v>543</v>
      </c>
      <c r="K686" s="4" t="s">
        <v>459</v>
      </c>
      <c r="L686" s="4" t="s">
        <v>98</v>
      </c>
      <c r="N686" s="13">
        <v>15</v>
      </c>
      <c r="O686" s="4">
        <f t="shared" si="33"/>
        <v>7.18</v>
      </c>
      <c r="P686" s="59">
        <f t="shared" si="34"/>
        <v>55.02</v>
      </c>
      <c r="Q686" s="4" t="s">
        <v>97</v>
      </c>
      <c r="R686" s="4" t="s">
        <v>137</v>
      </c>
    </row>
    <row r="687" spans="1:18" ht="22.5" customHeight="1" x14ac:dyDescent="0.25">
      <c r="A687" s="76">
        <v>46105</v>
      </c>
      <c r="B687" s="4" t="s">
        <v>774</v>
      </c>
      <c r="C687" s="4" t="s">
        <v>79</v>
      </c>
      <c r="D687" s="59">
        <v>580</v>
      </c>
      <c r="E687" s="4" t="s">
        <v>22</v>
      </c>
      <c r="F687" s="4" t="s">
        <v>203</v>
      </c>
      <c r="H687" s="4" t="s">
        <v>776</v>
      </c>
      <c r="K687" s="4" t="s">
        <v>99</v>
      </c>
      <c r="L687" s="4" t="s">
        <v>98</v>
      </c>
      <c r="N687" s="13">
        <v>0</v>
      </c>
      <c r="O687" s="4">
        <f t="shared" si="33"/>
        <v>0</v>
      </c>
      <c r="P687" s="59">
        <f t="shared" si="34"/>
        <v>580</v>
      </c>
      <c r="Q687" s="4" t="s">
        <v>97</v>
      </c>
      <c r="R687" s="4" t="s">
        <v>137</v>
      </c>
    </row>
    <row r="688" spans="1:18" ht="22.5" customHeight="1" x14ac:dyDescent="0.25">
      <c r="A688" s="76">
        <v>46105</v>
      </c>
      <c r="B688" s="4" t="s">
        <v>792</v>
      </c>
      <c r="C688" s="4" t="s">
        <v>79</v>
      </c>
      <c r="D688" s="59">
        <v>29</v>
      </c>
      <c r="E688" s="4" t="s">
        <v>22</v>
      </c>
      <c r="F688" s="4" t="s">
        <v>568</v>
      </c>
      <c r="H688" s="4" t="s">
        <v>543</v>
      </c>
      <c r="K688" s="4" t="s">
        <v>99</v>
      </c>
      <c r="L688" s="4" t="s">
        <v>98</v>
      </c>
      <c r="N688" s="13">
        <v>0</v>
      </c>
      <c r="O688" s="4">
        <f t="shared" si="33"/>
        <v>0</v>
      </c>
      <c r="P688" s="59">
        <f t="shared" si="34"/>
        <v>29</v>
      </c>
      <c r="Q688" s="4" t="s">
        <v>97</v>
      </c>
      <c r="R688" s="4" t="s">
        <v>137</v>
      </c>
    </row>
    <row r="689" spans="1:18" ht="22.5" customHeight="1" x14ac:dyDescent="0.25">
      <c r="A689" s="76">
        <v>46105</v>
      </c>
      <c r="B689" s="4" t="s">
        <v>799</v>
      </c>
      <c r="C689" s="4" t="s">
        <v>79</v>
      </c>
      <c r="D689" s="59">
        <v>108</v>
      </c>
      <c r="E689" s="4" t="s">
        <v>22</v>
      </c>
      <c r="F689" s="4" t="s">
        <v>568</v>
      </c>
      <c r="H689" s="4" t="s">
        <v>543</v>
      </c>
      <c r="K689" s="4" t="s">
        <v>99</v>
      </c>
      <c r="L689" s="4" t="s">
        <v>98</v>
      </c>
      <c r="N689" s="13">
        <v>15</v>
      </c>
      <c r="O689" s="4">
        <f t="shared" si="33"/>
        <v>16.2</v>
      </c>
      <c r="P689" s="59">
        <f t="shared" si="34"/>
        <v>124.2</v>
      </c>
      <c r="Q689" s="4" t="s">
        <v>97</v>
      </c>
      <c r="R689" s="4" t="s">
        <v>137</v>
      </c>
    </row>
    <row r="690" spans="1:18" ht="22.5" customHeight="1" x14ac:dyDescent="0.25">
      <c r="A690" s="76">
        <v>46105</v>
      </c>
      <c r="B690" s="4" t="s">
        <v>774</v>
      </c>
      <c r="C690" s="4" t="s">
        <v>79</v>
      </c>
      <c r="D690" s="59">
        <v>26.9</v>
      </c>
      <c r="E690" s="4" t="s">
        <v>22</v>
      </c>
      <c r="F690" s="4" t="s">
        <v>203</v>
      </c>
      <c r="H690" s="4" t="s">
        <v>776</v>
      </c>
      <c r="K690" s="4" t="s">
        <v>99</v>
      </c>
      <c r="L690" s="4" t="s">
        <v>98</v>
      </c>
      <c r="N690" s="13">
        <v>15</v>
      </c>
      <c r="O690" s="4">
        <f t="shared" si="33"/>
        <v>4.04</v>
      </c>
      <c r="P690" s="59">
        <f t="shared" si="34"/>
        <v>30.939999999999998</v>
      </c>
      <c r="Q690" s="4" t="s">
        <v>97</v>
      </c>
      <c r="R690" s="4" t="s">
        <v>137</v>
      </c>
    </row>
    <row r="691" spans="1:18" ht="22.5" customHeight="1" x14ac:dyDescent="0.25">
      <c r="A691" s="76">
        <v>46106</v>
      </c>
      <c r="B691" s="4" t="s">
        <v>695</v>
      </c>
      <c r="C691" s="4" t="s">
        <v>79</v>
      </c>
      <c r="D691" s="59">
        <v>115</v>
      </c>
      <c r="E691" s="4" t="s">
        <v>22</v>
      </c>
      <c r="F691" s="4" t="s">
        <v>568</v>
      </c>
      <c r="H691" s="4" t="s">
        <v>543</v>
      </c>
      <c r="K691" s="4" t="s">
        <v>307</v>
      </c>
      <c r="L691" s="4" t="s">
        <v>154</v>
      </c>
      <c r="N691" s="13">
        <v>0</v>
      </c>
      <c r="O691" s="4">
        <f t="shared" si="33"/>
        <v>0</v>
      </c>
      <c r="P691" s="59">
        <f t="shared" si="34"/>
        <v>115</v>
      </c>
      <c r="Q691" s="4" t="s">
        <v>97</v>
      </c>
      <c r="R691" s="4" t="s">
        <v>137</v>
      </c>
    </row>
    <row r="692" spans="1:18" ht="22.5" customHeight="1" x14ac:dyDescent="0.25">
      <c r="A692" s="76">
        <v>46106</v>
      </c>
      <c r="B692" s="4" t="s">
        <v>257</v>
      </c>
      <c r="C692" s="4" t="s">
        <v>79</v>
      </c>
      <c r="D692" s="59">
        <v>86.96</v>
      </c>
      <c r="E692" s="4" t="s">
        <v>22</v>
      </c>
      <c r="F692" s="4" t="s">
        <v>115</v>
      </c>
      <c r="H692" s="4" t="s">
        <v>115</v>
      </c>
      <c r="K692" s="4" t="s">
        <v>99</v>
      </c>
      <c r="L692" s="4" t="s">
        <v>98</v>
      </c>
      <c r="N692" s="13">
        <v>15</v>
      </c>
      <c r="O692" s="4">
        <f t="shared" si="33"/>
        <v>13.04</v>
      </c>
      <c r="P692" s="59">
        <f t="shared" si="34"/>
        <v>100</v>
      </c>
      <c r="Q692" s="4" t="s">
        <v>97</v>
      </c>
      <c r="R692" s="4" t="s">
        <v>137</v>
      </c>
    </row>
    <row r="693" spans="1:18" ht="22.5" customHeight="1" x14ac:dyDescent="0.25">
      <c r="A693" s="76">
        <v>46106</v>
      </c>
      <c r="B693" s="4" t="s">
        <v>830</v>
      </c>
      <c r="C693" s="4" t="s">
        <v>79</v>
      </c>
      <c r="D693" s="59">
        <v>5000</v>
      </c>
      <c r="E693" s="4" t="s">
        <v>22</v>
      </c>
      <c r="F693" s="4" t="s">
        <v>249</v>
      </c>
      <c r="G693" s="18" t="s">
        <v>448</v>
      </c>
      <c r="H693" s="4" t="s">
        <v>622</v>
      </c>
      <c r="K693" s="4" t="s">
        <v>449</v>
      </c>
      <c r="L693" s="4" t="s">
        <v>98</v>
      </c>
      <c r="N693" s="13">
        <v>0</v>
      </c>
      <c r="O693" s="4">
        <f t="shared" si="33"/>
        <v>0</v>
      </c>
      <c r="P693" s="59">
        <f t="shared" si="34"/>
        <v>5000</v>
      </c>
      <c r="Q693" s="4" t="s">
        <v>97</v>
      </c>
      <c r="R693" s="4" t="s">
        <v>191</v>
      </c>
    </row>
    <row r="694" spans="1:18" s="6" customFormat="1" ht="22.5" customHeight="1" x14ac:dyDescent="0.25">
      <c r="A694" s="83">
        <v>46107</v>
      </c>
      <c r="B694" s="6" t="s">
        <v>801</v>
      </c>
      <c r="C694" s="6" t="s">
        <v>88</v>
      </c>
      <c r="D694" s="60">
        <v>2000</v>
      </c>
      <c r="E694" s="6" t="s">
        <v>22</v>
      </c>
      <c r="F694" s="6" t="s">
        <v>89</v>
      </c>
      <c r="G694" s="6" t="s">
        <v>802</v>
      </c>
      <c r="H694" s="6" t="s">
        <v>196</v>
      </c>
      <c r="K694" s="6" t="s">
        <v>124</v>
      </c>
      <c r="L694" s="6" t="s">
        <v>86</v>
      </c>
      <c r="M694" s="14" t="s">
        <v>803</v>
      </c>
      <c r="N694" s="14">
        <v>15</v>
      </c>
      <c r="O694" s="6">
        <f t="shared" si="33"/>
        <v>300</v>
      </c>
      <c r="P694" s="60">
        <f t="shared" si="34"/>
        <v>2300</v>
      </c>
      <c r="Q694" s="6" t="s">
        <v>97</v>
      </c>
      <c r="R694" s="6" t="s">
        <v>191</v>
      </c>
    </row>
    <row r="695" spans="1:18" ht="22.5" customHeight="1" x14ac:dyDescent="0.25">
      <c r="A695" s="76">
        <v>46108</v>
      </c>
      <c r="B695" s="4" t="s">
        <v>695</v>
      </c>
      <c r="C695" s="4" t="s">
        <v>79</v>
      </c>
      <c r="D695" s="59">
        <v>115</v>
      </c>
      <c r="E695" s="4" t="s">
        <v>22</v>
      </c>
      <c r="F695" s="4" t="s">
        <v>568</v>
      </c>
      <c r="H695" s="4" t="s">
        <v>543</v>
      </c>
      <c r="K695" s="4" t="s">
        <v>649</v>
      </c>
      <c r="L695" s="4" t="s">
        <v>154</v>
      </c>
      <c r="N695" s="13">
        <v>0</v>
      </c>
      <c r="O695" s="4">
        <f t="shared" si="33"/>
        <v>0</v>
      </c>
      <c r="P695" s="59">
        <f t="shared" si="34"/>
        <v>115</v>
      </c>
      <c r="Q695" s="4" t="s">
        <v>97</v>
      </c>
      <c r="R695" s="4" t="s">
        <v>137</v>
      </c>
    </row>
    <row r="696" spans="1:18" ht="22.5" customHeight="1" x14ac:dyDescent="0.25">
      <c r="A696" s="76">
        <v>46108</v>
      </c>
      <c r="B696" s="4" t="s">
        <v>695</v>
      </c>
      <c r="C696" s="4" t="s">
        <v>79</v>
      </c>
      <c r="D696" s="59">
        <v>115</v>
      </c>
      <c r="E696" s="4" t="s">
        <v>22</v>
      </c>
      <c r="F696" s="4" t="s">
        <v>568</v>
      </c>
      <c r="H696" s="4" t="s">
        <v>543</v>
      </c>
      <c r="K696" s="4" t="s">
        <v>169</v>
      </c>
      <c r="L696" s="4" t="s">
        <v>154</v>
      </c>
      <c r="N696" s="13">
        <v>0</v>
      </c>
      <c r="O696" s="4">
        <f t="shared" si="33"/>
        <v>0</v>
      </c>
      <c r="P696" s="59">
        <f t="shared" si="34"/>
        <v>115</v>
      </c>
      <c r="Q696" s="4" t="s">
        <v>97</v>
      </c>
      <c r="R696" s="4" t="s">
        <v>137</v>
      </c>
    </row>
    <row r="697" spans="1:18" ht="22.5" customHeight="1" x14ac:dyDescent="0.25">
      <c r="A697" s="76">
        <v>46108</v>
      </c>
      <c r="B697" s="4" t="s">
        <v>792</v>
      </c>
      <c r="C697" s="4" t="s">
        <v>79</v>
      </c>
      <c r="D697" s="59">
        <v>35</v>
      </c>
      <c r="E697" s="4" t="s">
        <v>22</v>
      </c>
      <c r="F697" s="4" t="s">
        <v>568</v>
      </c>
      <c r="H697" s="4" t="s">
        <v>543</v>
      </c>
      <c r="K697" s="4" t="s">
        <v>99</v>
      </c>
      <c r="L697" s="4" t="s">
        <v>98</v>
      </c>
      <c r="N697" s="13">
        <v>0</v>
      </c>
      <c r="O697" s="4">
        <f t="shared" si="33"/>
        <v>0</v>
      </c>
      <c r="P697" s="59">
        <f t="shared" si="34"/>
        <v>35</v>
      </c>
      <c r="Q697" s="4" t="s">
        <v>97</v>
      </c>
      <c r="R697" s="4" t="s">
        <v>137</v>
      </c>
    </row>
    <row r="698" spans="1:18" ht="22.5" customHeight="1" x14ac:dyDescent="0.25">
      <c r="A698" s="76">
        <v>46108</v>
      </c>
      <c r="B698" s="4" t="s">
        <v>75</v>
      </c>
      <c r="C698" s="4" t="s">
        <v>79</v>
      </c>
      <c r="D698" s="59">
        <v>21.3</v>
      </c>
      <c r="E698" s="4" t="s">
        <v>22</v>
      </c>
      <c r="F698" s="4" t="s">
        <v>57</v>
      </c>
      <c r="H698" s="4" t="s">
        <v>81</v>
      </c>
      <c r="K698" s="4" t="s">
        <v>99</v>
      </c>
      <c r="L698" s="4" t="s">
        <v>98</v>
      </c>
      <c r="N698" s="13">
        <v>15</v>
      </c>
      <c r="O698" s="4">
        <f t="shared" si="33"/>
        <v>3.2</v>
      </c>
      <c r="P698" s="59">
        <f t="shared" si="34"/>
        <v>24.5</v>
      </c>
      <c r="Q698" s="4" t="s">
        <v>97</v>
      </c>
      <c r="R698" s="4" t="s">
        <v>137</v>
      </c>
    </row>
    <row r="699" spans="1:18" ht="22.5" customHeight="1" x14ac:dyDescent="0.25">
      <c r="A699" s="76">
        <v>46108</v>
      </c>
      <c r="B699" s="4" t="s">
        <v>257</v>
      </c>
      <c r="C699" s="4" t="s">
        <v>79</v>
      </c>
      <c r="D699" s="59">
        <v>86.96</v>
      </c>
      <c r="E699" s="4" t="s">
        <v>22</v>
      </c>
      <c r="F699" s="4" t="s">
        <v>115</v>
      </c>
      <c r="G699" s="18" t="s">
        <v>448</v>
      </c>
      <c r="H699" s="4" t="s">
        <v>115</v>
      </c>
      <c r="K699" s="4" t="s">
        <v>99</v>
      </c>
      <c r="L699" s="4" t="s">
        <v>98</v>
      </c>
      <c r="N699" s="13">
        <v>15</v>
      </c>
      <c r="O699" s="4">
        <f t="shared" si="33"/>
        <v>13.04</v>
      </c>
      <c r="P699" s="59">
        <f t="shared" si="34"/>
        <v>100</v>
      </c>
      <c r="Q699" s="4" t="s">
        <v>97</v>
      </c>
      <c r="R699" s="4" t="s">
        <v>191</v>
      </c>
    </row>
    <row r="700" spans="1:18" ht="22.5" customHeight="1" x14ac:dyDescent="0.25">
      <c r="A700" s="76">
        <v>46109</v>
      </c>
      <c r="B700" s="4" t="s">
        <v>804</v>
      </c>
      <c r="C700" s="4" t="s">
        <v>79</v>
      </c>
      <c r="D700" s="59">
        <v>10000</v>
      </c>
      <c r="E700" s="4" t="s">
        <v>22</v>
      </c>
      <c r="F700" s="4" t="s">
        <v>249</v>
      </c>
      <c r="G700" s="18" t="s">
        <v>448</v>
      </c>
      <c r="H700" s="4" t="s">
        <v>622</v>
      </c>
      <c r="K700" s="4" t="s">
        <v>449</v>
      </c>
      <c r="L700" s="4" t="s">
        <v>98</v>
      </c>
      <c r="N700" s="13">
        <v>0</v>
      </c>
      <c r="O700" s="4">
        <f t="shared" si="33"/>
        <v>0</v>
      </c>
      <c r="P700" s="59">
        <f t="shared" si="34"/>
        <v>10000</v>
      </c>
      <c r="Q700" s="4" t="s">
        <v>97</v>
      </c>
      <c r="R700" s="4" t="s">
        <v>191</v>
      </c>
    </row>
    <row r="701" spans="1:18" ht="22.5" customHeight="1" x14ac:dyDescent="0.25">
      <c r="A701" s="76">
        <v>46109</v>
      </c>
      <c r="B701" s="4" t="s">
        <v>251</v>
      </c>
      <c r="C701" s="4" t="s">
        <v>79</v>
      </c>
      <c r="D701" s="59">
        <v>500</v>
      </c>
      <c r="E701" s="4" t="s">
        <v>22</v>
      </c>
      <c r="F701" s="4" t="s">
        <v>251</v>
      </c>
      <c r="H701" s="4" t="s">
        <v>251</v>
      </c>
      <c r="K701" s="4" t="s">
        <v>385</v>
      </c>
      <c r="L701" s="4" t="s">
        <v>98</v>
      </c>
      <c r="N701" s="13">
        <v>0</v>
      </c>
      <c r="O701" s="4">
        <f t="shared" si="33"/>
        <v>0</v>
      </c>
      <c r="P701" s="59">
        <f t="shared" si="34"/>
        <v>500</v>
      </c>
      <c r="Q701" s="4" t="s">
        <v>97</v>
      </c>
      <c r="R701" s="4" t="s">
        <v>191</v>
      </c>
    </row>
    <row r="702" spans="1:18" ht="22.5" customHeight="1" x14ac:dyDescent="0.25">
      <c r="A702" s="76">
        <v>46109</v>
      </c>
      <c r="B702" s="4" t="s">
        <v>805</v>
      </c>
      <c r="C702" s="4" t="s">
        <v>79</v>
      </c>
      <c r="D702" s="59">
        <v>1593</v>
      </c>
      <c r="E702" s="4" t="s">
        <v>22</v>
      </c>
      <c r="F702" s="4" t="s">
        <v>166</v>
      </c>
      <c r="G702" s="18" t="s">
        <v>448</v>
      </c>
      <c r="H702" s="4" t="s">
        <v>80</v>
      </c>
      <c r="K702" s="4" t="s">
        <v>99</v>
      </c>
      <c r="L702" s="4" t="s">
        <v>98</v>
      </c>
      <c r="N702" s="13">
        <v>15</v>
      </c>
      <c r="O702" s="4">
        <f t="shared" si="33"/>
        <v>238.95</v>
      </c>
      <c r="P702" s="59">
        <f t="shared" si="34"/>
        <v>1831.95</v>
      </c>
      <c r="Q702" s="4" t="s">
        <v>97</v>
      </c>
      <c r="R702" s="4" t="s">
        <v>191</v>
      </c>
    </row>
    <row r="703" spans="1:18" ht="22.5" customHeight="1" x14ac:dyDescent="0.25">
      <c r="A703" s="76">
        <v>46109</v>
      </c>
      <c r="B703" s="4" t="s">
        <v>695</v>
      </c>
      <c r="C703" s="4" t="s">
        <v>79</v>
      </c>
      <c r="D703" s="59">
        <v>115</v>
      </c>
      <c r="E703" s="4" t="s">
        <v>22</v>
      </c>
      <c r="F703" s="4" t="s">
        <v>568</v>
      </c>
      <c r="H703" s="4" t="s">
        <v>543</v>
      </c>
      <c r="K703" s="4" t="s">
        <v>564</v>
      </c>
      <c r="L703" s="4" t="s">
        <v>154</v>
      </c>
      <c r="N703" s="13">
        <v>0</v>
      </c>
      <c r="O703" s="4">
        <f t="shared" si="33"/>
        <v>0</v>
      </c>
      <c r="P703" s="59">
        <f t="shared" si="34"/>
        <v>115</v>
      </c>
      <c r="Q703" s="4" t="s">
        <v>97</v>
      </c>
      <c r="R703" s="4" t="s">
        <v>137</v>
      </c>
    </row>
    <row r="704" spans="1:18" s="6" customFormat="1" ht="22.5" customHeight="1" x14ac:dyDescent="0.25">
      <c r="A704" s="83">
        <v>46109</v>
      </c>
      <c r="B704" s="6" t="s">
        <v>807</v>
      </c>
      <c r="C704" s="6" t="s">
        <v>88</v>
      </c>
      <c r="D704" s="60">
        <v>3000</v>
      </c>
      <c r="E704" s="6" t="s">
        <v>22</v>
      </c>
      <c r="F704" s="6" t="s">
        <v>89</v>
      </c>
      <c r="G704" s="6" t="s">
        <v>806</v>
      </c>
      <c r="H704" s="6" t="s">
        <v>196</v>
      </c>
      <c r="K704" s="6" t="s">
        <v>213</v>
      </c>
      <c r="L704" s="6" t="s">
        <v>86</v>
      </c>
      <c r="N704" s="14">
        <v>0</v>
      </c>
      <c r="O704" s="6">
        <f t="shared" si="33"/>
        <v>0</v>
      </c>
      <c r="P704" s="60">
        <f t="shared" si="34"/>
        <v>3000</v>
      </c>
      <c r="Q704" s="6" t="s">
        <v>97</v>
      </c>
      <c r="R704" s="6" t="s">
        <v>808</v>
      </c>
    </row>
    <row r="705" spans="1:18" ht="22.5" customHeight="1" x14ac:dyDescent="0.25">
      <c r="A705" s="76">
        <v>46109</v>
      </c>
      <c r="B705" s="4" t="s">
        <v>257</v>
      </c>
      <c r="C705" s="4" t="s">
        <v>79</v>
      </c>
      <c r="D705" s="59">
        <v>86.96</v>
      </c>
      <c r="E705" s="4" t="s">
        <v>22</v>
      </c>
      <c r="F705" s="4" t="s">
        <v>115</v>
      </c>
      <c r="G705" s="18" t="s">
        <v>806</v>
      </c>
      <c r="H705" s="4" t="s">
        <v>115</v>
      </c>
      <c r="K705" s="4" t="s">
        <v>99</v>
      </c>
      <c r="L705" s="4" t="s">
        <v>98</v>
      </c>
      <c r="N705" s="13">
        <v>15</v>
      </c>
      <c r="O705" s="4">
        <f t="shared" ref="O705" si="35">IF(OR(D705="", N705=""), "", ROUND(D705 * N705 / 100, 2))</f>
        <v>13.04</v>
      </c>
      <c r="P705" s="59">
        <f t="shared" ref="P705" si="36">IF(D705="", "", D705 + O705)</f>
        <v>100</v>
      </c>
      <c r="Q705" s="4" t="s">
        <v>97</v>
      </c>
      <c r="R705" s="4" t="s">
        <v>191</v>
      </c>
    </row>
    <row r="706" spans="1:18" ht="22.5" customHeight="1" x14ac:dyDescent="0.25">
      <c r="A706" s="76">
        <v>46109</v>
      </c>
      <c r="B706" s="4" t="s">
        <v>809</v>
      </c>
      <c r="C706" s="4" t="s">
        <v>79</v>
      </c>
      <c r="D706" s="59">
        <v>600</v>
      </c>
      <c r="E706" s="4" t="s">
        <v>22</v>
      </c>
      <c r="F706" s="4" t="s">
        <v>253</v>
      </c>
      <c r="H706" s="4" t="s">
        <v>626</v>
      </c>
      <c r="K706" s="4" t="s">
        <v>810</v>
      </c>
      <c r="L706" s="4" t="s">
        <v>98</v>
      </c>
      <c r="N706" s="13">
        <v>0</v>
      </c>
      <c r="O706" s="4">
        <f t="shared" si="33"/>
        <v>0</v>
      </c>
      <c r="P706" s="59">
        <f t="shared" si="34"/>
        <v>600</v>
      </c>
      <c r="Q706" s="4" t="s">
        <v>97</v>
      </c>
      <c r="R706" s="4" t="s">
        <v>137</v>
      </c>
    </row>
    <row r="707" spans="1:18" ht="22.5" customHeight="1" x14ac:dyDescent="0.25">
      <c r="A707" s="76">
        <v>46109</v>
      </c>
      <c r="B707" s="4" t="s">
        <v>75</v>
      </c>
      <c r="C707" s="4" t="s">
        <v>79</v>
      </c>
      <c r="D707" s="59">
        <v>32</v>
      </c>
      <c r="E707" s="4" t="s">
        <v>22</v>
      </c>
      <c r="F707" s="4" t="s">
        <v>57</v>
      </c>
      <c r="H707" s="4" t="s">
        <v>81</v>
      </c>
      <c r="K707" s="4" t="s">
        <v>99</v>
      </c>
      <c r="L707" s="4" t="s">
        <v>98</v>
      </c>
      <c r="N707" s="13">
        <v>0</v>
      </c>
      <c r="O707" s="4">
        <f t="shared" si="33"/>
        <v>0</v>
      </c>
      <c r="P707" s="59">
        <f t="shared" si="34"/>
        <v>32</v>
      </c>
      <c r="Q707" s="4" t="s">
        <v>97</v>
      </c>
      <c r="R707" s="4" t="s">
        <v>137</v>
      </c>
    </row>
    <row r="708" spans="1:18" ht="22.5" customHeight="1" x14ac:dyDescent="0.25">
      <c r="A708" s="76">
        <v>46109</v>
      </c>
      <c r="B708" s="4" t="s">
        <v>811</v>
      </c>
      <c r="C708" s="4" t="s">
        <v>79</v>
      </c>
      <c r="D708" s="59">
        <v>32</v>
      </c>
      <c r="E708" s="4" t="s">
        <v>22</v>
      </c>
      <c r="F708" s="4" t="s">
        <v>166</v>
      </c>
      <c r="G708" s="18" t="s">
        <v>806</v>
      </c>
      <c r="H708" s="4" t="s">
        <v>80</v>
      </c>
      <c r="K708" s="4" t="s">
        <v>99</v>
      </c>
      <c r="L708" s="4" t="s">
        <v>98</v>
      </c>
      <c r="N708" s="13">
        <v>0</v>
      </c>
      <c r="O708" s="4">
        <f t="shared" si="33"/>
        <v>0</v>
      </c>
      <c r="P708" s="59">
        <f t="shared" si="34"/>
        <v>32</v>
      </c>
      <c r="Q708" s="4" t="s">
        <v>97</v>
      </c>
      <c r="R708" s="4" t="s">
        <v>191</v>
      </c>
    </row>
    <row r="709" spans="1:18" ht="22.5" customHeight="1" x14ac:dyDescent="0.25">
      <c r="A709" s="76">
        <v>46109</v>
      </c>
      <c r="B709" s="4" t="s">
        <v>812</v>
      </c>
      <c r="C709" s="4" t="s">
        <v>79</v>
      </c>
      <c r="D709" s="59">
        <v>2580</v>
      </c>
      <c r="E709" s="4" t="s">
        <v>22</v>
      </c>
      <c r="F709" s="4" t="s">
        <v>166</v>
      </c>
      <c r="G709" s="18" t="s">
        <v>806</v>
      </c>
      <c r="H709" s="4" t="s">
        <v>80</v>
      </c>
      <c r="K709" s="4" t="s">
        <v>813</v>
      </c>
      <c r="L709" s="4" t="s">
        <v>98</v>
      </c>
      <c r="N709" s="13">
        <v>0</v>
      </c>
      <c r="O709" s="4">
        <f t="shared" si="33"/>
        <v>0</v>
      </c>
      <c r="P709" s="59">
        <f t="shared" si="34"/>
        <v>2580</v>
      </c>
      <c r="Q709" s="4" t="s">
        <v>97</v>
      </c>
      <c r="R709" s="4" t="s">
        <v>191</v>
      </c>
    </row>
    <row r="710" spans="1:18" ht="22.5" customHeight="1" x14ac:dyDescent="0.25">
      <c r="A710" s="76">
        <v>46109</v>
      </c>
      <c r="B710" s="4" t="s">
        <v>814</v>
      </c>
      <c r="C710" s="4" t="s">
        <v>79</v>
      </c>
      <c r="D710" s="59">
        <v>300</v>
      </c>
      <c r="E710" s="4" t="s">
        <v>22</v>
      </c>
      <c r="F710" s="4" t="s">
        <v>252</v>
      </c>
      <c r="H710" s="4" t="s">
        <v>252</v>
      </c>
      <c r="K710" s="4" t="s">
        <v>815</v>
      </c>
      <c r="L710" s="4" t="s">
        <v>98</v>
      </c>
      <c r="N710" s="13">
        <v>0</v>
      </c>
      <c r="O710" s="4">
        <f t="shared" si="33"/>
        <v>0</v>
      </c>
      <c r="P710" s="59">
        <f t="shared" si="34"/>
        <v>300</v>
      </c>
      <c r="Q710" s="4" t="s">
        <v>97</v>
      </c>
      <c r="R710" s="4" t="s">
        <v>137</v>
      </c>
    </row>
    <row r="711" spans="1:18" ht="22.5" customHeight="1" x14ac:dyDescent="0.25">
      <c r="A711" s="76">
        <v>46109</v>
      </c>
      <c r="B711" s="4" t="s">
        <v>816</v>
      </c>
      <c r="C711" s="4" t="s">
        <v>79</v>
      </c>
      <c r="D711" s="59">
        <v>100</v>
      </c>
      <c r="E711" s="4" t="s">
        <v>22</v>
      </c>
      <c r="F711" s="4" t="s">
        <v>59</v>
      </c>
      <c r="G711" s="18" t="s">
        <v>806</v>
      </c>
      <c r="H711" s="4" t="s">
        <v>59</v>
      </c>
      <c r="K711" s="4" t="s">
        <v>99</v>
      </c>
      <c r="L711" s="4" t="s">
        <v>98</v>
      </c>
      <c r="N711" s="13">
        <v>0</v>
      </c>
      <c r="O711" s="4">
        <f t="shared" si="33"/>
        <v>0</v>
      </c>
      <c r="P711" s="59">
        <f t="shared" si="34"/>
        <v>100</v>
      </c>
      <c r="Q711" s="4" t="s">
        <v>97</v>
      </c>
      <c r="R711" s="4" t="s">
        <v>191</v>
      </c>
    </row>
    <row r="712" spans="1:18" ht="22.5" customHeight="1" x14ac:dyDescent="0.25">
      <c r="A712" s="76">
        <v>46109</v>
      </c>
      <c r="B712" s="4" t="s">
        <v>75</v>
      </c>
      <c r="C712" s="4" t="s">
        <v>79</v>
      </c>
      <c r="D712" s="59">
        <v>26</v>
      </c>
      <c r="E712" s="4" t="s">
        <v>22</v>
      </c>
      <c r="F712" s="4" t="s">
        <v>57</v>
      </c>
      <c r="G712" s="18" t="s">
        <v>806</v>
      </c>
      <c r="H712" s="4" t="s">
        <v>81</v>
      </c>
      <c r="K712" s="4" t="s">
        <v>99</v>
      </c>
      <c r="L712" s="4" t="s">
        <v>98</v>
      </c>
      <c r="N712" s="13">
        <v>15</v>
      </c>
      <c r="O712" s="4">
        <f t="shared" si="33"/>
        <v>3.9</v>
      </c>
      <c r="P712" s="59">
        <f t="shared" si="34"/>
        <v>29.9</v>
      </c>
      <c r="Q712" s="4" t="s">
        <v>97</v>
      </c>
      <c r="R712" s="4" t="s">
        <v>191</v>
      </c>
    </row>
    <row r="713" spans="1:18" ht="22.5" customHeight="1" x14ac:dyDescent="0.25">
      <c r="A713" s="76">
        <v>46109</v>
      </c>
      <c r="B713" s="4" t="s">
        <v>695</v>
      </c>
      <c r="C713" s="4" t="s">
        <v>79</v>
      </c>
      <c r="D713" s="59">
        <v>300</v>
      </c>
      <c r="E713" s="4" t="s">
        <v>22</v>
      </c>
      <c r="F713" s="4" t="s">
        <v>253</v>
      </c>
      <c r="H713" s="4" t="s">
        <v>626</v>
      </c>
      <c r="K713" s="4" t="s">
        <v>153</v>
      </c>
      <c r="L713" s="4" t="s">
        <v>154</v>
      </c>
      <c r="N713" s="13">
        <v>0</v>
      </c>
      <c r="O713" s="4">
        <f t="shared" si="33"/>
        <v>0</v>
      </c>
      <c r="P713" s="59">
        <f t="shared" si="34"/>
        <v>300</v>
      </c>
      <c r="Q713" s="4" t="s">
        <v>97</v>
      </c>
      <c r="R713" s="4" t="s">
        <v>137</v>
      </c>
    </row>
    <row r="714" spans="1:18" ht="22.5" customHeight="1" x14ac:dyDescent="0.25">
      <c r="A714" s="76">
        <v>46109</v>
      </c>
      <c r="B714" s="4" t="s">
        <v>817</v>
      </c>
      <c r="C714" s="4" t="s">
        <v>79</v>
      </c>
      <c r="D714" s="59">
        <v>600</v>
      </c>
      <c r="E714" s="4" t="s">
        <v>22</v>
      </c>
      <c r="F714" s="4" t="s">
        <v>249</v>
      </c>
      <c r="G714" s="18" t="s">
        <v>448</v>
      </c>
      <c r="H714" s="4" t="s">
        <v>622</v>
      </c>
      <c r="K714" s="4" t="s">
        <v>818</v>
      </c>
      <c r="L714" s="4" t="s">
        <v>98</v>
      </c>
      <c r="N714" s="13">
        <v>0</v>
      </c>
      <c r="O714" s="4">
        <f t="shared" si="33"/>
        <v>0</v>
      </c>
      <c r="P714" s="59">
        <f t="shared" si="34"/>
        <v>600</v>
      </c>
      <c r="Q714" s="4" t="s">
        <v>97</v>
      </c>
      <c r="R714" s="4" t="s">
        <v>191</v>
      </c>
    </row>
    <row r="715" spans="1:18" ht="22.5" customHeight="1" x14ac:dyDescent="0.25">
      <c r="A715" s="76">
        <v>46110</v>
      </c>
      <c r="B715" s="4" t="s">
        <v>257</v>
      </c>
      <c r="C715" s="4" t="s">
        <v>79</v>
      </c>
      <c r="D715" s="59">
        <v>143.4</v>
      </c>
      <c r="E715" s="4" t="s">
        <v>22</v>
      </c>
      <c r="F715" s="4" t="s">
        <v>115</v>
      </c>
      <c r="G715" s="18" t="s">
        <v>448</v>
      </c>
      <c r="H715" s="4" t="s">
        <v>115</v>
      </c>
      <c r="K715" s="4" t="s">
        <v>99</v>
      </c>
      <c r="L715" s="4" t="s">
        <v>98</v>
      </c>
      <c r="N715" s="13">
        <v>15</v>
      </c>
      <c r="O715" s="4">
        <f t="shared" si="33"/>
        <v>21.51</v>
      </c>
      <c r="P715" s="59">
        <f t="shared" si="34"/>
        <v>164.91</v>
      </c>
      <c r="Q715" s="4" t="s">
        <v>97</v>
      </c>
      <c r="R715" s="4" t="s">
        <v>191</v>
      </c>
    </row>
    <row r="716" spans="1:18" ht="22.5" customHeight="1" x14ac:dyDescent="0.25">
      <c r="A716" s="76">
        <v>46110</v>
      </c>
      <c r="B716" s="4" t="s">
        <v>75</v>
      </c>
      <c r="C716" s="4" t="s">
        <v>79</v>
      </c>
      <c r="D716" s="59">
        <v>24</v>
      </c>
      <c r="E716" s="4" t="s">
        <v>22</v>
      </c>
      <c r="F716" s="4" t="s">
        <v>57</v>
      </c>
      <c r="G716" s="18" t="s">
        <v>448</v>
      </c>
      <c r="H716" s="4" t="s">
        <v>81</v>
      </c>
      <c r="K716" s="4" t="s">
        <v>99</v>
      </c>
      <c r="L716" s="4" t="s">
        <v>98</v>
      </c>
      <c r="N716" s="13">
        <v>15</v>
      </c>
      <c r="O716" s="4">
        <f t="shared" si="33"/>
        <v>3.6</v>
      </c>
      <c r="P716" s="59">
        <f t="shared" si="34"/>
        <v>27.6</v>
      </c>
      <c r="Q716" s="4" t="s">
        <v>97</v>
      </c>
      <c r="R716" s="4" t="s">
        <v>191</v>
      </c>
    </row>
    <row r="717" spans="1:18" ht="22.5" customHeight="1" x14ac:dyDescent="0.25">
      <c r="A717" s="76">
        <v>46110</v>
      </c>
      <c r="B717" s="4" t="s">
        <v>318</v>
      </c>
      <c r="C717" s="4" t="s">
        <v>79</v>
      </c>
      <c r="D717" s="59">
        <v>1366</v>
      </c>
      <c r="E717" s="4" t="s">
        <v>22</v>
      </c>
      <c r="F717" s="4" t="s">
        <v>166</v>
      </c>
      <c r="G717" s="18" t="s">
        <v>448</v>
      </c>
      <c r="H717" s="4" t="s">
        <v>80</v>
      </c>
      <c r="K717" s="4" t="s">
        <v>99</v>
      </c>
      <c r="L717" s="4" t="s">
        <v>98</v>
      </c>
      <c r="N717" s="13">
        <v>15</v>
      </c>
      <c r="O717" s="4">
        <f t="shared" si="33"/>
        <v>204.9</v>
      </c>
      <c r="P717" s="59">
        <f t="shared" si="34"/>
        <v>1570.9</v>
      </c>
      <c r="Q717" s="4" t="s">
        <v>97</v>
      </c>
      <c r="R717" s="4" t="s">
        <v>191</v>
      </c>
    </row>
    <row r="718" spans="1:18" ht="22.5" customHeight="1" x14ac:dyDescent="0.25">
      <c r="A718" s="76">
        <v>46111</v>
      </c>
      <c r="B718" s="4" t="s">
        <v>819</v>
      </c>
      <c r="C718" s="4" t="s">
        <v>79</v>
      </c>
      <c r="D718" s="59">
        <v>1500</v>
      </c>
      <c r="E718" s="4" t="s">
        <v>22</v>
      </c>
      <c r="F718" s="4" t="s">
        <v>249</v>
      </c>
      <c r="G718" s="18" t="s">
        <v>448</v>
      </c>
      <c r="H718" s="4" t="s">
        <v>622</v>
      </c>
      <c r="K718" s="4" t="s">
        <v>820</v>
      </c>
      <c r="L718" s="4" t="s">
        <v>98</v>
      </c>
      <c r="N718" s="13">
        <v>0</v>
      </c>
      <c r="O718" s="4">
        <f t="shared" si="33"/>
        <v>0</v>
      </c>
      <c r="P718" s="59">
        <f t="shared" si="34"/>
        <v>1500</v>
      </c>
      <c r="Q718" s="4" t="s">
        <v>97</v>
      </c>
      <c r="R718" s="4" t="s">
        <v>191</v>
      </c>
    </row>
    <row r="719" spans="1:18" ht="22.5" customHeight="1" x14ac:dyDescent="0.25">
      <c r="A719" s="76">
        <v>46111</v>
      </c>
      <c r="B719" s="4" t="s">
        <v>821</v>
      </c>
      <c r="C719" s="4" t="s">
        <v>79</v>
      </c>
      <c r="D719" s="59">
        <v>2500</v>
      </c>
      <c r="E719" s="4" t="s">
        <v>22</v>
      </c>
      <c r="F719" s="4" t="s">
        <v>249</v>
      </c>
      <c r="G719" s="18" t="s">
        <v>448</v>
      </c>
      <c r="H719" s="4" t="s">
        <v>622</v>
      </c>
      <c r="K719" s="4" t="s">
        <v>99</v>
      </c>
      <c r="L719" s="4" t="s">
        <v>98</v>
      </c>
      <c r="N719" s="13">
        <v>0</v>
      </c>
      <c r="O719" s="4">
        <f t="shared" si="33"/>
        <v>0</v>
      </c>
      <c r="P719" s="59">
        <f t="shared" si="34"/>
        <v>2500</v>
      </c>
      <c r="Q719" s="4" t="s">
        <v>97</v>
      </c>
      <c r="R719" s="4" t="s">
        <v>191</v>
      </c>
    </row>
    <row r="720" spans="1:18" ht="22.5" customHeight="1" x14ac:dyDescent="0.25">
      <c r="A720" s="76">
        <v>46112</v>
      </c>
      <c r="B720" s="4" t="s">
        <v>822</v>
      </c>
      <c r="C720" s="4" t="s">
        <v>79</v>
      </c>
      <c r="D720" s="59">
        <v>43.48</v>
      </c>
      <c r="E720" s="4" t="s">
        <v>22</v>
      </c>
      <c r="F720" s="4" t="s">
        <v>166</v>
      </c>
      <c r="G720" s="18" t="s">
        <v>448</v>
      </c>
      <c r="H720" s="4" t="s">
        <v>80</v>
      </c>
      <c r="K720" s="4" t="s">
        <v>99</v>
      </c>
      <c r="L720" s="4" t="s">
        <v>98</v>
      </c>
      <c r="N720" s="13">
        <v>15</v>
      </c>
      <c r="O720" s="4">
        <f t="shared" si="33"/>
        <v>6.52</v>
      </c>
      <c r="P720" s="59">
        <f t="shared" si="34"/>
        <v>50</v>
      </c>
      <c r="Q720" s="4" t="s">
        <v>97</v>
      </c>
      <c r="R720" s="4" t="s">
        <v>191</v>
      </c>
    </row>
    <row r="721" spans="1:18" ht="22.5" customHeight="1" x14ac:dyDescent="0.25">
      <c r="A721" s="76">
        <v>46113</v>
      </c>
      <c r="B721" s="4" t="s">
        <v>823</v>
      </c>
      <c r="C721" s="4" t="s">
        <v>79</v>
      </c>
      <c r="D721" s="59">
        <v>1000</v>
      </c>
      <c r="E721" s="4" t="s">
        <v>22</v>
      </c>
      <c r="F721" s="4" t="s">
        <v>249</v>
      </c>
      <c r="G721" s="18" t="s">
        <v>448</v>
      </c>
      <c r="H721" s="4" t="s">
        <v>80</v>
      </c>
      <c r="K721" s="4" t="s">
        <v>449</v>
      </c>
      <c r="L721" s="4" t="s">
        <v>98</v>
      </c>
      <c r="N721" s="13">
        <v>0</v>
      </c>
      <c r="O721" s="4">
        <f t="shared" si="33"/>
        <v>0</v>
      </c>
      <c r="P721" s="59">
        <f t="shared" si="34"/>
        <v>1000</v>
      </c>
      <c r="Q721" s="4" t="s">
        <v>97</v>
      </c>
      <c r="R721" s="4" t="s">
        <v>191</v>
      </c>
    </row>
    <row r="722" spans="1:18" ht="22.5" customHeight="1" x14ac:dyDescent="0.25">
      <c r="A722" s="76">
        <v>46113</v>
      </c>
      <c r="B722" s="4" t="s">
        <v>318</v>
      </c>
      <c r="C722" s="4" t="s">
        <v>79</v>
      </c>
      <c r="D722" s="13">
        <v>782</v>
      </c>
      <c r="E722" s="4" t="s">
        <v>22</v>
      </c>
      <c r="F722" s="4" t="s">
        <v>166</v>
      </c>
      <c r="G722" s="18" t="s">
        <v>448</v>
      </c>
      <c r="H722" s="4" t="s">
        <v>80</v>
      </c>
      <c r="K722" s="4" t="s">
        <v>99</v>
      </c>
      <c r="L722" s="4" t="s">
        <v>98</v>
      </c>
      <c r="N722" s="13">
        <v>15</v>
      </c>
      <c r="O722" s="4">
        <f t="shared" si="33"/>
        <v>117.3</v>
      </c>
      <c r="P722" s="59">
        <f t="shared" si="34"/>
        <v>899.3</v>
      </c>
      <c r="Q722" s="4" t="s">
        <v>97</v>
      </c>
      <c r="R722" s="4" t="s">
        <v>191</v>
      </c>
    </row>
    <row r="723" spans="1:18" ht="22.5" customHeight="1" x14ac:dyDescent="0.25">
      <c r="A723" s="76">
        <v>46113</v>
      </c>
      <c r="B723" s="4" t="s">
        <v>823</v>
      </c>
      <c r="C723" s="4" t="s">
        <v>79</v>
      </c>
      <c r="D723" s="59">
        <v>250</v>
      </c>
      <c r="E723" s="4" t="s">
        <v>22</v>
      </c>
      <c r="F723" s="4" t="s">
        <v>249</v>
      </c>
      <c r="G723" s="18" t="s">
        <v>448</v>
      </c>
      <c r="H723" s="4" t="s">
        <v>622</v>
      </c>
      <c r="K723" s="4" t="s">
        <v>449</v>
      </c>
      <c r="L723" s="4" t="s">
        <v>98</v>
      </c>
      <c r="N723" s="13">
        <v>0</v>
      </c>
      <c r="O723" s="4">
        <f t="shared" si="33"/>
        <v>0</v>
      </c>
      <c r="P723" s="59">
        <f t="shared" si="34"/>
        <v>250</v>
      </c>
      <c r="Q723" s="4" t="s">
        <v>97</v>
      </c>
      <c r="R723" s="4" t="s">
        <v>191</v>
      </c>
    </row>
    <row r="724" spans="1:18" ht="22.5" customHeight="1" x14ac:dyDescent="0.25">
      <c r="A724" s="76">
        <v>46113</v>
      </c>
      <c r="B724" s="4" t="s">
        <v>318</v>
      </c>
      <c r="C724" s="4" t="s">
        <v>79</v>
      </c>
      <c r="D724" s="59">
        <v>70</v>
      </c>
      <c r="E724" s="4" t="s">
        <v>22</v>
      </c>
      <c r="F724" s="4" t="s">
        <v>166</v>
      </c>
      <c r="G724" s="18" t="s">
        <v>448</v>
      </c>
      <c r="H724" s="4" t="s">
        <v>80</v>
      </c>
      <c r="K724" s="4" t="s">
        <v>99</v>
      </c>
      <c r="L724" s="4" t="s">
        <v>98</v>
      </c>
      <c r="N724" s="13">
        <v>15</v>
      </c>
      <c r="O724" s="4">
        <f t="shared" si="33"/>
        <v>10.5</v>
      </c>
      <c r="P724" s="59">
        <f t="shared" si="34"/>
        <v>80.5</v>
      </c>
      <c r="Q724" s="4" t="s">
        <v>97</v>
      </c>
      <c r="R724" s="4" t="s">
        <v>191</v>
      </c>
    </row>
    <row r="725" spans="1:18" ht="22.5" customHeight="1" x14ac:dyDescent="0.25">
      <c r="A725" s="76">
        <v>46113</v>
      </c>
      <c r="B725" s="4" t="s">
        <v>824</v>
      </c>
      <c r="C725" s="4" t="s">
        <v>79</v>
      </c>
      <c r="D725" s="59">
        <v>2000</v>
      </c>
      <c r="E725" s="4" t="s">
        <v>22</v>
      </c>
      <c r="F725" s="4" t="s">
        <v>166</v>
      </c>
      <c r="G725" s="18" t="s">
        <v>806</v>
      </c>
      <c r="H725" s="4" t="s">
        <v>80</v>
      </c>
      <c r="K725" s="4" t="s">
        <v>99</v>
      </c>
      <c r="L725" s="4" t="s">
        <v>98</v>
      </c>
      <c r="N725" s="13">
        <v>0</v>
      </c>
      <c r="O725" s="4">
        <f t="shared" si="33"/>
        <v>0</v>
      </c>
      <c r="P725" s="59">
        <f t="shared" si="34"/>
        <v>2000</v>
      </c>
      <c r="Q725" s="4" t="s">
        <v>97</v>
      </c>
      <c r="R725" s="4" t="s">
        <v>191</v>
      </c>
    </row>
    <row r="726" spans="1:18" ht="22.5" customHeight="1" x14ac:dyDescent="0.25">
      <c r="A726" s="76">
        <v>46114</v>
      </c>
      <c r="B726" s="4" t="s">
        <v>825</v>
      </c>
      <c r="C726" s="4" t="s">
        <v>79</v>
      </c>
      <c r="D726" s="59">
        <v>150</v>
      </c>
      <c r="E726" s="4" t="s">
        <v>22</v>
      </c>
      <c r="F726" s="4" t="s">
        <v>166</v>
      </c>
      <c r="G726" s="18" t="s">
        <v>806</v>
      </c>
      <c r="H726" s="4" t="s">
        <v>80</v>
      </c>
      <c r="K726" s="4" t="s">
        <v>99</v>
      </c>
      <c r="L726" s="4" t="s">
        <v>98</v>
      </c>
      <c r="N726" s="13">
        <v>0</v>
      </c>
      <c r="O726" s="4">
        <f t="shared" si="33"/>
        <v>0</v>
      </c>
      <c r="P726" s="59">
        <f t="shared" si="34"/>
        <v>150</v>
      </c>
      <c r="Q726" s="4" t="s">
        <v>97</v>
      </c>
      <c r="R726" s="4" t="s">
        <v>191</v>
      </c>
    </row>
    <row r="727" spans="1:18" ht="22.5" customHeight="1" x14ac:dyDescent="0.25">
      <c r="A727" s="76">
        <v>46114</v>
      </c>
      <c r="B727" s="4" t="s">
        <v>826</v>
      </c>
      <c r="C727" s="4" t="s">
        <v>79</v>
      </c>
      <c r="D727" s="59">
        <v>5000</v>
      </c>
      <c r="E727" s="4" t="s">
        <v>22</v>
      </c>
      <c r="F727" s="4" t="s">
        <v>249</v>
      </c>
      <c r="G727" s="18" t="s">
        <v>448</v>
      </c>
      <c r="H727" s="4" t="s">
        <v>622</v>
      </c>
      <c r="K727" s="4" t="s">
        <v>99</v>
      </c>
      <c r="L727" s="4" t="s">
        <v>98</v>
      </c>
      <c r="N727" s="13">
        <v>0</v>
      </c>
      <c r="O727" s="4">
        <f t="shared" si="33"/>
        <v>0</v>
      </c>
      <c r="P727" s="59">
        <f t="shared" si="34"/>
        <v>5000</v>
      </c>
      <c r="Q727" s="4" t="s">
        <v>97</v>
      </c>
      <c r="R727" s="4" t="s">
        <v>191</v>
      </c>
    </row>
    <row r="728" spans="1:18" ht="22.5" customHeight="1" x14ac:dyDescent="0.25">
      <c r="A728" s="76">
        <v>46117</v>
      </c>
      <c r="B728" s="4" t="s">
        <v>831</v>
      </c>
      <c r="C728" s="4" t="s">
        <v>79</v>
      </c>
      <c r="D728" s="59" t="str">
        <f t="shared" ref="D728:D731" si="37">IF(AND(I728&lt;&gt;"",J728&lt;&gt;""), I728*J728, "")</f>
        <v/>
      </c>
      <c r="G728" s="18" t="s">
        <v>806</v>
      </c>
      <c r="O728" s="4" t="str">
        <f t="shared" si="33"/>
        <v/>
      </c>
      <c r="P728" s="59" t="str">
        <f t="shared" si="34"/>
        <v/>
      </c>
    </row>
    <row r="729" spans="1:18" ht="22.5" customHeight="1" x14ac:dyDescent="0.25">
      <c r="A729" s="76"/>
      <c r="B729" s="4" t="s">
        <v>832</v>
      </c>
      <c r="D729" s="59" t="str">
        <f t="shared" si="37"/>
        <v/>
      </c>
      <c r="G729" s="18" t="s">
        <v>834</v>
      </c>
      <c r="O729" s="4" t="str">
        <f t="shared" si="33"/>
        <v/>
      </c>
      <c r="P729" s="59" t="str">
        <f t="shared" si="34"/>
        <v/>
      </c>
    </row>
    <row r="730" spans="1:18" ht="22.5" customHeight="1" x14ac:dyDescent="0.25">
      <c r="A730" s="76"/>
      <c r="B730" s="4" t="s">
        <v>833</v>
      </c>
      <c r="D730" s="59" t="str">
        <f t="shared" si="37"/>
        <v/>
      </c>
      <c r="O730" s="4" t="str">
        <f t="shared" si="33"/>
        <v/>
      </c>
      <c r="P730" s="59" t="str">
        <f t="shared" si="34"/>
        <v/>
      </c>
    </row>
    <row r="731" spans="1:18" ht="22.5" customHeight="1" x14ac:dyDescent="0.25">
      <c r="D731" s="59" t="str">
        <f t="shared" si="37"/>
        <v/>
      </c>
      <c r="O731" s="4" t="str">
        <f t="shared" si="33"/>
        <v/>
      </c>
      <c r="P731" s="59" t="str">
        <f t="shared" si="34"/>
        <v/>
      </c>
    </row>
    <row r="732" spans="1:18" ht="22.5" customHeight="1" x14ac:dyDescent="0.25">
      <c r="D732" s="59" t="str">
        <f t="shared" ref="D732:D795" si="38">IF(AND(I732&lt;&gt;"",J732&lt;&gt;""), I732*J732, "")</f>
        <v/>
      </c>
      <c r="O732" s="4" t="str">
        <f t="shared" ref="O732:O795" si="39">IF(OR(D732="", N732=""), "", ROUND(D732 * N732 / 100, 2))</f>
        <v/>
      </c>
      <c r="P732" s="59" t="str">
        <f t="shared" ref="P732:P795" si="40">IF(D732="", "", D732 + O732)</f>
        <v/>
      </c>
    </row>
    <row r="733" spans="1:18" ht="22.5" customHeight="1" x14ac:dyDescent="0.25">
      <c r="D733" s="59" t="str">
        <f t="shared" si="38"/>
        <v/>
      </c>
      <c r="O733" s="4" t="str">
        <f t="shared" si="39"/>
        <v/>
      </c>
      <c r="P733" s="59" t="str">
        <f t="shared" si="40"/>
        <v/>
      </c>
    </row>
    <row r="734" spans="1:18" ht="22.5" customHeight="1" x14ac:dyDescent="0.25">
      <c r="D734" s="59" t="str">
        <f t="shared" si="38"/>
        <v/>
      </c>
      <c r="O734" s="4" t="str">
        <f t="shared" si="39"/>
        <v/>
      </c>
      <c r="P734" s="59" t="str">
        <f t="shared" si="40"/>
        <v/>
      </c>
    </row>
    <row r="735" spans="1:18" ht="22.5" customHeight="1" x14ac:dyDescent="0.25">
      <c r="D735" s="59" t="str">
        <f t="shared" si="38"/>
        <v/>
      </c>
      <c r="O735" s="4" t="str">
        <f t="shared" si="39"/>
        <v/>
      </c>
      <c r="P735" s="59" t="str">
        <f t="shared" si="40"/>
        <v/>
      </c>
    </row>
    <row r="736" spans="1:18" ht="22.5" customHeight="1" x14ac:dyDescent="0.25">
      <c r="D736" s="59" t="str">
        <f t="shared" si="38"/>
        <v/>
      </c>
      <c r="O736" s="4" t="str">
        <f t="shared" si="39"/>
        <v/>
      </c>
      <c r="P736" s="59" t="str">
        <f t="shared" si="40"/>
        <v/>
      </c>
    </row>
    <row r="737" spans="4:16" ht="22.5" customHeight="1" x14ac:dyDescent="0.25">
      <c r="D737" s="59" t="str">
        <f t="shared" si="38"/>
        <v/>
      </c>
      <c r="O737" s="4" t="str">
        <f t="shared" si="39"/>
        <v/>
      </c>
      <c r="P737" s="59" t="str">
        <f t="shared" si="40"/>
        <v/>
      </c>
    </row>
    <row r="738" spans="4:16" ht="22.5" customHeight="1" x14ac:dyDescent="0.25">
      <c r="D738" s="59" t="str">
        <f t="shared" si="38"/>
        <v/>
      </c>
      <c r="O738" s="4" t="str">
        <f t="shared" si="39"/>
        <v/>
      </c>
      <c r="P738" s="59" t="str">
        <f t="shared" si="40"/>
        <v/>
      </c>
    </row>
    <row r="739" spans="4:16" ht="22.5" customHeight="1" x14ac:dyDescent="0.25">
      <c r="D739" s="59" t="str">
        <f t="shared" si="38"/>
        <v/>
      </c>
      <c r="O739" s="4" t="str">
        <f t="shared" si="39"/>
        <v/>
      </c>
      <c r="P739" s="59" t="str">
        <f t="shared" si="40"/>
        <v/>
      </c>
    </row>
    <row r="740" spans="4:16" ht="22.5" customHeight="1" x14ac:dyDescent="0.25">
      <c r="D740" s="59" t="str">
        <f t="shared" si="38"/>
        <v/>
      </c>
      <c r="O740" s="4" t="str">
        <f t="shared" si="39"/>
        <v/>
      </c>
      <c r="P740" s="59" t="str">
        <f t="shared" si="40"/>
        <v/>
      </c>
    </row>
    <row r="741" spans="4:16" ht="22.5" customHeight="1" x14ac:dyDescent="0.25">
      <c r="D741" s="59" t="str">
        <f t="shared" si="38"/>
        <v/>
      </c>
      <c r="O741" s="4" t="str">
        <f t="shared" si="39"/>
        <v/>
      </c>
      <c r="P741" s="59" t="str">
        <f t="shared" si="40"/>
        <v/>
      </c>
    </row>
    <row r="742" spans="4:16" ht="22.5" customHeight="1" x14ac:dyDescent="0.25">
      <c r="D742" s="59" t="str">
        <f t="shared" si="38"/>
        <v/>
      </c>
      <c r="O742" s="4" t="str">
        <f t="shared" si="39"/>
        <v/>
      </c>
      <c r="P742" s="59" t="str">
        <f t="shared" si="40"/>
        <v/>
      </c>
    </row>
    <row r="743" spans="4:16" ht="22.5" customHeight="1" x14ac:dyDescent="0.25">
      <c r="D743" s="59" t="str">
        <f t="shared" si="38"/>
        <v/>
      </c>
      <c r="O743" s="4" t="str">
        <f t="shared" si="39"/>
        <v/>
      </c>
      <c r="P743" s="59" t="str">
        <f t="shared" si="40"/>
        <v/>
      </c>
    </row>
    <row r="744" spans="4:16" ht="22.5" customHeight="1" x14ac:dyDescent="0.25">
      <c r="D744" s="59" t="str">
        <f t="shared" si="38"/>
        <v/>
      </c>
      <c r="O744" s="4" t="str">
        <f t="shared" si="39"/>
        <v/>
      </c>
      <c r="P744" s="59" t="str">
        <f t="shared" si="40"/>
        <v/>
      </c>
    </row>
    <row r="745" spans="4:16" ht="22.5" customHeight="1" x14ac:dyDescent="0.25">
      <c r="D745" s="59" t="str">
        <f t="shared" si="38"/>
        <v/>
      </c>
      <c r="O745" s="4" t="str">
        <f t="shared" si="39"/>
        <v/>
      </c>
      <c r="P745" s="59" t="str">
        <f t="shared" si="40"/>
        <v/>
      </c>
    </row>
    <row r="746" spans="4:16" ht="22.5" customHeight="1" x14ac:dyDescent="0.25">
      <c r="D746" s="59" t="str">
        <f t="shared" si="38"/>
        <v/>
      </c>
      <c r="O746" s="4" t="str">
        <f t="shared" si="39"/>
        <v/>
      </c>
      <c r="P746" s="59" t="str">
        <f t="shared" si="40"/>
        <v/>
      </c>
    </row>
    <row r="747" spans="4:16" ht="22.5" customHeight="1" x14ac:dyDescent="0.25">
      <c r="D747" s="59" t="str">
        <f t="shared" si="38"/>
        <v/>
      </c>
      <c r="O747" s="4" t="str">
        <f t="shared" si="39"/>
        <v/>
      </c>
      <c r="P747" s="59" t="str">
        <f t="shared" si="40"/>
        <v/>
      </c>
    </row>
    <row r="748" spans="4:16" ht="22.5" customHeight="1" x14ac:dyDescent="0.25">
      <c r="D748" s="59" t="str">
        <f t="shared" si="38"/>
        <v/>
      </c>
      <c r="O748" s="4" t="str">
        <f t="shared" si="39"/>
        <v/>
      </c>
      <c r="P748" s="59" t="str">
        <f t="shared" si="40"/>
        <v/>
      </c>
    </row>
    <row r="749" spans="4:16" ht="22.5" customHeight="1" x14ac:dyDescent="0.25">
      <c r="D749" s="59" t="str">
        <f t="shared" si="38"/>
        <v/>
      </c>
      <c r="O749" s="4" t="str">
        <f t="shared" si="39"/>
        <v/>
      </c>
      <c r="P749" s="59" t="str">
        <f t="shared" si="40"/>
        <v/>
      </c>
    </row>
    <row r="750" spans="4:16" ht="22.5" customHeight="1" x14ac:dyDescent="0.25">
      <c r="D750" s="59" t="str">
        <f t="shared" si="38"/>
        <v/>
      </c>
      <c r="O750" s="4" t="str">
        <f t="shared" si="39"/>
        <v/>
      </c>
      <c r="P750" s="59" t="str">
        <f t="shared" si="40"/>
        <v/>
      </c>
    </row>
    <row r="751" spans="4:16" ht="22.5" customHeight="1" x14ac:dyDescent="0.25">
      <c r="D751" s="59" t="str">
        <f t="shared" si="38"/>
        <v/>
      </c>
      <c r="O751" s="4" t="str">
        <f t="shared" si="39"/>
        <v/>
      </c>
      <c r="P751" s="59" t="str">
        <f t="shared" si="40"/>
        <v/>
      </c>
    </row>
    <row r="752" spans="4:16" ht="22.5" customHeight="1" x14ac:dyDescent="0.25">
      <c r="D752" s="59" t="str">
        <f t="shared" si="38"/>
        <v/>
      </c>
      <c r="O752" s="4" t="str">
        <f t="shared" si="39"/>
        <v/>
      </c>
      <c r="P752" s="59" t="str">
        <f t="shared" si="40"/>
        <v/>
      </c>
    </row>
    <row r="753" spans="4:16" ht="22.5" customHeight="1" x14ac:dyDescent="0.25">
      <c r="D753" s="59" t="str">
        <f t="shared" si="38"/>
        <v/>
      </c>
      <c r="O753" s="4" t="str">
        <f t="shared" si="39"/>
        <v/>
      </c>
      <c r="P753" s="59" t="str">
        <f t="shared" si="40"/>
        <v/>
      </c>
    </row>
    <row r="754" spans="4:16" ht="22.5" customHeight="1" x14ac:dyDescent="0.25">
      <c r="D754" s="59" t="str">
        <f t="shared" si="38"/>
        <v/>
      </c>
      <c r="O754" s="4" t="str">
        <f t="shared" si="39"/>
        <v/>
      </c>
      <c r="P754" s="59" t="str">
        <f t="shared" si="40"/>
        <v/>
      </c>
    </row>
    <row r="755" spans="4:16" ht="22.5" customHeight="1" x14ac:dyDescent="0.25">
      <c r="D755" s="59" t="str">
        <f t="shared" si="38"/>
        <v/>
      </c>
      <c r="O755" s="4" t="str">
        <f t="shared" si="39"/>
        <v/>
      </c>
      <c r="P755" s="59" t="str">
        <f t="shared" si="40"/>
        <v/>
      </c>
    </row>
    <row r="756" spans="4:16" ht="22.5" customHeight="1" x14ac:dyDescent="0.25">
      <c r="D756" s="59" t="str">
        <f t="shared" si="38"/>
        <v/>
      </c>
      <c r="O756" s="4" t="str">
        <f t="shared" si="39"/>
        <v/>
      </c>
      <c r="P756" s="59" t="str">
        <f t="shared" si="40"/>
        <v/>
      </c>
    </row>
    <row r="757" spans="4:16" ht="22.5" customHeight="1" x14ac:dyDescent="0.25">
      <c r="D757" s="59" t="str">
        <f t="shared" si="38"/>
        <v/>
      </c>
      <c r="O757" s="4" t="str">
        <f t="shared" si="39"/>
        <v/>
      </c>
      <c r="P757" s="59" t="str">
        <f t="shared" si="40"/>
        <v/>
      </c>
    </row>
    <row r="758" spans="4:16" ht="22.5" customHeight="1" x14ac:dyDescent="0.25">
      <c r="D758" s="59" t="str">
        <f t="shared" si="38"/>
        <v/>
      </c>
      <c r="O758" s="4" t="str">
        <f t="shared" si="39"/>
        <v/>
      </c>
      <c r="P758" s="59" t="str">
        <f t="shared" si="40"/>
        <v/>
      </c>
    </row>
    <row r="759" spans="4:16" ht="22.5" customHeight="1" x14ac:dyDescent="0.25">
      <c r="D759" s="59" t="str">
        <f t="shared" si="38"/>
        <v/>
      </c>
      <c r="O759" s="4" t="str">
        <f t="shared" si="39"/>
        <v/>
      </c>
      <c r="P759" s="59" t="str">
        <f t="shared" si="40"/>
        <v/>
      </c>
    </row>
    <row r="760" spans="4:16" ht="22.5" customHeight="1" x14ac:dyDescent="0.25">
      <c r="D760" s="59" t="str">
        <f t="shared" si="38"/>
        <v/>
      </c>
      <c r="O760" s="4" t="str">
        <f t="shared" si="39"/>
        <v/>
      </c>
      <c r="P760" s="59" t="str">
        <f t="shared" si="40"/>
        <v/>
      </c>
    </row>
    <row r="761" spans="4:16" ht="22.5" customHeight="1" x14ac:dyDescent="0.25">
      <c r="D761" s="59" t="str">
        <f t="shared" si="38"/>
        <v/>
      </c>
      <c r="O761" s="4" t="str">
        <f t="shared" si="39"/>
        <v/>
      </c>
      <c r="P761" s="59" t="str">
        <f t="shared" si="40"/>
        <v/>
      </c>
    </row>
    <row r="762" spans="4:16" ht="22.5" customHeight="1" x14ac:dyDescent="0.25">
      <c r="D762" s="59" t="str">
        <f t="shared" si="38"/>
        <v/>
      </c>
      <c r="O762" s="4" t="str">
        <f t="shared" si="39"/>
        <v/>
      </c>
      <c r="P762" s="59" t="str">
        <f t="shared" si="40"/>
        <v/>
      </c>
    </row>
    <row r="763" spans="4:16" ht="22.5" customHeight="1" x14ac:dyDescent="0.25">
      <c r="D763" s="59" t="str">
        <f t="shared" si="38"/>
        <v/>
      </c>
      <c r="O763" s="4" t="str">
        <f t="shared" si="39"/>
        <v/>
      </c>
      <c r="P763" s="59" t="str">
        <f t="shared" si="40"/>
        <v/>
      </c>
    </row>
    <row r="764" spans="4:16" ht="22.5" customHeight="1" x14ac:dyDescent="0.25">
      <c r="D764" s="59" t="str">
        <f t="shared" si="38"/>
        <v/>
      </c>
      <c r="O764" s="4" t="str">
        <f t="shared" si="39"/>
        <v/>
      </c>
      <c r="P764" s="59" t="str">
        <f t="shared" si="40"/>
        <v/>
      </c>
    </row>
    <row r="765" spans="4:16" ht="22.5" customHeight="1" x14ac:dyDescent="0.25">
      <c r="D765" s="59" t="str">
        <f t="shared" si="38"/>
        <v/>
      </c>
      <c r="O765" s="4" t="str">
        <f t="shared" si="39"/>
        <v/>
      </c>
      <c r="P765" s="59" t="str">
        <f t="shared" si="40"/>
        <v/>
      </c>
    </row>
    <row r="766" spans="4:16" ht="22.5" customHeight="1" x14ac:dyDescent="0.25">
      <c r="D766" s="59" t="str">
        <f t="shared" si="38"/>
        <v/>
      </c>
      <c r="O766" s="4" t="str">
        <f t="shared" si="39"/>
        <v/>
      </c>
      <c r="P766" s="59" t="str">
        <f t="shared" si="40"/>
        <v/>
      </c>
    </row>
    <row r="767" spans="4:16" ht="22.5" customHeight="1" x14ac:dyDescent="0.25">
      <c r="D767" s="59" t="str">
        <f t="shared" si="38"/>
        <v/>
      </c>
      <c r="O767" s="4" t="str">
        <f t="shared" si="39"/>
        <v/>
      </c>
      <c r="P767" s="59" t="str">
        <f t="shared" si="40"/>
        <v/>
      </c>
    </row>
    <row r="768" spans="4:16" ht="22.5" customHeight="1" x14ac:dyDescent="0.25">
      <c r="D768" s="59" t="str">
        <f t="shared" si="38"/>
        <v/>
      </c>
      <c r="O768" s="4" t="str">
        <f t="shared" si="39"/>
        <v/>
      </c>
      <c r="P768" s="59" t="str">
        <f t="shared" si="40"/>
        <v/>
      </c>
    </row>
    <row r="769" spans="4:16" ht="22.5" customHeight="1" x14ac:dyDescent="0.25">
      <c r="D769" s="59" t="str">
        <f t="shared" si="38"/>
        <v/>
      </c>
      <c r="O769" s="4" t="str">
        <f t="shared" si="39"/>
        <v/>
      </c>
      <c r="P769" s="59" t="str">
        <f t="shared" si="40"/>
        <v/>
      </c>
    </row>
    <row r="770" spans="4:16" ht="22.5" customHeight="1" x14ac:dyDescent="0.25">
      <c r="D770" s="59" t="str">
        <f t="shared" si="38"/>
        <v/>
      </c>
      <c r="O770" s="4" t="str">
        <f t="shared" si="39"/>
        <v/>
      </c>
      <c r="P770" s="59" t="str">
        <f t="shared" si="40"/>
        <v/>
      </c>
    </row>
    <row r="771" spans="4:16" ht="22.5" customHeight="1" x14ac:dyDescent="0.25">
      <c r="D771" s="59" t="str">
        <f t="shared" si="38"/>
        <v/>
      </c>
      <c r="O771" s="4" t="str">
        <f t="shared" si="39"/>
        <v/>
      </c>
      <c r="P771" s="59" t="str">
        <f t="shared" si="40"/>
        <v/>
      </c>
    </row>
    <row r="772" spans="4:16" ht="22.5" customHeight="1" x14ac:dyDescent="0.25">
      <c r="D772" s="59" t="str">
        <f t="shared" si="38"/>
        <v/>
      </c>
      <c r="O772" s="4" t="str">
        <f t="shared" si="39"/>
        <v/>
      </c>
      <c r="P772" s="59" t="str">
        <f t="shared" si="40"/>
        <v/>
      </c>
    </row>
    <row r="773" spans="4:16" ht="22.5" customHeight="1" x14ac:dyDescent="0.25">
      <c r="D773" s="59" t="str">
        <f t="shared" si="38"/>
        <v/>
      </c>
      <c r="O773" s="4" t="str">
        <f t="shared" si="39"/>
        <v/>
      </c>
      <c r="P773" s="59" t="str">
        <f t="shared" si="40"/>
        <v/>
      </c>
    </row>
    <row r="774" spans="4:16" ht="22.5" customHeight="1" x14ac:dyDescent="0.25">
      <c r="D774" s="59" t="str">
        <f t="shared" si="38"/>
        <v/>
      </c>
      <c r="O774" s="4" t="str">
        <f t="shared" si="39"/>
        <v/>
      </c>
      <c r="P774" s="59" t="str">
        <f t="shared" si="40"/>
        <v/>
      </c>
    </row>
    <row r="775" spans="4:16" ht="22.5" customHeight="1" x14ac:dyDescent="0.25">
      <c r="D775" s="59" t="str">
        <f t="shared" si="38"/>
        <v/>
      </c>
      <c r="O775" s="4" t="str">
        <f t="shared" si="39"/>
        <v/>
      </c>
      <c r="P775" s="59" t="str">
        <f t="shared" si="40"/>
        <v/>
      </c>
    </row>
    <row r="776" spans="4:16" ht="22.5" customHeight="1" x14ac:dyDescent="0.25">
      <c r="D776" s="59" t="str">
        <f t="shared" si="38"/>
        <v/>
      </c>
      <c r="O776" s="4" t="str">
        <f t="shared" si="39"/>
        <v/>
      </c>
      <c r="P776" s="59" t="str">
        <f t="shared" si="40"/>
        <v/>
      </c>
    </row>
    <row r="777" spans="4:16" ht="22.5" customHeight="1" x14ac:dyDescent="0.25">
      <c r="D777" s="59" t="str">
        <f t="shared" si="38"/>
        <v/>
      </c>
      <c r="O777" s="4" t="str">
        <f t="shared" si="39"/>
        <v/>
      </c>
      <c r="P777" s="59" t="str">
        <f t="shared" si="40"/>
        <v/>
      </c>
    </row>
    <row r="778" spans="4:16" ht="22.5" customHeight="1" x14ac:dyDescent="0.25">
      <c r="D778" s="59" t="str">
        <f t="shared" si="38"/>
        <v/>
      </c>
      <c r="O778" s="4" t="str">
        <f t="shared" si="39"/>
        <v/>
      </c>
      <c r="P778" s="59" t="str">
        <f t="shared" si="40"/>
        <v/>
      </c>
    </row>
    <row r="779" spans="4:16" ht="22.5" customHeight="1" x14ac:dyDescent="0.25">
      <c r="D779" s="59" t="str">
        <f t="shared" si="38"/>
        <v/>
      </c>
      <c r="O779" s="4" t="str">
        <f t="shared" si="39"/>
        <v/>
      </c>
      <c r="P779" s="59" t="str">
        <f t="shared" si="40"/>
        <v/>
      </c>
    </row>
    <row r="780" spans="4:16" ht="22.5" customHeight="1" x14ac:dyDescent="0.25">
      <c r="D780" s="59" t="str">
        <f t="shared" si="38"/>
        <v/>
      </c>
      <c r="O780" s="4" t="str">
        <f t="shared" si="39"/>
        <v/>
      </c>
      <c r="P780" s="59" t="str">
        <f t="shared" si="40"/>
        <v/>
      </c>
    </row>
    <row r="781" spans="4:16" ht="22.5" customHeight="1" x14ac:dyDescent="0.25">
      <c r="D781" s="59" t="str">
        <f t="shared" si="38"/>
        <v/>
      </c>
      <c r="O781" s="4" t="str">
        <f t="shared" si="39"/>
        <v/>
      </c>
      <c r="P781" s="59" t="str">
        <f t="shared" si="40"/>
        <v/>
      </c>
    </row>
    <row r="782" spans="4:16" ht="22.5" customHeight="1" x14ac:dyDescent="0.25">
      <c r="D782" s="59" t="str">
        <f t="shared" si="38"/>
        <v/>
      </c>
      <c r="O782" s="4" t="str">
        <f t="shared" si="39"/>
        <v/>
      </c>
      <c r="P782" s="59" t="str">
        <f t="shared" si="40"/>
        <v/>
      </c>
    </row>
    <row r="783" spans="4:16" ht="22.5" customHeight="1" x14ac:dyDescent="0.25">
      <c r="D783" s="59" t="str">
        <f t="shared" si="38"/>
        <v/>
      </c>
      <c r="O783" s="4" t="str">
        <f t="shared" si="39"/>
        <v/>
      </c>
      <c r="P783" s="59" t="str">
        <f t="shared" si="40"/>
        <v/>
      </c>
    </row>
    <row r="784" spans="4:16" ht="22.5" customHeight="1" x14ac:dyDescent="0.25">
      <c r="D784" s="59" t="str">
        <f t="shared" si="38"/>
        <v/>
      </c>
      <c r="O784" s="4" t="str">
        <f t="shared" si="39"/>
        <v/>
      </c>
      <c r="P784" s="59" t="str">
        <f t="shared" si="40"/>
        <v/>
      </c>
    </row>
    <row r="785" spans="4:16" ht="22.5" customHeight="1" x14ac:dyDescent="0.25">
      <c r="D785" s="59" t="str">
        <f t="shared" si="38"/>
        <v/>
      </c>
      <c r="O785" s="4" t="str">
        <f t="shared" si="39"/>
        <v/>
      </c>
      <c r="P785" s="59" t="str">
        <f t="shared" si="40"/>
        <v/>
      </c>
    </row>
    <row r="786" spans="4:16" ht="22.5" customHeight="1" x14ac:dyDescent="0.25">
      <c r="D786" s="59" t="str">
        <f t="shared" si="38"/>
        <v/>
      </c>
      <c r="O786" s="4" t="str">
        <f t="shared" si="39"/>
        <v/>
      </c>
      <c r="P786" s="59" t="str">
        <f t="shared" si="40"/>
        <v/>
      </c>
    </row>
    <row r="787" spans="4:16" ht="22.5" customHeight="1" x14ac:dyDescent="0.25">
      <c r="D787" s="59" t="str">
        <f t="shared" si="38"/>
        <v/>
      </c>
      <c r="O787" s="4" t="str">
        <f t="shared" si="39"/>
        <v/>
      </c>
      <c r="P787" s="59" t="str">
        <f t="shared" si="40"/>
        <v/>
      </c>
    </row>
    <row r="788" spans="4:16" ht="22.5" customHeight="1" x14ac:dyDescent="0.25">
      <c r="D788" s="59" t="str">
        <f t="shared" si="38"/>
        <v/>
      </c>
      <c r="O788" s="4" t="str">
        <f t="shared" si="39"/>
        <v/>
      </c>
      <c r="P788" s="59" t="str">
        <f t="shared" si="40"/>
        <v/>
      </c>
    </row>
    <row r="789" spans="4:16" ht="22.5" customHeight="1" x14ac:dyDescent="0.25">
      <c r="D789" s="59" t="str">
        <f t="shared" si="38"/>
        <v/>
      </c>
      <c r="O789" s="4" t="str">
        <f t="shared" si="39"/>
        <v/>
      </c>
      <c r="P789" s="59" t="str">
        <f t="shared" si="40"/>
        <v/>
      </c>
    </row>
    <row r="790" spans="4:16" ht="22.5" customHeight="1" x14ac:dyDescent="0.25">
      <c r="D790" s="59" t="str">
        <f t="shared" si="38"/>
        <v/>
      </c>
      <c r="O790" s="4" t="str">
        <f t="shared" si="39"/>
        <v/>
      </c>
      <c r="P790" s="59" t="str">
        <f t="shared" si="40"/>
        <v/>
      </c>
    </row>
    <row r="791" spans="4:16" ht="22.5" customHeight="1" x14ac:dyDescent="0.25">
      <c r="D791" s="59" t="str">
        <f t="shared" si="38"/>
        <v/>
      </c>
      <c r="O791" s="4" t="str">
        <f t="shared" si="39"/>
        <v/>
      </c>
      <c r="P791" s="59" t="str">
        <f t="shared" si="40"/>
        <v/>
      </c>
    </row>
    <row r="792" spans="4:16" ht="22.5" customHeight="1" x14ac:dyDescent="0.25">
      <c r="D792" s="59" t="str">
        <f t="shared" si="38"/>
        <v/>
      </c>
      <c r="O792" s="4" t="str">
        <f t="shared" si="39"/>
        <v/>
      </c>
      <c r="P792" s="59" t="str">
        <f t="shared" si="40"/>
        <v/>
      </c>
    </row>
    <row r="793" spans="4:16" ht="22.5" customHeight="1" x14ac:dyDescent="0.25">
      <c r="D793" s="59" t="str">
        <f t="shared" si="38"/>
        <v/>
      </c>
      <c r="O793" s="4" t="str">
        <f t="shared" si="39"/>
        <v/>
      </c>
      <c r="P793" s="59" t="str">
        <f t="shared" si="40"/>
        <v/>
      </c>
    </row>
    <row r="794" spans="4:16" ht="22.5" customHeight="1" x14ac:dyDescent="0.25">
      <c r="D794" s="59" t="str">
        <f t="shared" si="38"/>
        <v/>
      </c>
      <c r="O794" s="4" t="str">
        <f t="shared" si="39"/>
        <v/>
      </c>
      <c r="P794" s="59" t="str">
        <f t="shared" si="40"/>
        <v/>
      </c>
    </row>
    <row r="795" spans="4:16" ht="22.5" customHeight="1" x14ac:dyDescent="0.25">
      <c r="D795" s="59" t="str">
        <f t="shared" si="38"/>
        <v/>
      </c>
      <c r="O795" s="4" t="str">
        <f t="shared" si="39"/>
        <v/>
      </c>
      <c r="P795" s="59" t="str">
        <f t="shared" si="40"/>
        <v/>
      </c>
    </row>
    <row r="796" spans="4:16" ht="22.5" customHeight="1" x14ac:dyDescent="0.25">
      <c r="D796" s="59" t="str">
        <f t="shared" ref="D796:D859" si="41">IF(AND(I796&lt;&gt;"",J796&lt;&gt;""), I796*J796, "")</f>
        <v/>
      </c>
      <c r="O796" s="4" t="str">
        <f t="shared" ref="O796:O859" si="42">IF(OR(D796="", N796=""), "", ROUND(D796 * N796 / 100, 2))</f>
        <v/>
      </c>
      <c r="P796" s="59" t="str">
        <f t="shared" ref="P796:P859" si="43">IF(D796="", "", D796 + O796)</f>
        <v/>
      </c>
    </row>
    <row r="797" spans="4:16" ht="22.5" customHeight="1" x14ac:dyDescent="0.25">
      <c r="D797" s="59" t="str">
        <f t="shared" si="41"/>
        <v/>
      </c>
      <c r="O797" s="4" t="str">
        <f t="shared" si="42"/>
        <v/>
      </c>
      <c r="P797" s="59" t="str">
        <f t="shared" si="43"/>
        <v/>
      </c>
    </row>
    <row r="798" spans="4:16" ht="22.5" customHeight="1" x14ac:dyDescent="0.25">
      <c r="D798" s="59" t="str">
        <f t="shared" si="41"/>
        <v/>
      </c>
      <c r="O798" s="4" t="str">
        <f t="shared" si="42"/>
        <v/>
      </c>
      <c r="P798" s="59" t="str">
        <f t="shared" si="43"/>
        <v/>
      </c>
    </row>
    <row r="799" spans="4:16" ht="22.5" customHeight="1" x14ac:dyDescent="0.25">
      <c r="D799" s="59" t="str">
        <f t="shared" si="41"/>
        <v/>
      </c>
      <c r="O799" s="4" t="str">
        <f t="shared" si="42"/>
        <v/>
      </c>
      <c r="P799" s="59" t="str">
        <f t="shared" si="43"/>
        <v/>
      </c>
    </row>
    <row r="800" spans="4:16" ht="22.5" customHeight="1" x14ac:dyDescent="0.25">
      <c r="D800" s="59" t="str">
        <f t="shared" si="41"/>
        <v/>
      </c>
      <c r="O800" s="4" t="str">
        <f t="shared" si="42"/>
        <v/>
      </c>
      <c r="P800" s="59" t="str">
        <f t="shared" si="43"/>
        <v/>
      </c>
    </row>
    <row r="801" spans="4:16" ht="22.5" customHeight="1" x14ac:dyDescent="0.25">
      <c r="D801" s="59" t="str">
        <f t="shared" si="41"/>
        <v/>
      </c>
      <c r="O801" s="4" t="str">
        <f t="shared" si="42"/>
        <v/>
      </c>
      <c r="P801" s="59" t="str">
        <f t="shared" si="43"/>
        <v/>
      </c>
    </row>
    <row r="802" spans="4:16" ht="22.5" customHeight="1" x14ac:dyDescent="0.25">
      <c r="D802" s="59" t="str">
        <f t="shared" si="41"/>
        <v/>
      </c>
      <c r="O802" s="4" t="str">
        <f t="shared" si="42"/>
        <v/>
      </c>
      <c r="P802" s="59" t="str">
        <f t="shared" si="43"/>
        <v/>
      </c>
    </row>
    <row r="803" spans="4:16" ht="22.5" customHeight="1" x14ac:dyDescent="0.25">
      <c r="D803" s="59" t="str">
        <f t="shared" si="41"/>
        <v/>
      </c>
      <c r="O803" s="4" t="str">
        <f t="shared" si="42"/>
        <v/>
      </c>
      <c r="P803" s="59" t="str">
        <f t="shared" si="43"/>
        <v/>
      </c>
    </row>
    <row r="804" spans="4:16" ht="22.5" customHeight="1" x14ac:dyDescent="0.25">
      <c r="D804" s="59" t="str">
        <f t="shared" si="41"/>
        <v/>
      </c>
      <c r="O804" s="4" t="str">
        <f t="shared" si="42"/>
        <v/>
      </c>
      <c r="P804" s="59" t="str">
        <f t="shared" si="43"/>
        <v/>
      </c>
    </row>
    <row r="805" spans="4:16" ht="22.5" customHeight="1" x14ac:dyDescent="0.25">
      <c r="D805" s="59" t="str">
        <f t="shared" si="41"/>
        <v/>
      </c>
      <c r="O805" s="4" t="str">
        <f t="shared" si="42"/>
        <v/>
      </c>
      <c r="P805" s="59" t="str">
        <f t="shared" si="43"/>
        <v/>
      </c>
    </row>
    <row r="806" spans="4:16" ht="22.5" customHeight="1" x14ac:dyDescent="0.25">
      <c r="D806" s="59" t="str">
        <f t="shared" si="41"/>
        <v/>
      </c>
      <c r="O806" s="4" t="str">
        <f t="shared" si="42"/>
        <v/>
      </c>
      <c r="P806" s="59" t="str">
        <f t="shared" si="43"/>
        <v/>
      </c>
    </row>
    <row r="807" spans="4:16" ht="22.5" customHeight="1" x14ac:dyDescent="0.25">
      <c r="D807" s="59" t="str">
        <f t="shared" si="41"/>
        <v/>
      </c>
      <c r="O807" s="4" t="str">
        <f t="shared" si="42"/>
        <v/>
      </c>
      <c r="P807" s="59" t="str">
        <f t="shared" si="43"/>
        <v/>
      </c>
    </row>
    <row r="808" spans="4:16" ht="22.5" customHeight="1" x14ac:dyDescent="0.25">
      <c r="D808" s="59" t="str">
        <f t="shared" si="41"/>
        <v/>
      </c>
      <c r="O808" s="4" t="str">
        <f t="shared" si="42"/>
        <v/>
      </c>
      <c r="P808" s="59" t="str">
        <f t="shared" si="43"/>
        <v/>
      </c>
    </row>
    <row r="809" spans="4:16" ht="22.5" customHeight="1" x14ac:dyDescent="0.25">
      <c r="D809" s="59" t="str">
        <f t="shared" si="41"/>
        <v/>
      </c>
      <c r="O809" s="4" t="str">
        <f t="shared" si="42"/>
        <v/>
      </c>
      <c r="P809" s="59" t="str">
        <f t="shared" si="43"/>
        <v/>
      </c>
    </row>
    <row r="810" spans="4:16" ht="22.5" customHeight="1" x14ac:dyDescent="0.25">
      <c r="D810" s="59" t="str">
        <f t="shared" si="41"/>
        <v/>
      </c>
      <c r="O810" s="4" t="str">
        <f t="shared" si="42"/>
        <v/>
      </c>
      <c r="P810" s="59" t="str">
        <f t="shared" si="43"/>
        <v/>
      </c>
    </row>
    <row r="811" spans="4:16" ht="22.5" customHeight="1" x14ac:dyDescent="0.25">
      <c r="D811" s="59" t="str">
        <f t="shared" si="41"/>
        <v/>
      </c>
      <c r="O811" s="4" t="str">
        <f t="shared" si="42"/>
        <v/>
      </c>
      <c r="P811" s="59" t="str">
        <f t="shared" si="43"/>
        <v/>
      </c>
    </row>
    <row r="812" spans="4:16" ht="22.5" customHeight="1" x14ac:dyDescent="0.25">
      <c r="D812" s="59" t="str">
        <f t="shared" si="41"/>
        <v/>
      </c>
      <c r="O812" s="4" t="str">
        <f t="shared" si="42"/>
        <v/>
      </c>
      <c r="P812" s="59" t="str">
        <f t="shared" si="43"/>
        <v/>
      </c>
    </row>
    <row r="813" spans="4:16" ht="22.5" customHeight="1" x14ac:dyDescent="0.25">
      <c r="D813" s="59" t="str">
        <f t="shared" si="41"/>
        <v/>
      </c>
      <c r="O813" s="4" t="str">
        <f t="shared" si="42"/>
        <v/>
      </c>
      <c r="P813" s="59" t="str">
        <f t="shared" si="43"/>
        <v/>
      </c>
    </row>
    <row r="814" spans="4:16" ht="22.5" customHeight="1" x14ac:dyDescent="0.25">
      <c r="D814" s="59" t="str">
        <f t="shared" si="41"/>
        <v/>
      </c>
      <c r="O814" s="4" t="str">
        <f t="shared" si="42"/>
        <v/>
      </c>
      <c r="P814" s="59" t="str">
        <f t="shared" si="43"/>
        <v/>
      </c>
    </row>
    <row r="815" spans="4:16" ht="22.5" customHeight="1" x14ac:dyDescent="0.25">
      <c r="D815" s="59" t="str">
        <f t="shared" si="41"/>
        <v/>
      </c>
      <c r="O815" s="4" t="str">
        <f t="shared" si="42"/>
        <v/>
      </c>
      <c r="P815" s="59" t="str">
        <f t="shared" si="43"/>
        <v/>
      </c>
    </row>
    <row r="816" spans="4:16" ht="22.5" customHeight="1" x14ac:dyDescent="0.25">
      <c r="D816" s="59" t="str">
        <f t="shared" si="41"/>
        <v/>
      </c>
      <c r="O816" s="4" t="str">
        <f t="shared" si="42"/>
        <v/>
      </c>
      <c r="P816" s="59" t="str">
        <f t="shared" si="43"/>
        <v/>
      </c>
    </row>
    <row r="817" spans="4:16" ht="22.5" customHeight="1" x14ac:dyDescent="0.25">
      <c r="D817" s="59" t="str">
        <f t="shared" si="41"/>
        <v/>
      </c>
      <c r="O817" s="4" t="str">
        <f t="shared" si="42"/>
        <v/>
      </c>
      <c r="P817" s="59" t="str">
        <f t="shared" si="43"/>
        <v/>
      </c>
    </row>
    <row r="818" spans="4:16" ht="22.5" customHeight="1" x14ac:dyDescent="0.25">
      <c r="D818" s="59" t="str">
        <f t="shared" si="41"/>
        <v/>
      </c>
      <c r="O818" s="4" t="str">
        <f t="shared" si="42"/>
        <v/>
      </c>
      <c r="P818" s="59" t="str">
        <f t="shared" si="43"/>
        <v/>
      </c>
    </row>
    <row r="819" spans="4:16" ht="22.5" customHeight="1" x14ac:dyDescent="0.25">
      <c r="D819" s="59" t="str">
        <f t="shared" si="41"/>
        <v/>
      </c>
      <c r="O819" s="4" t="str">
        <f t="shared" si="42"/>
        <v/>
      </c>
      <c r="P819" s="59" t="str">
        <f t="shared" si="43"/>
        <v/>
      </c>
    </row>
    <row r="820" spans="4:16" ht="22.5" customHeight="1" x14ac:dyDescent="0.25">
      <c r="D820" s="59" t="str">
        <f t="shared" si="41"/>
        <v/>
      </c>
      <c r="O820" s="4" t="str">
        <f t="shared" si="42"/>
        <v/>
      </c>
      <c r="P820" s="59" t="str">
        <f t="shared" si="43"/>
        <v/>
      </c>
    </row>
    <row r="821" spans="4:16" ht="22.5" customHeight="1" x14ac:dyDescent="0.25">
      <c r="D821" s="59" t="str">
        <f t="shared" si="41"/>
        <v/>
      </c>
      <c r="O821" s="4" t="str">
        <f t="shared" si="42"/>
        <v/>
      </c>
      <c r="P821" s="59" t="str">
        <f t="shared" si="43"/>
        <v/>
      </c>
    </row>
    <row r="822" spans="4:16" ht="22.5" customHeight="1" x14ac:dyDescent="0.25">
      <c r="D822" s="59" t="str">
        <f t="shared" si="41"/>
        <v/>
      </c>
      <c r="O822" s="4" t="str">
        <f t="shared" si="42"/>
        <v/>
      </c>
      <c r="P822" s="59" t="str">
        <f t="shared" si="43"/>
        <v/>
      </c>
    </row>
    <row r="823" spans="4:16" ht="22.5" customHeight="1" x14ac:dyDescent="0.25">
      <c r="D823" s="59" t="str">
        <f t="shared" si="41"/>
        <v/>
      </c>
      <c r="O823" s="4" t="str">
        <f t="shared" si="42"/>
        <v/>
      </c>
      <c r="P823" s="59" t="str">
        <f t="shared" si="43"/>
        <v/>
      </c>
    </row>
    <row r="824" spans="4:16" ht="22.5" customHeight="1" x14ac:dyDescent="0.25">
      <c r="D824" s="59" t="str">
        <f t="shared" si="41"/>
        <v/>
      </c>
      <c r="O824" s="4" t="str">
        <f t="shared" si="42"/>
        <v/>
      </c>
      <c r="P824" s="59" t="str">
        <f t="shared" si="43"/>
        <v/>
      </c>
    </row>
    <row r="825" spans="4:16" ht="22.5" customHeight="1" x14ac:dyDescent="0.25">
      <c r="D825" s="59" t="str">
        <f t="shared" si="41"/>
        <v/>
      </c>
      <c r="O825" s="4" t="str">
        <f t="shared" si="42"/>
        <v/>
      </c>
      <c r="P825" s="59" t="str">
        <f t="shared" si="43"/>
        <v/>
      </c>
    </row>
    <row r="826" spans="4:16" ht="22.5" customHeight="1" x14ac:dyDescent="0.25">
      <c r="D826" s="59" t="str">
        <f t="shared" si="41"/>
        <v/>
      </c>
      <c r="O826" s="4" t="str">
        <f t="shared" si="42"/>
        <v/>
      </c>
      <c r="P826" s="59" t="str">
        <f t="shared" si="43"/>
        <v/>
      </c>
    </row>
    <row r="827" spans="4:16" ht="22.5" customHeight="1" x14ac:dyDescent="0.25">
      <c r="D827" s="59" t="str">
        <f t="shared" si="41"/>
        <v/>
      </c>
      <c r="O827" s="4" t="str">
        <f t="shared" si="42"/>
        <v/>
      </c>
      <c r="P827" s="59" t="str">
        <f t="shared" si="43"/>
        <v/>
      </c>
    </row>
    <row r="828" spans="4:16" ht="22.5" customHeight="1" x14ac:dyDescent="0.25">
      <c r="D828" s="59" t="str">
        <f t="shared" si="41"/>
        <v/>
      </c>
      <c r="O828" s="4" t="str">
        <f t="shared" si="42"/>
        <v/>
      </c>
      <c r="P828" s="59" t="str">
        <f t="shared" si="43"/>
        <v/>
      </c>
    </row>
    <row r="829" spans="4:16" ht="22.5" customHeight="1" x14ac:dyDescent="0.25">
      <c r="D829" s="59" t="str">
        <f t="shared" si="41"/>
        <v/>
      </c>
      <c r="O829" s="4" t="str">
        <f t="shared" si="42"/>
        <v/>
      </c>
      <c r="P829" s="59" t="str">
        <f t="shared" si="43"/>
        <v/>
      </c>
    </row>
    <row r="830" spans="4:16" ht="22.5" customHeight="1" x14ac:dyDescent="0.25">
      <c r="D830" s="59" t="str">
        <f t="shared" si="41"/>
        <v/>
      </c>
      <c r="O830" s="4" t="str">
        <f t="shared" si="42"/>
        <v/>
      </c>
      <c r="P830" s="59" t="str">
        <f t="shared" si="43"/>
        <v/>
      </c>
    </row>
    <row r="831" spans="4:16" ht="22.5" customHeight="1" x14ac:dyDescent="0.25">
      <c r="D831" s="59" t="str">
        <f t="shared" si="41"/>
        <v/>
      </c>
      <c r="O831" s="4" t="str">
        <f t="shared" si="42"/>
        <v/>
      </c>
      <c r="P831" s="59" t="str">
        <f t="shared" si="43"/>
        <v/>
      </c>
    </row>
    <row r="832" spans="4:16" ht="22.5" customHeight="1" x14ac:dyDescent="0.25">
      <c r="D832" s="59" t="str">
        <f t="shared" si="41"/>
        <v/>
      </c>
      <c r="O832" s="4" t="str">
        <f t="shared" si="42"/>
        <v/>
      </c>
      <c r="P832" s="59" t="str">
        <f t="shared" si="43"/>
        <v/>
      </c>
    </row>
    <row r="833" spans="4:16" ht="22.5" customHeight="1" x14ac:dyDescent="0.25">
      <c r="D833" s="59" t="str">
        <f t="shared" si="41"/>
        <v/>
      </c>
      <c r="O833" s="4" t="str">
        <f t="shared" si="42"/>
        <v/>
      </c>
      <c r="P833" s="59" t="str">
        <f t="shared" si="43"/>
        <v/>
      </c>
    </row>
    <row r="834" spans="4:16" ht="22.5" customHeight="1" x14ac:dyDescent="0.25">
      <c r="D834" s="59" t="str">
        <f t="shared" si="41"/>
        <v/>
      </c>
      <c r="O834" s="4" t="str">
        <f t="shared" si="42"/>
        <v/>
      </c>
      <c r="P834" s="59" t="str">
        <f t="shared" si="43"/>
        <v/>
      </c>
    </row>
    <row r="835" spans="4:16" ht="22.5" customHeight="1" x14ac:dyDescent="0.25">
      <c r="D835" s="59" t="str">
        <f t="shared" si="41"/>
        <v/>
      </c>
      <c r="O835" s="4" t="str">
        <f t="shared" si="42"/>
        <v/>
      </c>
      <c r="P835" s="59" t="str">
        <f t="shared" si="43"/>
        <v/>
      </c>
    </row>
    <row r="836" spans="4:16" ht="22.5" customHeight="1" x14ac:dyDescent="0.25">
      <c r="D836" s="59" t="str">
        <f t="shared" si="41"/>
        <v/>
      </c>
      <c r="O836" s="4" t="str">
        <f t="shared" si="42"/>
        <v/>
      </c>
      <c r="P836" s="59" t="str">
        <f t="shared" si="43"/>
        <v/>
      </c>
    </row>
    <row r="837" spans="4:16" ht="22.5" customHeight="1" x14ac:dyDescent="0.25">
      <c r="D837" s="59" t="str">
        <f t="shared" si="41"/>
        <v/>
      </c>
      <c r="O837" s="4" t="str">
        <f t="shared" si="42"/>
        <v/>
      </c>
      <c r="P837" s="59" t="str">
        <f t="shared" si="43"/>
        <v/>
      </c>
    </row>
    <row r="838" spans="4:16" ht="22.5" customHeight="1" x14ac:dyDescent="0.25">
      <c r="D838" s="59" t="str">
        <f t="shared" si="41"/>
        <v/>
      </c>
      <c r="O838" s="4" t="str">
        <f t="shared" si="42"/>
        <v/>
      </c>
      <c r="P838" s="59" t="str">
        <f t="shared" si="43"/>
        <v/>
      </c>
    </row>
    <row r="839" spans="4:16" ht="22.5" customHeight="1" x14ac:dyDescent="0.25">
      <c r="D839" s="59" t="str">
        <f t="shared" si="41"/>
        <v/>
      </c>
      <c r="O839" s="4" t="str">
        <f t="shared" si="42"/>
        <v/>
      </c>
      <c r="P839" s="59" t="str">
        <f t="shared" si="43"/>
        <v/>
      </c>
    </row>
    <row r="840" spans="4:16" ht="22.5" customHeight="1" x14ac:dyDescent="0.25">
      <c r="D840" s="59" t="str">
        <f t="shared" si="41"/>
        <v/>
      </c>
      <c r="O840" s="4" t="str">
        <f t="shared" si="42"/>
        <v/>
      </c>
      <c r="P840" s="59" t="str">
        <f t="shared" si="43"/>
        <v/>
      </c>
    </row>
    <row r="841" spans="4:16" ht="22.5" customHeight="1" x14ac:dyDescent="0.25">
      <c r="D841" s="59" t="str">
        <f t="shared" si="41"/>
        <v/>
      </c>
      <c r="O841" s="4" t="str">
        <f t="shared" si="42"/>
        <v/>
      </c>
      <c r="P841" s="59" t="str">
        <f t="shared" si="43"/>
        <v/>
      </c>
    </row>
    <row r="842" spans="4:16" ht="22.5" customHeight="1" x14ac:dyDescent="0.25">
      <c r="D842" s="59" t="str">
        <f t="shared" si="41"/>
        <v/>
      </c>
      <c r="O842" s="4" t="str">
        <f t="shared" si="42"/>
        <v/>
      </c>
      <c r="P842" s="59" t="str">
        <f t="shared" si="43"/>
        <v/>
      </c>
    </row>
    <row r="843" spans="4:16" ht="22.5" customHeight="1" x14ac:dyDescent="0.25">
      <c r="D843" s="59" t="str">
        <f t="shared" si="41"/>
        <v/>
      </c>
      <c r="O843" s="4" t="str">
        <f t="shared" si="42"/>
        <v/>
      </c>
      <c r="P843" s="59" t="str">
        <f t="shared" si="43"/>
        <v/>
      </c>
    </row>
    <row r="844" spans="4:16" ht="22.5" customHeight="1" x14ac:dyDescent="0.25">
      <c r="D844" s="59" t="str">
        <f t="shared" si="41"/>
        <v/>
      </c>
      <c r="O844" s="4" t="str">
        <f t="shared" si="42"/>
        <v/>
      </c>
      <c r="P844" s="59" t="str">
        <f t="shared" si="43"/>
        <v/>
      </c>
    </row>
    <row r="845" spans="4:16" ht="22.5" customHeight="1" x14ac:dyDescent="0.25">
      <c r="D845" s="59" t="str">
        <f t="shared" si="41"/>
        <v/>
      </c>
      <c r="O845" s="4" t="str">
        <f t="shared" si="42"/>
        <v/>
      </c>
      <c r="P845" s="59" t="str">
        <f t="shared" si="43"/>
        <v/>
      </c>
    </row>
    <row r="846" spans="4:16" ht="22.5" customHeight="1" x14ac:dyDescent="0.25">
      <c r="D846" s="59" t="str">
        <f t="shared" si="41"/>
        <v/>
      </c>
      <c r="O846" s="4" t="str">
        <f t="shared" si="42"/>
        <v/>
      </c>
      <c r="P846" s="59" t="str">
        <f t="shared" si="43"/>
        <v/>
      </c>
    </row>
    <row r="847" spans="4:16" ht="22.5" customHeight="1" x14ac:dyDescent="0.25">
      <c r="D847" s="59" t="str">
        <f t="shared" si="41"/>
        <v/>
      </c>
      <c r="O847" s="4" t="str">
        <f t="shared" si="42"/>
        <v/>
      </c>
      <c r="P847" s="59" t="str">
        <f t="shared" si="43"/>
        <v/>
      </c>
    </row>
    <row r="848" spans="4:16" ht="22.5" customHeight="1" x14ac:dyDescent="0.25">
      <c r="D848" s="59" t="str">
        <f t="shared" si="41"/>
        <v/>
      </c>
      <c r="O848" s="4" t="str">
        <f t="shared" si="42"/>
        <v/>
      </c>
      <c r="P848" s="59" t="str">
        <f t="shared" si="43"/>
        <v/>
      </c>
    </row>
    <row r="849" spans="4:16" ht="22.5" customHeight="1" x14ac:dyDescent="0.25">
      <c r="D849" s="59" t="str">
        <f t="shared" si="41"/>
        <v/>
      </c>
      <c r="O849" s="4" t="str">
        <f t="shared" si="42"/>
        <v/>
      </c>
      <c r="P849" s="59" t="str">
        <f t="shared" si="43"/>
        <v/>
      </c>
    </row>
    <row r="850" spans="4:16" ht="22.5" customHeight="1" x14ac:dyDescent="0.25">
      <c r="D850" s="59" t="str">
        <f t="shared" si="41"/>
        <v/>
      </c>
      <c r="O850" s="4" t="str">
        <f t="shared" si="42"/>
        <v/>
      </c>
      <c r="P850" s="59" t="str">
        <f t="shared" si="43"/>
        <v/>
      </c>
    </row>
    <row r="851" spans="4:16" ht="22.5" customHeight="1" x14ac:dyDescent="0.25">
      <c r="D851" s="59" t="str">
        <f t="shared" si="41"/>
        <v/>
      </c>
      <c r="O851" s="4" t="str">
        <f t="shared" si="42"/>
        <v/>
      </c>
      <c r="P851" s="59" t="str">
        <f t="shared" si="43"/>
        <v/>
      </c>
    </row>
    <row r="852" spans="4:16" ht="22.5" customHeight="1" x14ac:dyDescent="0.25">
      <c r="D852" s="59" t="str">
        <f t="shared" si="41"/>
        <v/>
      </c>
      <c r="O852" s="4" t="str">
        <f t="shared" si="42"/>
        <v/>
      </c>
      <c r="P852" s="59" t="str">
        <f t="shared" si="43"/>
        <v/>
      </c>
    </row>
    <row r="853" spans="4:16" ht="22.5" customHeight="1" x14ac:dyDescent="0.25">
      <c r="D853" s="59" t="str">
        <f t="shared" si="41"/>
        <v/>
      </c>
      <c r="O853" s="4" t="str">
        <f t="shared" si="42"/>
        <v/>
      </c>
      <c r="P853" s="59" t="str">
        <f t="shared" si="43"/>
        <v/>
      </c>
    </row>
    <row r="854" spans="4:16" ht="22.5" customHeight="1" x14ac:dyDescent="0.25">
      <c r="D854" s="59" t="str">
        <f t="shared" si="41"/>
        <v/>
      </c>
      <c r="O854" s="4" t="str">
        <f t="shared" si="42"/>
        <v/>
      </c>
      <c r="P854" s="59" t="str">
        <f t="shared" si="43"/>
        <v/>
      </c>
    </row>
    <row r="855" spans="4:16" ht="22.5" customHeight="1" x14ac:dyDescent="0.25">
      <c r="D855" s="59" t="str">
        <f t="shared" si="41"/>
        <v/>
      </c>
      <c r="O855" s="4" t="str">
        <f t="shared" si="42"/>
        <v/>
      </c>
      <c r="P855" s="59" t="str">
        <f t="shared" si="43"/>
        <v/>
      </c>
    </row>
    <row r="856" spans="4:16" ht="22.5" customHeight="1" x14ac:dyDescent="0.25">
      <c r="D856" s="59" t="str">
        <f t="shared" si="41"/>
        <v/>
      </c>
      <c r="O856" s="4" t="str">
        <f t="shared" si="42"/>
        <v/>
      </c>
      <c r="P856" s="59" t="str">
        <f t="shared" si="43"/>
        <v/>
      </c>
    </row>
    <row r="857" spans="4:16" ht="22.5" customHeight="1" x14ac:dyDescent="0.25">
      <c r="D857" s="59" t="str">
        <f t="shared" si="41"/>
        <v/>
      </c>
      <c r="O857" s="4" t="str">
        <f t="shared" si="42"/>
        <v/>
      </c>
      <c r="P857" s="59" t="str">
        <f t="shared" si="43"/>
        <v/>
      </c>
    </row>
    <row r="858" spans="4:16" ht="22.5" customHeight="1" x14ac:dyDescent="0.25">
      <c r="D858" s="59" t="str">
        <f t="shared" si="41"/>
        <v/>
      </c>
      <c r="O858" s="4" t="str">
        <f t="shared" si="42"/>
        <v/>
      </c>
      <c r="P858" s="59" t="str">
        <f t="shared" si="43"/>
        <v/>
      </c>
    </row>
    <row r="859" spans="4:16" ht="22.5" customHeight="1" x14ac:dyDescent="0.25">
      <c r="D859" s="59" t="str">
        <f t="shared" si="41"/>
        <v/>
      </c>
      <c r="O859" s="4" t="str">
        <f t="shared" si="42"/>
        <v/>
      </c>
      <c r="P859" s="59" t="str">
        <f t="shared" si="43"/>
        <v/>
      </c>
    </row>
    <row r="860" spans="4:16" ht="22.5" customHeight="1" x14ac:dyDescent="0.25">
      <c r="D860" s="59" t="str">
        <f t="shared" ref="D860:D923" si="44">IF(AND(I860&lt;&gt;"",J860&lt;&gt;""), I860*J860, "")</f>
        <v/>
      </c>
      <c r="O860" s="4" t="str">
        <f t="shared" ref="O860:O923" si="45">IF(OR(D860="", N860=""), "", ROUND(D860 * N860 / 100, 2))</f>
        <v/>
      </c>
      <c r="P860" s="59" t="str">
        <f t="shared" ref="P860:P923" si="46">IF(D860="", "", D860 + O860)</f>
        <v/>
      </c>
    </row>
    <row r="861" spans="4:16" ht="22.5" customHeight="1" x14ac:dyDescent="0.25">
      <c r="D861" s="59" t="str">
        <f t="shared" si="44"/>
        <v/>
      </c>
      <c r="O861" s="4" t="str">
        <f t="shared" si="45"/>
        <v/>
      </c>
      <c r="P861" s="59" t="str">
        <f t="shared" si="46"/>
        <v/>
      </c>
    </row>
    <row r="862" spans="4:16" ht="22.5" customHeight="1" x14ac:dyDescent="0.25">
      <c r="D862" s="59" t="str">
        <f t="shared" si="44"/>
        <v/>
      </c>
      <c r="O862" s="4" t="str">
        <f t="shared" si="45"/>
        <v/>
      </c>
      <c r="P862" s="59" t="str">
        <f t="shared" si="46"/>
        <v/>
      </c>
    </row>
    <row r="863" spans="4:16" ht="22.5" customHeight="1" x14ac:dyDescent="0.25">
      <c r="D863" s="59" t="str">
        <f t="shared" si="44"/>
        <v/>
      </c>
      <c r="O863" s="4" t="str">
        <f t="shared" si="45"/>
        <v/>
      </c>
      <c r="P863" s="59" t="str">
        <f t="shared" si="46"/>
        <v/>
      </c>
    </row>
    <row r="864" spans="4:16" ht="22.5" customHeight="1" x14ac:dyDescent="0.25">
      <c r="D864" s="59" t="str">
        <f t="shared" si="44"/>
        <v/>
      </c>
      <c r="O864" s="4" t="str">
        <f t="shared" si="45"/>
        <v/>
      </c>
      <c r="P864" s="59" t="str">
        <f t="shared" si="46"/>
        <v/>
      </c>
    </row>
    <row r="865" spans="4:16" ht="22.5" customHeight="1" x14ac:dyDescent="0.25">
      <c r="D865" s="59" t="str">
        <f t="shared" si="44"/>
        <v/>
      </c>
      <c r="O865" s="4" t="str">
        <f t="shared" si="45"/>
        <v/>
      </c>
      <c r="P865" s="59" t="str">
        <f t="shared" si="46"/>
        <v/>
      </c>
    </row>
    <row r="866" spans="4:16" ht="22.5" customHeight="1" x14ac:dyDescent="0.25">
      <c r="D866" s="59" t="str">
        <f t="shared" si="44"/>
        <v/>
      </c>
      <c r="O866" s="4" t="str">
        <f t="shared" si="45"/>
        <v/>
      </c>
      <c r="P866" s="59" t="str">
        <f t="shared" si="46"/>
        <v/>
      </c>
    </row>
    <row r="867" spans="4:16" ht="22.5" customHeight="1" x14ac:dyDescent="0.25">
      <c r="D867" s="59" t="str">
        <f t="shared" si="44"/>
        <v/>
      </c>
      <c r="O867" s="4" t="str">
        <f t="shared" si="45"/>
        <v/>
      </c>
      <c r="P867" s="59" t="str">
        <f t="shared" si="46"/>
        <v/>
      </c>
    </row>
    <row r="868" spans="4:16" ht="22.5" customHeight="1" x14ac:dyDescent="0.25">
      <c r="D868" s="59" t="str">
        <f t="shared" si="44"/>
        <v/>
      </c>
      <c r="O868" s="4" t="str">
        <f t="shared" si="45"/>
        <v/>
      </c>
      <c r="P868" s="59" t="str">
        <f t="shared" si="46"/>
        <v/>
      </c>
    </row>
    <row r="869" spans="4:16" ht="22.5" customHeight="1" x14ac:dyDescent="0.25">
      <c r="D869" s="59" t="str">
        <f t="shared" si="44"/>
        <v/>
      </c>
      <c r="O869" s="4" t="str">
        <f t="shared" si="45"/>
        <v/>
      </c>
      <c r="P869" s="59" t="str">
        <f t="shared" si="46"/>
        <v/>
      </c>
    </row>
    <row r="870" spans="4:16" ht="22.5" customHeight="1" x14ac:dyDescent="0.25">
      <c r="D870" s="59" t="str">
        <f t="shared" si="44"/>
        <v/>
      </c>
      <c r="O870" s="4" t="str">
        <f t="shared" si="45"/>
        <v/>
      </c>
      <c r="P870" s="59" t="str">
        <f t="shared" si="46"/>
        <v/>
      </c>
    </row>
    <row r="871" spans="4:16" ht="22.5" customHeight="1" x14ac:dyDescent="0.25">
      <c r="D871" s="59" t="str">
        <f t="shared" si="44"/>
        <v/>
      </c>
      <c r="O871" s="4" t="str">
        <f t="shared" si="45"/>
        <v/>
      </c>
      <c r="P871" s="59" t="str">
        <f t="shared" si="46"/>
        <v/>
      </c>
    </row>
    <row r="872" spans="4:16" ht="22.5" customHeight="1" x14ac:dyDescent="0.25">
      <c r="D872" s="59" t="str">
        <f t="shared" si="44"/>
        <v/>
      </c>
      <c r="O872" s="4" t="str">
        <f t="shared" si="45"/>
        <v/>
      </c>
      <c r="P872" s="59" t="str">
        <f t="shared" si="46"/>
        <v/>
      </c>
    </row>
    <row r="873" spans="4:16" ht="22.5" customHeight="1" x14ac:dyDescent="0.25">
      <c r="D873" s="59" t="str">
        <f t="shared" si="44"/>
        <v/>
      </c>
      <c r="O873" s="4" t="str">
        <f t="shared" si="45"/>
        <v/>
      </c>
      <c r="P873" s="59" t="str">
        <f t="shared" si="46"/>
        <v/>
      </c>
    </row>
    <row r="874" spans="4:16" ht="22.5" customHeight="1" x14ac:dyDescent="0.25">
      <c r="D874" s="59" t="str">
        <f t="shared" si="44"/>
        <v/>
      </c>
      <c r="O874" s="4" t="str">
        <f t="shared" si="45"/>
        <v/>
      </c>
      <c r="P874" s="59" t="str">
        <f t="shared" si="46"/>
        <v/>
      </c>
    </row>
    <row r="875" spans="4:16" ht="22.5" customHeight="1" x14ac:dyDescent="0.25">
      <c r="D875" s="59" t="str">
        <f t="shared" si="44"/>
        <v/>
      </c>
      <c r="O875" s="4" t="str">
        <f t="shared" si="45"/>
        <v/>
      </c>
      <c r="P875" s="59" t="str">
        <f t="shared" si="46"/>
        <v/>
      </c>
    </row>
    <row r="876" spans="4:16" ht="22.5" customHeight="1" x14ac:dyDescent="0.25">
      <c r="D876" s="59" t="str">
        <f t="shared" si="44"/>
        <v/>
      </c>
      <c r="O876" s="4" t="str">
        <f t="shared" si="45"/>
        <v/>
      </c>
      <c r="P876" s="59" t="str">
        <f t="shared" si="46"/>
        <v/>
      </c>
    </row>
    <row r="877" spans="4:16" ht="22.5" customHeight="1" x14ac:dyDescent="0.25">
      <c r="D877" s="59" t="str">
        <f t="shared" si="44"/>
        <v/>
      </c>
      <c r="O877" s="4" t="str">
        <f t="shared" si="45"/>
        <v/>
      </c>
      <c r="P877" s="59" t="str">
        <f t="shared" si="46"/>
        <v/>
      </c>
    </row>
    <row r="878" spans="4:16" ht="22.5" customHeight="1" x14ac:dyDescent="0.25">
      <c r="D878" s="59" t="str">
        <f t="shared" si="44"/>
        <v/>
      </c>
      <c r="O878" s="4" t="str">
        <f t="shared" si="45"/>
        <v/>
      </c>
      <c r="P878" s="59" t="str">
        <f t="shared" si="46"/>
        <v/>
      </c>
    </row>
    <row r="879" spans="4:16" ht="22.5" customHeight="1" x14ac:dyDescent="0.25">
      <c r="D879" s="59" t="str">
        <f t="shared" si="44"/>
        <v/>
      </c>
      <c r="O879" s="4" t="str">
        <f t="shared" si="45"/>
        <v/>
      </c>
      <c r="P879" s="59" t="str">
        <f t="shared" si="46"/>
        <v/>
      </c>
    </row>
    <row r="880" spans="4:16" ht="22.5" customHeight="1" x14ac:dyDescent="0.25">
      <c r="D880" s="59" t="str">
        <f t="shared" si="44"/>
        <v/>
      </c>
      <c r="O880" s="4" t="str">
        <f t="shared" si="45"/>
        <v/>
      </c>
      <c r="P880" s="59" t="str">
        <f t="shared" si="46"/>
        <v/>
      </c>
    </row>
    <row r="881" spans="4:16" ht="22.5" customHeight="1" x14ac:dyDescent="0.25">
      <c r="D881" s="59" t="str">
        <f t="shared" si="44"/>
        <v/>
      </c>
      <c r="O881" s="4" t="str">
        <f t="shared" si="45"/>
        <v/>
      </c>
      <c r="P881" s="59" t="str">
        <f t="shared" si="46"/>
        <v/>
      </c>
    </row>
    <row r="882" spans="4:16" ht="22.5" customHeight="1" x14ac:dyDescent="0.25">
      <c r="D882" s="59" t="str">
        <f t="shared" si="44"/>
        <v/>
      </c>
      <c r="O882" s="4" t="str">
        <f t="shared" si="45"/>
        <v/>
      </c>
      <c r="P882" s="59" t="str">
        <f t="shared" si="46"/>
        <v/>
      </c>
    </row>
    <row r="883" spans="4:16" ht="22.5" customHeight="1" x14ac:dyDescent="0.25">
      <c r="D883" s="59" t="str">
        <f t="shared" si="44"/>
        <v/>
      </c>
      <c r="O883" s="4" t="str">
        <f t="shared" si="45"/>
        <v/>
      </c>
      <c r="P883" s="59" t="str">
        <f t="shared" si="46"/>
        <v/>
      </c>
    </row>
    <row r="884" spans="4:16" ht="22.5" customHeight="1" x14ac:dyDescent="0.25">
      <c r="D884" s="59" t="str">
        <f t="shared" si="44"/>
        <v/>
      </c>
      <c r="O884" s="4" t="str">
        <f t="shared" si="45"/>
        <v/>
      </c>
      <c r="P884" s="59" t="str">
        <f t="shared" si="46"/>
        <v/>
      </c>
    </row>
    <row r="885" spans="4:16" ht="22.5" customHeight="1" x14ac:dyDescent="0.25">
      <c r="D885" s="59" t="str">
        <f t="shared" si="44"/>
        <v/>
      </c>
      <c r="O885" s="4" t="str">
        <f t="shared" si="45"/>
        <v/>
      </c>
      <c r="P885" s="59" t="str">
        <f t="shared" si="46"/>
        <v/>
      </c>
    </row>
    <row r="886" spans="4:16" ht="22.5" customHeight="1" x14ac:dyDescent="0.25">
      <c r="D886" s="59" t="str">
        <f t="shared" si="44"/>
        <v/>
      </c>
      <c r="O886" s="4" t="str">
        <f t="shared" si="45"/>
        <v/>
      </c>
      <c r="P886" s="59" t="str">
        <f t="shared" si="46"/>
        <v/>
      </c>
    </row>
    <row r="887" spans="4:16" ht="22.5" customHeight="1" x14ac:dyDescent="0.25">
      <c r="D887" s="59" t="str">
        <f t="shared" si="44"/>
        <v/>
      </c>
      <c r="O887" s="4" t="str">
        <f t="shared" si="45"/>
        <v/>
      </c>
      <c r="P887" s="59" t="str">
        <f t="shared" si="46"/>
        <v/>
      </c>
    </row>
    <row r="888" spans="4:16" ht="22.5" customHeight="1" x14ac:dyDescent="0.25">
      <c r="D888" s="59" t="str">
        <f t="shared" si="44"/>
        <v/>
      </c>
      <c r="O888" s="4" t="str">
        <f t="shared" si="45"/>
        <v/>
      </c>
      <c r="P888" s="59" t="str">
        <f t="shared" si="46"/>
        <v/>
      </c>
    </row>
    <row r="889" spans="4:16" ht="22.5" customHeight="1" x14ac:dyDescent="0.25">
      <c r="D889" s="59" t="str">
        <f t="shared" si="44"/>
        <v/>
      </c>
      <c r="O889" s="4" t="str">
        <f t="shared" si="45"/>
        <v/>
      </c>
      <c r="P889" s="59" t="str">
        <f t="shared" si="46"/>
        <v/>
      </c>
    </row>
    <row r="890" spans="4:16" ht="22.5" customHeight="1" x14ac:dyDescent="0.25">
      <c r="D890" s="59" t="str">
        <f t="shared" si="44"/>
        <v/>
      </c>
      <c r="O890" s="4" t="str">
        <f t="shared" si="45"/>
        <v/>
      </c>
      <c r="P890" s="59" t="str">
        <f t="shared" si="46"/>
        <v/>
      </c>
    </row>
    <row r="891" spans="4:16" ht="22.5" customHeight="1" x14ac:dyDescent="0.25">
      <c r="D891" s="59" t="str">
        <f t="shared" si="44"/>
        <v/>
      </c>
      <c r="O891" s="4" t="str">
        <f t="shared" si="45"/>
        <v/>
      </c>
      <c r="P891" s="59" t="str">
        <f t="shared" si="46"/>
        <v/>
      </c>
    </row>
    <row r="892" spans="4:16" ht="22.5" customHeight="1" x14ac:dyDescent="0.25">
      <c r="D892" s="59" t="str">
        <f t="shared" si="44"/>
        <v/>
      </c>
      <c r="O892" s="4" t="str">
        <f t="shared" si="45"/>
        <v/>
      </c>
      <c r="P892" s="59" t="str">
        <f t="shared" si="46"/>
        <v/>
      </c>
    </row>
    <row r="893" spans="4:16" ht="22.5" customHeight="1" x14ac:dyDescent="0.25">
      <c r="D893" s="59" t="str">
        <f t="shared" si="44"/>
        <v/>
      </c>
      <c r="O893" s="4" t="str">
        <f t="shared" si="45"/>
        <v/>
      </c>
      <c r="P893" s="59" t="str">
        <f t="shared" si="46"/>
        <v/>
      </c>
    </row>
    <row r="894" spans="4:16" ht="22.5" customHeight="1" x14ac:dyDescent="0.25">
      <c r="D894" s="59" t="str">
        <f t="shared" si="44"/>
        <v/>
      </c>
      <c r="O894" s="4" t="str">
        <f t="shared" si="45"/>
        <v/>
      </c>
      <c r="P894" s="59" t="str">
        <f t="shared" si="46"/>
        <v/>
      </c>
    </row>
    <row r="895" spans="4:16" ht="22.5" customHeight="1" x14ac:dyDescent="0.25">
      <c r="D895" s="59" t="str">
        <f t="shared" si="44"/>
        <v/>
      </c>
      <c r="O895" s="4" t="str">
        <f t="shared" si="45"/>
        <v/>
      </c>
      <c r="P895" s="59" t="str">
        <f t="shared" si="46"/>
        <v/>
      </c>
    </row>
    <row r="896" spans="4:16" ht="22.5" customHeight="1" x14ac:dyDescent="0.25">
      <c r="D896" s="59" t="str">
        <f t="shared" si="44"/>
        <v/>
      </c>
      <c r="O896" s="4" t="str">
        <f t="shared" si="45"/>
        <v/>
      </c>
      <c r="P896" s="59" t="str">
        <f t="shared" si="46"/>
        <v/>
      </c>
    </row>
    <row r="897" spans="4:16" ht="22.5" customHeight="1" x14ac:dyDescent="0.25">
      <c r="D897" s="59" t="str">
        <f t="shared" si="44"/>
        <v/>
      </c>
      <c r="O897" s="4" t="str">
        <f t="shared" si="45"/>
        <v/>
      </c>
      <c r="P897" s="59" t="str">
        <f t="shared" si="46"/>
        <v/>
      </c>
    </row>
    <row r="898" spans="4:16" ht="22.5" customHeight="1" x14ac:dyDescent="0.25">
      <c r="D898" s="59" t="str">
        <f t="shared" si="44"/>
        <v/>
      </c>
      <c r="O898" s="4" t="str">
        <f t="shared" si="45"/>
        <v/>
      </c>
      <c r="P898" s="59" t="str">
        <f t="shared" si="46"/>
        <v/>
      </c>
    </row>
    <row r="899" spans="4:16" ht="22.5" customHeight="1" x14ac:dyDescent="0.25">
      <c r="D899" s="59" t="str">
        <f t="shared" si="44"/>
        <v/>
      </c>
      <c r="O899" s="4" t="str">
        <f t="shared" si="45"/>
        <v/>
      </c>
      <c r="P899" s="59" t="str">
        <f t="shared" si="46"/>
        <v/>
      </c>
    </row>
    <row r="900" spans="4:16" ht="22.5" customHeight="1" x14ac:dyDescent="0.25">
      <c r="D900" s="59" t="str">
        <f t="shared" si="44"/>
        <v/>
      </c>
      <c r="O900" s="4" t="str">
        <f t="shared" si="45"/>
        <v/>
      </c>
      <c r="P900" s="59" t="str">
        <f t="shared" si="46"/>
        <v/>
      </c>
    </row>
    <row r="901" spans="4:16" ht="22.5" customHeight="1" x14ac:dyDescent="0.25">
      <c r="D901" s="59" t="str">
        <f t="shared" si="44"/>
        <v/>
      </c>
      <c r="O901" s="4" t="str">
        <f t="shared" si="45"/>
        <v/>
      </c>
      <c r="P901" s="59" t="str">
        <f t="shared" si="46"/>
        <v/>
      </c>
    </row>
    <row r="902" spans="4:16" ht="22.5" customHeight="1" x14ac:dyDescent="0.25">
      <c r="D902" s="59" t="str">
        <f t="shared" si="44"/>
        <v/>
      </c>
      <c r="O902" s="4" t="str">
        <f t="shared" si="45"/>
        <v/>
      </c>
      <c r="P902" s="59" t="str">
        <f t="shared" si="46"/>
        <v/>
      </c>
    </row>
    <row r="903" spans="4:16" ht="22.5" customHeight="1" x14ac:dyDescent="0.25">
      <c r="D903" s="59" t="str">
        <f t="shared" si="44"/>
        <v/>
      </c>
      <c r="O903" s="4" t="str">
        <f t="shared" si="45"/>
        <v/>
      </c>
      <c r="P903" s="59" t="str">
        <f t="shared" si="46"/>
        <v/>
      </c>
    </row>
    <row r="904" spans="4:16" ht="22.5" customHeight="1" x14ac:dyDescent="0.25">
      <c r="D904" s="59" t="str">
        <f t="shared" si="44"/>
        <v/>
      </c>
      <c r="O904" s="4" t="str">
        <f t="shared" si="45"/>
        <v/>
      </c>
      <c r="P904" s="59" t="str">
        <f t="shared" si="46"/>
        <v/>
      </c>
    </row>
    <row r="905" spans="4:16" ht="22.5" customHeight="1" x14ac:dyDescent="0.25">
      <c r="D905" s="59" t="str">
        <f t="shared" si="44"/>
        <v/>
      </c>
      <c r="O905" s="4" t="str">
        <f t="shared" si="45"/>
        <v/>
      </c>
      <c r="P905" s="59" t="str">
        <f t="shared" si="46"/>
        <v/>
      </c>
    </row>
    <row r="906" spans="4:16" ht="22.5" customHeight="1" x14ac:dyDescent="0.25">
      <c r="D906" s="59" t="str">
        <f t="shared" si="44"/>
        <v/>
      </c>
      <c r="O906" s="4" t="str">
        <f t="shared" si="45"/>
        <v/>
      </c>
      <c r="P906" s="59" t="str">
        <f t="shared" si="46"/>
        <v/>
      </c>
    </row>
    <row r="907" spans="4:16" ht="22.5" customHeight="1" x14ac:dyDescent="0.25">
      <c r="D907" s="59" t="str">
        <f t="shared" si="44"/>
        <v/>
      </c>
      <c r="O907" s="4" t="str">
        <f t="shared" si="45"/>
        <v/>
      </c>
      <c r="P907" s="59" t="str">
        <f t="shared" si="46"/>
        <v/>
      </c>
    </row>
    <row r="908" spans="4:16" ht="22.5" customHeight="1" x14ac:dyDescent="0.25">
      <c r="D908" s="59" t="str">
        <f t="shared" si="44"/>
        <v/>
      </c>
      <c r="O908" s="4" t="str">
        <f t="shared" si="45"/>
        <v/>
      </c>
      <c r="P908" s="59" t="str">
        <f t="shared" si="46"/>
        <v/>
      </c>
    </row>
    <row r="909" spans="4:16" ht="22.5" customHeight="1" x14ac:dyDescent="0.25">
      <c r="D909" s="59" t="str">
        <f t="shared" si="44"/>
        <v/>
      </c>
      <c r="O909" s="4" t="str">
        <f t="shared" si="45"/>
        <v/>
      </c>
      <c r="P909" s="59" t="str">
        <f t="shared" si="46"/>
        <v/>
      </c>
    </row>
    <row r="910" spans="4:16" ht="22.5" customHeight="1" x14ac:dyDescent="0.25">
      <c r="D910" s="59" t="str">
        <f t="shared" si="44"/>
        <v/>
      </c>
      <c r="O910" s="4" t="str">
        <f t="shared" si="45"/>
        <v/>
      </c>
      <c r="P910" s="59" t="str">
        <f t="shared" si="46"/>
        <v/>
      </c>
    </row>
    <row r="911" spans="4:16" ht="22.5" customHeight="1" x14ac:dyDescent="0.25">
      <c r="D911" s="59" t="str">
        <f t="shared" si="44"/>
        <v/>
      </c>
      <c r="O911" s="4" t="str">
        <f t="shared" si="45"/>
        <v/>
      </c>
      <c r="P911" s="59" t="str">
        <f t="shared" si="46"/>
        <v/>
      </c>
    </row>
    <row r="912" spans="4:16" ht="22.5" customHeight="1" x14ac:dyDescent="0.25">
      <c r="D912" s="59" t="str">
        <f t="shared" si="44"/>
        <v/>
      </c>
      <c r="O912" s="4" t="str">
        <f t="shared" si="45"/>
        <v/>
      </c>
      <c r="P912" s="59" t="str">
        <f t="shared" si="46"/>
        <v/>
      </c>
    </row>
    <row r="913" spans="4:16" ht="22.5" customHeight="1" x14ac:dyDescent="0.25">
      <c r="D913" s="59" t="str">
        <f t="shared" si="44"/>
        <v/>
      </c>
      <c r="O913" s="4" t="str">
        <f t="shared" si="45"/>
        <v/>
      </c>
      <c r="P913" s="59" t="str">
        <f t="shared" si="46"/>
        <v/>
      </c>
    </row>
    <row r="914" spans="4:16" ht="22.5" customHeight="1" x14ac:dyDescent="0.25">
      <c r="D914" s="59" t="str">
        <f t="shared" si="44"/>
        <v/>
      </c>
      <c r="O914" s="4" t="str">
        <f t="shared" si="45"/>
        <v/>
      </c>
      <c r="P914" s="59" t="str">
        <f t="shared" si="46"/>
        <v/>
      </c>
    </row>
    <row r="915" spans="4:16" ht="22.5" customHeight="1" x14ac:dyDescent="0.25">
      <c r="D915" s="59" t="str">
        <f t="shared" si="44"/>
        <v/>
      </c>
      <c r="O915" s="4" t="str">
        <f t="shared" si="45"/>
        <v/>
      </c>
      <c r="P915" s="59" t="str">
        <f t="shared" si="46"/>
        <v/>
      </c>
    </row>
    <row r="916" spans="4:16" ht="22.5" customHeight="1" x14ac:dyDescent="0.25">
      <c r="D916" s="59" t="str">
        <f t="shared" si="44"/>
        <v/>
      </c>
      <c r="O916" s="4" t="str">
        <f t="shared" si="45"/>
        <v/>
      </c>
      <c r="P916" s="59" t="str">
        <f t="shared" si="46"/>
        <v/>
      </c>
    </row>
    <row r="917" spans="4:16" ht="22.5" customHeight="1" x14ac:dyDescent="0.25">
      <c r="D917" s="59" t="str">
        <f t="shared" si="44"/>
        <v/>
      </c>
      <c r="O917" s="4" t="str">
        <f t="shared" si="45"/>
        <v/>
      </c>
      <c r="P917" s="59" t="str">
        <f t="shared" si="46"/>
        <v/>
      </c>
    </row>
    <row r="918" spans="4:16" ht="22.5" customHeight="1" x14ac:dyDescent="0.25">
      <c r="D918" s="59" t="str">
        <f t="shared" si="44"/>
        <v/>
      </c>
      <c r="O918" s="4" t="str">
        <f t="shared" si="45"/>
        <v/>
      </c>
      <c r="P918" s="59" t="str">
        <f t="shared" si="46"/>
        <v/>
      </c>
    </row>
    <row r="919" spans="4:16" ht="22.5" customHeight="1" x14ac:dyDescent="0.25">
      <c r="D919" s="59" t="str">
        <f t="shared" si="44"/>
        <v/>
      </c>
      <c r="O919" s="4" t="str">
        <f t="shared" si="45"/>
        <v/>
      </c>
      <c r="P919" s="59" t="str">
        <f t="shared" si="46"/>
        <v/>
      </c>
    </row>
    <row r="920" spans="4:16" ht="22.5" customHeight="1" x14ac:dyDescent="0.25">
      <c r="D920" s="59" t="str">
        <f t="shared" si="44"/>
        <v/>
      </c>
      <c r="O920" s="4" t="str">
        <f t="shared" si="45"/>
        <v/>
      </c>
      <c r="P920" s="59" t="str">
        <f t="shared" si="46"/>
        <v/>
      </c>
    </row>
    <row r="921" spans="4:16" ht="22.5" customHeight="1" x14ac:dyDescent="0.25">
      <c r="D921" s="59" t="str">
        <f t="shared" si="44"/>
        <v/>
      </c>
      <c r="O921" s="4" t="str">
        <f t="shared" si="45"/>
        <v/>
      </c>
      <c r="P921" s="59" t="str">
        <f t="shared" si="46"/>
        <v/>
      </c>
    </row>
    <row r="922" spans="4:16" ht="22.5" customHeight="1" x14ac:dyDescent="0.25">
      <c r="D922" s="59" t="str">
        <f t="shared" si="44"/>
        <v/>
      </c>
      <c r="O922" s="4" t="str">
        <f t="shared" si="45"/>
        <v/>
      </c>
      <c r="P922" s="59" t="str">
        <f t="shared" si="46"/>
        <v/>
      </c>
    </row>
    <row r="923" spans="4:16" ht="22.5" customHeight="1" x14ac:dyDescent="0.25">
      <c r="D923" s="59" t="str">
        <f t="shared" si="44"/>
        <v/>
      </c>
      <c r="O923" s="4" t="str">
        <f t="shared" si="45"/>
        <v/>
      </c>
      <c r="P923" s="59" t="str">
        <f t="shared" si="46"/>
        <v/>
      </c>
    </row>
    <row r="924" spans="4:16" ht="22.5" customHeight="1" x14ac:dyDescent="0.25">
      <c r="D924" s="59" t="str">
        <f t="shared" ref="D924:D987" si="47">IF(AND(I924&lt;&gt;"",J924&lt;&gt;""), I924*J924, "")</f>
        <v/>
      </c>
      <c r="O924" s="4" t="str">
        <f t="shared" ref="O924:O987" si="48">IF(OR(D924="", N924=""), "", ROUND(D924 * N924 / 100, 2))</f>
        <v/>
      </c>
      <c r="P924" s="59" t="str">
        <f t="shared" ref="P924:P987" si="49">IF(D924="", "", D924 + O924)</f>
        <v/>
      </c>
    </row>
    <row r="925" spans="4:16" ht="22.5" customHeight="1" x14ac:dyDescent="0.25">
      <c r="D925" s="59" t="str">
        <f t="shared" si="47"/>
        <v/>
      </c>
      <c r="O925" s="4" t="str">
        <f t="shared" si="48"/>
        <v/>
      </c>
      <c r="P925" s="59" t="str">
        <f t="shared" si="49"/>
        <v/>
      </c>
    </row>
    <row r="926" spans="4:16" ht="22.5" customHeight="1" x14ac:dyDescent="0.25">
      <c r="D926" s="59" t="str">
        <f t="shared" si="47"/>
        <v/>
      </c>
      <c r="O926" s="4" t="str">
        <f t="shared" si="48"/>
        <v/>
      </c>
      <c r="P926" s="59" t="str">
        <f t="shared" si="49"/>
        <v/>
      </c>
    </row>
    <row r="927" spans="4:16" ht="22.5" customHeight="1" x14ac:dyDescent="0.25">
      <c r="D927" s="59" t="str">
        <f t="shared" si="47"/>
        <v/>
      </c>
      <c r="O927" s="4" t="str">
        <f t="shared" si="48"/>
        <v/>
      </c>
      <c r="P927" s="59" t="str">
        <f t="shared" si="49"/>
        <v/>
      </c>
    </row>
    <row r="928" spans="4:16" ht="22.5" customHeight="1" x14ac:dyDescent="0.25">
      <c r="D928" s="59" t="str">
        <f t="shared" si="47"/>
        <v/>
      </c>
      <c r="O928" s="4" t="str">
        <f t="shared" si="48"/>
        <v/>
      </c>
      <c r="P928" s="59" t="str">
        <f t="shared" si="49"/>
        <v/>
      </c>
    </row>
    <row r="929" spans="4:16" ht="22.5" customHeight="1" x14ac:dyDescent="0.25">
      <c r="D929" s="59" t="str">
        <f t="shared" si="47"/>
        <v/>
      </c>
      <c r="O929" s="4" t="str">
        <f t="shared" si="48"/>
        <v/>
      </c>
      <c r="P929" s="59" t="str">
        <f t="shared" si="49"/>
        <v/>
      </c>
    </row>
    <row r="930" spans="4:16" ht="22.5" customHeight="1" x14ac:dyDescent="0.25">
      <c r="D930" s="59" t="str">
        <f t="shared" si="47"/>
        <v/>
      </c>
      <c r="O930" s="4" t="str">
        <f t="shared" si="48"/>
        <v/>
      </c>
      <c r="P930" s="59" t="str">
        <f t="shared" si="49"/>
        <v/>
      </c>
    </row>
    <row r="931" spans="4:16" ht="22.5" customHeight="1" x14ac:dyDescent="0.25">
      <c r="D931" s="59" t="str">
        <f t="shared" si="47"/>
        <v/>
      </c>
      <c r="O931" s="4" t="str">
        <f t="shared" si="48"/>
        <v/>
      </c>
      <c r="P931" s="59" t="str">
        <f t="shared" si="49"/>
        <v/>
      </c>
    </row>
    <row r="932" spans="4:16" ht="22.5" customHeight="1" x14ac:dyDescent="0.25">
      <c r="D932" s="59" t="str">
        <f t="shared" si="47"/>
        <v/>
      </c>
      <c r="O932" s="4" t="str">
        <f t="shared" si="48"/>
        <v/>
      </c>
      <c r="P932" s="59" t="str">
        <f t="shared" si="49"/>
        <v/>
      </c>
    </row>
    <row r="933" spans="4:16" ht="22.5" customHeight="1" x14ac:dyDescent="0.25">
      <c r="D933" s="59" t="str">
        <f t="shared" si="47"/>
        <v/>
      </c>
      <c r="O933" s="4" t="str">
        <f t="shared" si="48"/>
        <v/>
      </c>
      <c r="P933" s="59" t="str">
        <f t="shared" si="49"/>
        <v/>
      </c>
    </row>
    <row r="934" spans="4:16" ht="22.5" customHeight="1" x14ac:dyDescent="0.25">
      <c r="D934" s="59" t="str">
        <f t="shared" si="47"/>
        <v/>
      </c>
      <c r="O934" s="4" t="str">
        <f t="shared" si="48"/>
        <v/>
      </c>
      <c r="P934" s="59" t="str">
        <f t="shared" si="49"/>
        <v/>
      </c>
    </row>
    <row r="935" spans="4:16" ht="22.5" customHeight="1" x14ac:dyDescent="0.25">
      <c r="D935" s="59" t="str">
        <f t="shared" si="47"/>
        <v/>
      </c>
      <c r="O935" s="4" t="str">
        <f t="shared" si="48"/>
        <v/>
      </c>
      <c r="P935" s="59" t="str">
        <f t="shared" si="49"/>
        <v/>
      </c>
    </row>
    <row r="936" spans="4:16" ht="22.5" customHeight="1" x14ac:dyDescent="0.25">
      <c r="D936" s="59" t="str">
        <f t="shared" si="47"/>
        <v/>
      </c>
      <c r="O936" s="4" t="str">
        <f t="shared" si="48"/>
        <v/>
      </c>
      <c r="P936" s="59" t="str">
        <f t="shared" si="49"/>
        <v/>
      </c>
    </row>
    <row r="937" spans="4:16" ht="22.5" customHeight="1" x14ac:dyDescent="0.25">
      <c r="D937" s="59" t="str">
        <f t="shared" si="47"/>
        <v/>
      </c>
      <c r="O937" s="4" t="str">
        <f t="shared" si="48"/>
        <v/>
      </c>
      <c r="P937" s="59" t="str">
        <f t="shared" si="49"/>
        <v/>
      </c>
    </row>
    <row r="938" spans="4:16" ht="22.5" customHeight="1" x14ac:dyDescent="0.25">
      <c r="D938" s="59" t="str">
        <f t="shared" si="47"/>
        <v/>
      </c>
      <c r="O938" s="4" t="str">
        <f t="shared" si="48"/>
        <v/>
      </c>
      <c r="P938" s="59" t="str">
        <f t="shared" si="49"/>
        <v/>
      </c>
    </row>
    <row r="939" spans="4:16" ht="22.5" customHeight="1" x14ac:dyDescent="0.25">
      <c r="D939" s="59" t="str">
        <f t="shared" si="47"/>
        <v/>
      </c>
      <c r="O939" s="4" t="str">
        <f t="shared" si="48"/>
        <v/>
      </c>
      <c r="P939" s="59" t="str">
        <f t="shared" si="49"/>
        <v/>
      </c>
    </row>
    <row r="940" spans="4:16" ht="22.5" customHeight="1" x14ac:dyDescent="0.25">
      <c r="D940" s="59" t="str">
        <f t="shared" si="47"/>
        <v/>
      </c>
      <c r="O940" s="4" t="str">
        <f t="shared" si="48"/>
        <v/>
      </c>
      <c r="P940" s="59" t="str">
        <f t="shared" si="49"/>
        <v/>
      </c>
    </row>
    <row r="941" spans="4:16" ht="22.5" customHeight="1" x14ac:dyDescent="0.25">
      <c r="D941" s="59" t="str">
        <f t="shared" si="47"/>
        <v/>
      </c>
      <c r="O941" s="4" t="str">
        <f t="shared" si="48"/>
        <v/>
      </c>
      <c r="P941" s="59" t="str">
        <f t="shared" si="49"/>
        <v/>
      </c>
    </row>
    <row r="942" spans="4:16" ht="22.5" customHeight="1" x14ac:dyDescent="0.25">
      <c r="D942" s="59" t="str">
        <f t="shared" si="47"/>
        <v/>
      </c>
      <c r="O942" s="4" t="str">
        <f t="shared" si="48"/>
        <v/>
      </c>
      <c r="P942" s="59" t="str">
        <f t="shared" si="49"/>
        <v/>
      </c>
    </row>
    <row r="943" spans="4:16" ht="22.5" customHeight="1" x14ac:dyDescent="0.25">
      <c r="D943" s="59" t="str">
        <f t="shared" si="47"/>
        <v/>
      </c>
      <c r="O943" s="4" t="str">
        <f t="shared" si="48"/>
        <v/>
      </c>
      <c r="P943" s="59" t="str">
        <f t="shared" si="49"/>
        <v/>
      </c>
    </row>
    <row r="944" spans="4:16" ht="22.5" customHeight="1" x14ac:dyDescent="0.25">
      <c r="D944" s="59" t="str">
        <f t="shared" si="47"/>
        <v/>
      </c>
      <c r="O944" s="4" t="str">
        <f t="shared" si="48"/>
        <v/>
      </c>
      <c r="P944" s="59" t="str">
        <f t="shared" si="49"/>
        <v/>
      </c>
    </row>
    <row r="945" spans="4:16" ht="22.5" customHeight="1" x14ac:dyDescent="0.25">
      <c r="D945" s="59" t="str">
        <f t="shared" si="47"/>
        <v/>
      </c>
      <c r="O945" s="4" t="str">
        <f t="shared" si="48"/>
        <v/>
      </c>
      <c r="P945" s="59" t="str">
        <f t="shared" si="49"/>
        <v/>
      </c>
    </row>
    <row r="946" spans="4:16" ht="22.5" customHeight="1" x14ac:dyDescent="0.25">
      <c r="D946" s="59" t="str">
        <f t="shared" si="47"/>
        <v/>
      </c>
      <c r="O946" s="4" t="str">
        <f t="shared" si="48"/>
        <v/>
      </c>
      <c r="P946" s="59" t="str">
        <f t="shared" si="49"/>
        <v/>
      </c>
    </row>
    <row r="947" spans="4:16" ht="22.5" customHeight="1" x14ac:dyDescent="0.25">
      <c r="D947" s="59" t="str">
        <f t="shared" si="47"/>
        <v/>
      </c>
      <c r="O947" s="4" t="str">
        <f t="shared" si="48"/>
        <v/>
      </c>
      <c r="P947" s="59" t="str">
        <f t="shared" si="49"/>
        <v/>
      </c>
    </row>
    <row r="948" spans="4:16" ht="22.5" customHeight="1" x14ac:dyDescent="0.25">
      <c r="D948" s="59" t="str">
        <f t="shared" si="47"/>
        <v/>
      </c>
      <c r="O948" s="4" t="str">
        <f t="shared" si="48"/>
        <v/>
      </c>
      <c r="P948" s="59" t="str">
        <f t="shared" si="49"/>
        <v/>
      </c>
    </row>
    <row r="949" spans="4:16" ht="22.5" customHeight="1" x14ac:dyDescent="0.25">
      <c r="D949" s="59" t="str">
        <f t="shared" si="47"/>
        <v/>
      </c>
      <c r="O949" s="4" t="str">
        <f t="shared" si="48"/>
        <v/>
      </c>
      <c r="P949" s="59" t="str">
        <f t="shared" si="49"/>
        <v/>
      </c>
    </row>
    <row r="950" spans="4:16" ht="22.5" customHeight="1" x14ac:dyDescent="0.25">
      <c r="D950" s="59" t="str">
        <f t="shared" si="47"/>
        <v/>
      </c>
      <c r="O950" s="4" t="str">
        <f t="shared" si="48"/>
        <v/>
      </c>
      <c r="P950" s="59" t="str">
        <f t="shared" si="49"/>
        <v/>
      </c>
    </row>
    <row r="951" spans="4:16" ht="22.5" customHeight="1" x14ac:dyDescent="0.25">
      <c r="D951" s="59" t="str">
        <f t="shared" si="47"/>
        <v/>
      </c>
      <c r="O951" s="4" t="str">
        <f t="shared" si="48"/>
        <v/>
      </c>
      <c r="P951" s="59" t="str">
        <f t="shared" si="49"/>
        <v/>
      </c>
    </row>
    <row r="952" spans="4:16" ht="22.5" customHeight="1" x14ac:dyDescent="0.25">
      <c r="D952" s="59" t="str">
        <f t="shared" si="47"/>
        <v/>
      </c>
      <c r="O952" s="4" t="str">
        <f t="shared" si="48"/>
        <v/>
      </c>
      <c r="P952" s="59" t="str">
        <f t="shared" si="49"/>
        <v/>
      </c>
    </row>
    <row r="953" spans="4:16" ht="22.5" customHeight="1" x14ac:dyDescent="0.25">
      <c r="D953" s="59" t="str">
        <f t="shared" si="47"/>
        <v/>
      </c>
      <c r="O953" s="4" t="str">
        <f t="shared" si="48"/>
        <v/>
      </c>
      <c r="P953" s="59" t="str">
        <f t="shared" si="49"/>
        <v/>
      </c>
    </row>
    <row r="954" spans="4:16" ht="22.5" customHeight="1" x14ac:dyDescent="0.25">
      <c r="D954" s="59" t="str">
        <f t="shared" si="47"/>
        <v/>
      </c>
      <c r="O954" s="4" t="str">
        <f t="shared" si="48"/>
        <v/>
      </c>
      <c r="P954" s="59" t="str">
        <f t="shared" si="49"/>
        <v/>
      </c>
    </row>
    <row r="955" spans="4:16" ht="22.5" customHeight="1" x14ac:dyDescent="0.25">
      <c r="D955" s="59" t="str">
        <f t="shared" si="47"/>
        <v/>
      </c>
      <c r="O955" s="4" t="str">
        <f t="shared" si="48"/>
        <v/>
      </c>
      <c r="P955" s="59" t="str">
        <f t="shared" si="49"/>
        <v/>
      </c>
    </row>
    <row r="956" spans="4:16" ht="22.5" customHeight="1" x14ac:dyDescent="0.25">
      <c r="D956" s="59" t="str">
        <f t="shared" si="47"/>
        <v/>
      </c>
      <c r="O956" s="4" t="str">
        <f t="shared" si="48"/>
        <v/>
      </c>
      <c r="P956" s="59" t="str">
        <f t="shared" si="49"/>
        <v/>
      </c>
    </row>
    <row r="957" spans="4:16" ht="22.5" customHeight="1" x14ac:dyDescent="0.25">
      <c r="D957" s="59" t="str">
        <f t="shared" si="47"/>
        <v/>
      </c>
      <c r="O957" s="4" t="str">
        <f t="shared" si="48"/>
        <v/>
      </c>
      <c r="P957" s="59" t="str">
        <f t="shared" si="49"/>
        <v/>
      </c>
    </row>
    <row r="958" spans="4:16" ht="22.5" customHeight="1" x14ac:dyDescent="0.25">
      <c r="D958" s="59" t="str">
        <f t="shared" si="47"/>
        <v/>
      </c>
      <c r="O958" s="4" t="str">
        <f t="shared" si="48"/>
        <v/>
      </c>
      <c r="P958" s="59" t="str">
        <f t="shared" si="49"/>
        <v/>
      </c>
    </row>
    <row r="959" spans="4:16" ht="22.5" customHeight="1" x14ac:dyDescent="0.25">
      <c r="D959" s="59" t="str">
        <f t="shared" si="47"/>
        <v/>
      </c>
      <c r="O959" s="4" t="str">
        <f t="shared" si="48"/>
        <v/>
      </c>
      <c r="P959" s="59" t="str">
        <f t="shared" si="49"/>
        <v/>
      </c>
    </row>
    <row r="960" spans="4:16" ht="22.5" customHeight="1" x14ac:dyDescent="0.25">
      <c r="D960" s="59" t="str">
        <f t="shared" si="47"/>
        <v/>
      </c>
      <c r="O960" s="4" t="str">
        <f t="shared" si="48"/>
        <v/>
      </c>
      <c r="P960" s="59" t="str">
        <f t="shared" si="49"/>
        <v/>
      </c>
    </row>
    <row r="961" spans="4:16" ht="22.5" customHeight="1" x14ac:dyDescent="0.25">
      <c r="D961" s="59" t="str">
        <f t="shared" si="47"/>
        <v/>
      </c>
      <c r="O961" s="4" t="str">
        <f t="shared" si="48"/>
        <v/>
      </c>
      <c r="P961" s="59" t="str">
        <f t="shared" si="49"/>
        <v/>
      </c>
    </row>
    <row r="962" spans="4:16" ht="22.5" customHeight="1" x14ac:dyDescent="0.25">
      <c r="D962" s="59" t="str">
        <f t="shared" si="47"/>
        <v/>
      </c>
      <c r="O962" s="4" t="str">
        <f t="shared" si="48"/>
        <v/>
      </c>
      <c r="P962" s="59" t="str">
        <f t="shared" si="49"/>
        <v/>
      </c>
    </row>
    <row r="963" spans="4:16" ht="22.5" customHeight="1" x14ac:dyDescent="0.25">
      <c r="D963" s="59" t="str">
        <f t="shared" si="47"/>
        <v/>
      </c>
      <c r="O963" s="4" t="str">
        <f t="shared" si="48"/>
        <v/>
      </c>
      <c r="P963" s="59" t="str">
        <f t="shared" si="49"/>
        <v/>
      </c>
    </row>
    <row r="964" spans="4:16" ht="22.5" customHeight="1" x14ac:dyDescent="0.25">
      <c r="D964" s="59" t="str">
        <f t="shared" si="47"/>
        <v/>
      </c>
      <c r="O964" s="4" t="str">
        <f t="shared" si="48"/>
        <v/>
      </c>
      <c r="P964" s="59" t="str">
        <f t="shared" si="49"/>
        <v/>
      </c>
    </row>
    <row r="965" spans="4:16" ht="22.5" customHeight="1" x14ac:dyDescent="0.25">
      <c r="D965" s="59" t="str">
        <f t="shared" si="47"/>
        <v/>
      </c>
      <c r="O965" s="4" t="str">
        <f t="shared" si="48"/>
        <v/>
      </c>
      <c r="P965" s="59" t="str">
        <f t="shared" si="49"/>
        <v/>
      </c>
    </row>
    <row r="966" spans="4:16" ht="22.5" customHeight="1" x14ac:dyDescent="0.25">
      <c r="D966" s="59" t="str">
        <f t="shared" si="47"/>
        <v/>
      </c>
      <c r="O966" s="4" t="str">
        <f t="shared" si="48"/>
        <v/>
      </c>
      <c r="P966" s="59" t="str">
        <f t="shared" si="49"/>
        <v/>
      </c>
    </row>
    <row r="967" spans="4:16" ht="22.5" customHeight="1" x14ac:dyDescent="0.25">
      <c r="D967" s="59" t="str">
        <f t="shared" si="47"/>
        <v/>
      </c>
      <c r="O967" s="4" t="str">
        <f t="shared" si="48"/>
        <v/>
      </c>
      <c r="P967" s="59" t="str">
        <f t="shared" si="49"/>
        <v/>
      </c>
    </row>
    <row r="968" spans="4:16" ht="22.5" customHeight="1" x14ac:dyDescent="0.25">
      <c r="D968" s="59" t="str">
        <f t="shared" si="47"/>
        <v/>
      </c>
      <c r="O968" s="4" t="str">
        <f t="shared" si="48"/>
        <v/>
      </c>
      <c r="P968" s="59" t="str">
        <f t="shared" si="49"/>
        <v/>
      </c>
    </row>
    <row r="969" spans="4:16" ht="22.5" customHeight="1" x14ac:dyDescent="0.25">
      <c r="D969" s="59" t="str">
        <f t="shared" si="47"/>
        <v/>
      </c>
      <c r="O969" s="4" t="str">
        <f t="shared" si="48"/>
        <v/>
      </c>
      <c r="P969" s="59" t="str">
        <f t="shared" si="49"/>
        <v/>
      </c>
    </row>
    <row r="970" spans="4:16" ht="22.5" customHeight="1" x14ac:dyDescent="0.25">
      <c r="D970" s="59" t="str">
        <f t="shared" si="47"/>
        <v/>
      </c>
      <c r="O970" s="4" t="str">
        <f t="shared" si="48"/>
        <v/>
      </c>
      <c r="P970" s="59" t="str">
        <f t="shared" si="49"/>
        <v/>
      </c>
    </row>
    <row r="971" spans="4:16" ht="22.5" customHeight="1" x14ac:dyDescent="0.25">
      <c r="D971" s="59" t="str">
        <f t="shared" si="47"/>
        <v/>
      </c>
      <c r="O971" s="4" t="str">
        <f t="shared" si="48"/>
        <v/>
      </c>
      <c r="P971" s="59" t="str">
        <f t="shared" si="49"/>
        <v/>
      </c>
    </row>
    <row r="972" spans="4:16" ht="22.5" customHeight="1" x14ac:dyDescent="0.25">
      <c r="D972" s="59" t="str">
        <f t="shared" si="47"/>
        <v/>
      </c>
      <c r="O972" s="4" t="str">
        <f t="shared" si="48"/>
        <v/>
      </c>
      <c r="P972" s="59" t="str">
        <f t="shared" si="49"/>
        <v/>
      </c>
    </row>
    <row r="973" spans="4:16" ht="22.5" customHeight="1" x14ac:dyDescent="0.25">
      <c r="D973" s="59" t="str">
        <f t="shared" si="47"/>
        <v/>
      </c>
      <c r="O973" s="4" t="str">
        <f t="shared" si="48"/>
        <v/>
      </c>
      <c r="P973" s="59" t="str">
        <f t="shared" si="49"/>
        <v/>
      </c>
    </row>
    <row r="974" spans="4:16" ht="22.5" customHeight="1" x14ac:dyDescent="0.25">
      <c r="D974" s="59" t="str">
        <f t="shared" si="47"/>
        <v/>
      </c>
      <c r="O974" s="4" t="str">
        <f t="shared" si="48"/>
        <v/>
      </c>
      <c r="P974" s="59" t="str">
        <f t="shared" si="49"/>
        <v/>
      </c>
    </row>
    <row r="975" spans="4:16" ht="22.5" customHeight="1" x14ac:dyDescent="0.25">
      <c r="D975" s="59" t="str">
        <f t="shared" si="47"/>
        <v/>
      </c>
      <c r="O975" s="4" t="str">
        <f t="shared" si="48"/>
        <v/>
      </c>
      <c r="P975" s="59" t="str">
        <f t="shared" si="49"/>
        <v/>
      </c>
    </row>
    <row r="976" spans="4:16" ht="22.5" customHeight="1" x14ac:dyDescent="0.25">
      <c r="D976" s="59" t="str">
        <f t="shared" si="47"/>
        <v/>
      </c>
      <c r="O976" s="4" t="str">
        <f t="shared" si="48"/>
        <v/>
      </c>
      <c r="P976" s="59" t="str">
        <f t="shared" si="49"/>
        <v/>
      </c>
    </row>
    <row r="977" spans="4:16" ht="22.5" customHeight="1" x14ac:dyDescent="0.25">
      <c r="D977" s="59" t="str">
        <f t="shared" si="47"/>
        <v/>
      </c>
      <c r="O977" s="4" t="str">
        <f t="shared" si="48"/>
        <v/>
      </c>
      <c r="P977" s="59" t="str">
        <f t="shared" si="49"/>
        <v/>
      </c>
    </row>
    <row r="978" spans="4:16" ht="22.5" customHeight="1" x14ac:dyDescent="0.25">
      <c r="D978" s="59" t="str">
        <f t="shared" si="47"/>
        <v/>
      </c>
      <c r="O978" s="4" t="str">
        <f t="shared" si="48"/>
        <v/>
      </c>
      <c r="P978" s="59" t="str">
        <f t="shared" si="49"/>
        <v/>
      </c>
    </row>
    <row r="979" spans="4:16" ht="22.5" customHeight="1" x14ac:dyDescent="0.25">
      <c r="D979" s="59" t="str">
        <f t="shared" si="47"/>
        <v/>
      </c>
      <c r="O979" s="4" t="str">
        <f t="shared" si="48"/>
        <v/>
      </c>
      <c r="P979" s="59" t="str">
        <f t="shared" si="49"/>
        <v/>
      </c>
    </row>
    <row r="980" spans="4:16" ht="22.5" customHeight="1" x14ac:dyDescent="0.25">
      <c r="D980" s="59" t="str">
        <f t="shared" si="47"/>
        <v/>
      </c>
      <c r="O980" s="4" t="str">
        <f t="shared" si="48"/>
        <v/>
      </c>
      <c r="P980" s="59" t="str">
        <f t="shared" si="49"/>
        <v/>
      </c>
    </row>
    <row r="981" spans="4:16" ht="22.5" customHeight="1" x14ac:dyDescent="0.25">
      <c r="D981" s="59" t="str">
        <f t="shared" si="47"/>
        <v/>
      </c>
      <c r="O981" s="4" t="str">
        <f t="shared" si="48"/>
        <v/>
      </c>
      <c r="P981" s="59" t="str">
        <f t="shared" si="49"/>
        <v/>
      </c>
    </row>
    <row r="982" spans="4:16" ht="22.5" customHeight="1" x14ac:dyDescent="0.25">
      <c r="D982" s="59" t="str">
        <f t="shared" si="47"/>
        <v/>
      </c>
      <c r="O982" s="4" t="str">
        <f t="shared" si="48"/>
        <v/>
      </c>
      <c r="P982" s="59" t="str">
        <f t="shared" si="49"/>
        <v/>
      </c>
    </row>
    <row r="983" spans="4:16" ht="22.5" customHeight="1" x14ac:dyDescent="0.25">
      <c r="D983" s="59" t="str">
        <f t="shared" si="47"/>
        <v/>
      </c>
      <c r="O983" s="4" t="str">
        <f t="shared" si="48"/>
        <v/>
      </c>
      <c r="P983" s="59" t="str">
        <f t="shared" si="49"/>
        <v/>
      </c>
    </row>
    <row r="984" spans="4:16" ht="22.5" customHeight="1" x14ac:dyDescent="0.25">
      <c r="D984" s="59" t="str">
        <f t="shared" si="47"/>
        <v/>
      </c>
      <c r="O984" s="4" t="str">
        <f t="shared" si="48"/>
        <v/>
      </c>
      <c r="P984" s="59" t="str">
        <f t="shared" si="49"/>
        <v/>
      </c>
    </row>
    <row r="985" spans="4:16" ht="22.5" customHeight="1" x14ac:dyDescent="0.25">
      <c r="D985" s="59" t="str">
        <f t="shared" si="47"/>
        <v/>
      </c>
      <c r="O985" s="4" t="str">
        <f t="shared" si="48"/>
        <v/>
      </c>
      <c r="P985" s="59" t="str">
        <f t="shared" si="49"/>
        <v/>
      </c>
    </row>
    <row r="986" spans="4:16" ht="22.5" customHeight="1" x14ac:dyDescent="0.25">
      <c r="D986" s="59" t="str">
        <f t="shared" si="47"/>
        <v/>
      </c>
      <c r="O986" s="4" t="str">
        <f t="shared" si="48"/>
        <v/>
      </c>
      <c r="P986" s="59" t="str">
        <f t="shared" si="49"/>
        <v/>
      </c>
    </row>
    <row r="987" spans="4:16" ht="22.5" customHeight="1" x14ac:dyDescent="0.25">
      <c r="D987" s="59" t="str">
        <f t="shared" si="47"/>
        <v/>
      </c>
      <c r="O987" s="4" t="str">
        <f t="shared" si="48"/>
        <v/>
      </c>
      <c r="P987" s="59" t="str">
        <f t="shared" si="49"/>
        <v/>
      </c>
    </row>
    <row r="988" spans="4:16" ht="22.5" customHeight="1" x14ac:dyDescent="0.25">
      <c r="D988" s="59" t="str">
        <f t="shared" ref="D988:D1051" si="50">IF(AND(I988&lt;&gt;"",J988&lt;&gt;""), I988*J988, "")</f>
        <v/>
      </c>
      <c r="O988" s="4" t="str">
        <f t="shared" ref="O988:O1051" si="51">IF(OR(D988="", N988=""), "", ROUND(D988 * N988 / 100, 2))</f>
        <v/>
      </c>
      <c r="P988" s="59" t="str">
        <f t="shared" ref="P988:P1051" si="52">IF(D988="", "", D988 + O988)</f>
        <v/>
      </c>
    </row>
    <row r="989" spans="4:16" ht="22.5" customHeight="1" x14ac:dyDescent="0.25">
      <c r="D989" s="59" t="str">
        <f t="shared" si="50"/>
        <v/>
      </c>
      <c r="O989" s="4" t="str">
        <f t="shared" si="51"/>
        <v/>
      </c>
      <c r="P989" s="59" t="str">
        <f t="shared" si="52"/>
        <v/>
      </c>
    </row>
    <row r="990" spans="4:16" ht="22.5" customHeight="1" x14ac:dyDescent="0.25">
      <c r="D990" s="59" t="str">
        <f t="shared" si="50"/>
        <v/>
      </c>
      <c r="O990" s="4" t="str">
        <f t="shared" si="51"/>
        <v/>
      </c>
      <c r="P990" s="59" t="str">
        <f t="shared" si="52"/>
        <v/>
      </c>
    </row>
    <row r="991" spans="4:16" ht="22.5" customHeight="1" x14ac:dyDescent="0.25">
      <c r="D991" s="59" t="str">
        <f t="shared" si="50"/>
        <v/>
      </c>
      <c r="O991" s="4" t="str">
        <f t="shared" si="51"/>
        <v/>
      </c>
      <c r="P991" s="59" t="str">
        <f t="shared" si="52"/>
        <v/>
      </c>
    </row>
    <row r="992" spans="4:16" ht="22.5" customHeight="1" x14ac:dyDescent="0.25">
      <c r="D992" s="59" t="str">
        <f t="shared" si="50"/>
        <v/>
      </c>
      <c r="O992" s="4" t="str">
        <f t="shared" si="51"/>
        <v/>
      </c>
      <c r="P992" s="59" t="str">
        <f t="shared" si="52"/>
        <v/>
      </c>
    </row>
    <row r="993" spans="4:16" ht="22.5" customHeight="1" x14ac:dyDescent="0.25">
      <c r="D993" s="59" t="str">
        <f t="shared" si="50"/>
        <v/>
      </c>
      <c r="O993" s="4" t="str">
        <f t="shared" si="51"/>
        <v/>
      </c>
      <c r="P993" s="59" t="str">
        <f t="shared" si="52"/>
        <v/>
      </c>
    </row>
    <row r="994" spans="4:16" ht="22.5" customHeight="1" x14ac:dyDescent="0.25">
      <c r="D994" s="59" t="str">
        <f t="shared" si="50"/>
        <v/>
      </c>
      <c r="O994" s="4" t="str">
        <f t="shared" si="51"/>
        <v/>
      </c>
      <c r="P994" s="59" t="str">
        <f t="shared" si="52"/>
        <v/>
      </c>
    </row>
    <row r="995" spans="4:16" ht="22.5" customHeight="1" x14ac:dyDescent="0.25">
      <c r="D995" s="59" t="str">
        <f t="shared" si="50"/>
        <v/>
      </c>
      <c r="O995" s="4" t="str">
        <f t="shared" si="51"/>
        <v/>
      </c>
      <c r="P995" s="59" t="str">
        <f t="shared" si="52"/>
        <v/>
      </c>
    </row>
    <row r="996" spans="4:16" ht="22.5" customHeight="1" x14ac:dyDescent="0.25">
      <c r="D996" s="59" t="str">
        <f t="shared" si="50"/>
        <v/>
      </c>
      <c r="O996" s="4" t="str">
        <f t="shared" si="51"/>
        <v/>
      </c>
      <c r="P996" s="59" t="str">
        <f t="shared" si="52"/>
        <v/>
      </c>
    </row>
    <row r="997" spans="4:16" ht="22.5" customHeight="1" x14ac:dyDescent="0.25">
      <c r="D997" s="59" t="str">
        <f t="shared" si="50"/>
        <v/>
      </c>
      <c r="O997" s="4" t="str">
        <f t="shared" si="51"/>
        <v/>
      </c>
      <c r="P997" s="59" t="str">
        <f t="shared" si="52"/>
        <v/>
      </c>
    </row>
    <row r="998" spans="4:16" ht="22.5" customHeight="1" x14ac:dyDescent="0.25">
      <c r="D998" s="59" t="str">
        <f t="shared" si="50"/>
        <v/>
      </c>
      <c r="O998" s="4" t="str">
        <f t="shared" si="51"/>
        <v/>
      </c>
      <c r="P998" s="59" t="str">
        <f t="shared" si="52"/>
        <v/>
      </c>
    </row>
    <row r="999" spans="4:16" ht="22.5" customHeight="1" x14ac:dyDescent="0.25">
      <c r="D999" s="59" t="str">
        <f t="shared" si="50"/>
        <v/>
      </c>
      <c r="O999" s="4" t="str">
        <f t="shared" si="51"/>
        <v/>
      </c>
      <c r="P999" s="59" t="str">
        <f t="shared" si="52"/>
        <v/>
      </c>
    </row>
    <row r="1000" spans="4:16" ht="22.5" customHeight="1" x14ac:dyDescent="0.25">
      <c r="D1000" s="59" t="str">
        <f t="shared" si="50"/>
        <v/>
      </c>
      <c r="O1000" s="4" t="str">
        <f t="shared" si="51"/>
        <v/>
      </c>
      <c r="P1000" s="59" t="str">
        <f t="shared" si="52"/>
        <v/>
      </c>
    </row>
    <row r="1001" spans="4:16" ht="22.5" customHeight="1" x14ac:dyDescent="0.25">
      <c r="D1001" s="59" t="str">
        <f t="shared" si="50"/>
        <v/>
      </c>
      <c r="O1001" s="4" t="str">
        <f t="shared" si="51"/>
        <v/>
      </c>
      <c r="P1001" s="59" t="str">
        <f t="shared" si="52"/>
        <v/>
      </c>
    </row>
    <row r="1002" spans="4:16" ht="22.5" customHeight="1" x14ac:dyDescent="0.25">
      <c r="D1002" s="59" t="str">
        <f t="shared" si="50"/>
        <v/>
      </c>
      <c r="O1002" s="4" t="str">
        <f t="shared" si="51"/>
        <v/>
      </c>
      <c r="P1002" s="59" t="str">
        <f t="shared" si="52"/>
        <v/>
      </c>
    </row>
    <row r="1003" spans="4:16" ht="22.5" customHeight="1" x14ac:dyDescent="0.25">
      <c r="D1003" s="59" t="str">
        <f t="shared" si="50"/>
        <v/>
      </c>
      <c r="O1003" s="4" t="str">
        <f t="shared" si="51"/>
        <v/>
      </c>
      <c r="P1003" s="59" t="str">
        <f t="shared" si="52"/>
        <v/>
      </c>
    </row>
    <row r="1004" spans="4:16" ht="22.5" customHeight="1" x14ac:dyDescent="0.25">
      <c r="D1004" s="59" t="str">
        <f t="shared" si="50"/>
        <v/>
      </c>
      <c r="O1004" s="4" t="str">
        <f t="shared" si="51"/>
        <v/>
      </c>
      <c r="P1004" s="59" t="str">
        <f t="shared" si="52"/>
        <v/>
      </c>
    </row>
    <row r="1005" spans="4:16" ht="22.5" customHeight="1" x14ac:dyDescent="0.25">
      <c r="D1005" s="59" t="str">
        <f t="shared" si="50"/>
        <v/>
      </c>
      <c r="O1005" s="4" t="str">
        <f t="shared" si="51"/>
        <v/>
      </c>
      <c r="P1005" s="59" t="str">
        <f t="shared" si="52"/>
        <v/>
      </c>
    </row>
    <row r="1006" spans="4:16" ht="22.5" customHeight="1" x14ac:dyDescent="0.25">
      <c r="D1006" s="59" t="str">
        <f t="shared" si="50"/>
        <v/>
      </c>
      <c r="O1006" s="4" t="str">
        <f t="shared" si="51"/>
        <v/>
      </c>
      <c r="P1006" s="59" t="str">
        <f t="shared" si="52"/>
        <v/>
      </c>
    </row>
    <row r="1007" spans="4:16" ht="22.5" customHeight="1" x14ac:dyDescent="0.25">
      <c r="D1007" s="59" t="str">
        <f t="shared" si="50"/>
        <v/>
      </c>
      <c r="O1007" s="4" t="str">
        <f t="shared" si="51"/>
        <v/>
      </c>
      <c r="P1007" s="59" t="str">
        <f t="shared" si="52"/>
        <v/>
      </c>
    </row>
    <row r="1008" spans="4:16" ht="22.5" customHeight="1" x14ac:dyDescent="0.25">
      <c r="D1008" s="59" t="str">
        <f t="shared" si="50"/>
        <v/>
      </c>
      <c r="O1008" s="4" t="str">
        <f t="shared" si="51"/>
        <v/>
      </c>
      <c r="P1008" s="59" t="str">
        <f t="shared" si="52"/>
        <v/>
      </c>
    </row>
    <row r="1009" spans="4:16" ht="22.5" customHeight="1" x14ac:dyDescent="0.25">
      <c r="D1009" s="59" t="str">
        <f t="shared" si="50"/>
        <v/>
      </c>
      <c r="O1009" s="4" t="str">
        <f t="shared" si="51"/>
        <v/>
      </c>
      <c r="P1009" s="59" t="str">
        <f t="shared" si="52"/>
        <v/>
      </c>
    </row>
    <row r="1010" spans="4:16" ht="22.5" customHeight="1" x14ac:dyDescent="0.25">
      <c r="D1010" s="59" t="str">
        <f t="shared" si="50"/>
        <v/>
      </c>
      <c r="O1010" s="4" t="str">
        <f t="shared" si="51"/>
        <v/>
      </c>
      <c r="P1010" s="59" t="str">
        <f t="shared" si="52"/>
        <v/>
      </c>
    </row>
    <row r="1011" spans="4:16" ht="22.5" customHeight="1" x14ac:dyDescent="0.25">
      <c r="D1011" s="59" t="str">
        <f t="shared" si="50"/>
        <v/>
      </c>
      <c r="O1011" s="4" t="str">
        <f t="shared" si="51"/>
        <v/>
      </c>
      <c r="P1011" s="59" t="str">
        <f t="shared" si="52"/>
        <v/>
      </c>
    </row>
    <row r="1012" spans="4:16" ht="22.5" customHeight="1" x14ac:dyDescent="0.25">
      <c r="D1012" s="59" t="str">
        <f t="shared" si="50"/>
        <v/>
      </c>
      <c r="O1012" s="4" t="str">
        <f t="shared" si="51"/>
        <v/>
      </c>
      <c r="P1012" s="59" t="str">
        <f t="shared" si="52"/>
        <v/>
      </c>
    </row>
    <row r="1013" spans="4:16" ht="22.5" customHeight="1" x14ac:dyDescent="0.25">
      <c r="D1013" s="59" t="str">
        <f t="shared" si="50"/>
        <v/>
      </c>
      <c r="O1013" s="4" t="str">
        <f t="shared" si="51"/>
        <v/>
      </c>
      <c r="P1013" s="59" t="str">
        <f t="shared" si="52"/>
        <v/>
      </c>
    </row>
    <row r="1014" spans="4:16" ht="22.5" customHeight="1" x14ac:dyDescent="0.25">
      <c r="D1014" s="59" t="str">
        <f t="shared" si="50"/>
        <v/>
      </c>
      <c r="O1014" s="4" t="str">
        <f t="shared" si="51"/>
        <v/>
      </c>
      <c r="P1014" s="59" t="str">
        <f t="shared" si="52"/>
        <v/>
      </c>
    </row>
    <row r="1015" spans="4:16" ht="22.5" customHeight="1" x14ac:dyDescent="0.25">
      <c r="D1015" s="59" t="str">
        <f t="shared" si="50"/>
        <v/>
      </c>
      <c r="O1015" s="4" t="str">
        <f t="shared" si="51"/>
        <v/>
      </c>
      <c r="P1015" s="59" t="str">
        <f t="shared" si="52"/>
        <v/>
      </c>
    </row>
    <row r="1016" spans="4:16" ht="22.5" customHeight="1" x14ac:dyDescent="0.25">
      <c r="D1016" s="59" t="str">
        <f t="shared" si="50"/>
        <v/>
      </c>
      <c r="O1016" s="4" t="str">
        <f t="shared" si="51"/>
        <v/>
      </c>
      <c r="P1016" s="59" t="str">
        <f t="shared" si="52"/>
        <v/>
      </c>
    </row>
    <row r="1017" spans="4:16" ht="22.5" customHeight="1" x14ac:dyDescent="0.25">
      <c r="D1017" s="59" t="str">
        <f t="shared" si="50"/>
        <v/>
      </c>
      <c r="O1017" s="4" t="str">
        <f t="shared" si="51"/>
        <v/>
      </c>
      <c r="P1017" s="59" t="str">
        <f t="shared" si="52"/>
        <v/>
      </c>
    </row>
    <row r="1018" spans="4:16" ht="22.5" customHeight="1" x14ac:dyDescent="0.25">
      <c r="D1018" s="59" t="str">
        <f t="shared" si="50"/>
        <v/>
      </c>
      <c r="O1018" s="4" t="str">
        <f t="shared" si="51"/>
        <v/>
      </c>
      <c r="P1018" s="59" t="str">
        <f t="shared" si="52"/>
        <v/>
      </c>
    </row>
    <row r="1019" spans="4:16" ht="22.5" customHeight="1" x14ac:dyDescent="0.25">
      <c r="D1019" s="59" t="str">
        <f t="shared" si="50"/>
        <v/>
      </c>
      <c r="O1019" s="4" t="str">
        <f t="shared" si="51"/>
        <v/>
      </c>
      <c r="P1019" s="59" t="str">
        <f t="shared" si="52"/>
        <v/>
      </c>
    </row>
    <row r="1020" spans="4:16" ht="22.5" customHeight="1" x14ac:dyDescent="0.25">
      <c r="D1020" s="59" t="str">
        <f t="shared" si="50"/>
        <v/>
      </c>
      <c r="O1020" s="4" t="str">
        <f t="shared" si="51"/>
        <v/>
      </c>
      <c r="P1020" s="59" t="str">
        <f t="shared" si="52"/>
        <v/>
      </c>
    </row>
    <row r="1021" spans="4:16" ht="22.5" customHeight="1" x14ac:dyDescent="0.25">
      <c r="D1021" s="59" t="str">
        <f t="shared" si="50"/>
        <v/>
      </c>
      <c r="O1021" s="4" t="str">
        <f t="shared" si="51"/>
        <v/>
      </c>
      <c r="P1021" s="59" t="str">
        <f t="shared" si="52"/>
        <v/>
      </c>
    </row>
    <row r="1022" spans="4:16" ht="22.5" customHeight="1" x14ac:dyDescent="0.25">
      <c r="D1022" s="59" t="str">
        <f t="shared" si="50"/>
        <v/>
      </c>
      <c r="O1022" s="4" t="str">
        <f t="shared" si="51"/>
        <v/>
      </c>
      <c r="P1022" s="59" t="str">
        <f t="shared" si="52"/>
        <v/>
      </c>
    </row>
    <row r="1023" spans="4:16" ht="22.5" customHeight="1" x14ac:dyDescent="0.25">
      <c r="D1023" s="59" t="str">
        <f t="shared" si="50"/>
        <v/>
      </c>
      <c r="O1023" s="4" t="str">
        <f t="shared" si="51"/>
        <v/>
      </c>
      <c r="P1023" s="59" t="str">
        <f t="shared" si="52"/>
        <v/>
      </c>
    </row>
    <row r="1024" spans="4:16" ht="22.5" customHeight="1" x14ac:dyDescent="0.25">
      <c r="D1024" s="59" t="str">
        <f t="shared" si="50"/>
        <v/>
      </c>
      <c r="O1024" s="4" t="str">
        <f t="shared" si="51"/>
        <v/>
      </c>
      <c r="P1024" s="59" t="str">
        <f t="shared" si="52"/>
        <v/>
      </c>
    </row>
    <row r="1025" spans="4:16" ht="22.5" customHeight="1" x14ac:dyDescent="0.25">
      <c r="D1025" s="59" t="str">
        <f t="shared" si="50"/>
        <v/>
      </c>
      <c r="O1025" s="4" t="str">
        <f t="shared" si="51"/>
        <v/>
      </c>
      <c r="P1025" s="59" t="str">
        <f t="shared" si="52"/>
        <v/>
      </c>
    </row>
    <row r="1026" spans="4:16" ht="22.5" customHeight="1" x14ac:dyDescent="0.25">
      <c r="D1026" s="59" t="str">
        <f t="shared" si="50"/>
        <v/>
      </c>
      <c r="O1026" s="4" t="str">
        <f t="shared" si="51"/>
        <v/>
      </c>
      <c r="P1026" s="59" t="str">
        <f t="shared" si="52"/>
        <v/>
      </c>
    </row>
    <row r="1027" spans="4:16" ht="22.5" customHeight="1" x14ac:dyDescent="0.25">
      <c r="D1027" s="59" t="str">
        <f t="shared" si="50"/>
        <v/>
      </c>
      <c r="O1027" s="4" t="str">
        <f t="shared" si="51"/>
        <v/>
      </c>
      <c r="P1027" s="59" t="str">
        <f t="shared" si="52"/>
        <v/>
      </c>
    </row>
    <row r="1028" spans="4:16" ht="22.5" customHeight="1" x14ac:dyDescent="0.25">
      <c r="D1028" s="59" t="str">
        <f t="shared" si="50"/>
        <v/>
      </c>
      <c r="O1028" s="4" t="str">
        <f t="shared" si="51"/>
        <v/>
      </c>
      <c r="P1028" s="59" t="str">
        <f t="shared" si="52"/>
        <v/>
      </c>
    </row>
    <row r="1029" spans="4:16" ht="22.5" customHeight="1" x14ac:dyDescent="0.25">
      <c r="D1029" s="59" t="str">
        <f t="shared" si="50"/>
        <v/>
      </c>
      <c r="O1029" s="4" t="str">
        <f t="shared" si="51"/>
        <v/>
      </c>
      <c r="P1029" s="59" t="str">
        <f t="shared" si="52"/>
        <v/>
      </c>
    </row>
    <row r="1030" spans="4:16" ht="22.5" customHeight="1" x14ac:dyDescent="0.25">
      <c r="D1030" s="59" t="str">
        <f t="shared" si="50"/>
        <v/>
      </c>
      <c r="O1030" s="4" t="str">
        <f t="shared" si="51"/>
        <v/>
      </c>
      <c r="P1030" s="59" t="str">
        <f t="shared" si="52"/>
        <v/>
      </c>
    </row>
    <row r="1031" spans="4:16" ht="22.5" customHeight="1" x14ac:dyDescent="0.25">
      <c r="D1031" s="59" t="str">
        <f t="shared" si="50"/>
        <v/>
      </c>
      <c r="O1031" s="4" t="str">
        <f t="shared" si="51"/>
        <v/>
      </c>
      <c r="P1031" s="59" t="str">
        <f t="shared" si="52"/>
        <v/>
      </c>
    </row>
    <row r="1032" spans="4:16" ht="22.5" customHeight="1" x14ac:dyDescent="0.25">
      <c r="D1032" s="59" t="str">
        <f t="shared" si="50"/>
        <v/>
      </c>
      <c r="O1032" s="4" t="str">
        <f t="shared" si="51"/>
        <v/>
      </c>
      <c r="P1032" s="59" t="str">
        <f t="shared" si="52"/>
        <v/>
      </c>
    </row>
    <row r="1033" spans="4:16" ht="22.5" customHeight="1" x14ac:dyDescent="0.25">
      <c r="D1033" s="59" t="str">
        <f t="shared" si="50"/>
        <v/>
      </c>
      <c r="O1033" s="4" t="str">
        <f t="shared" si="51"/>
        <v/>
      </c>
      <c r="P1033" s="59" t="str">
        <f t="shared" si="52"/>
        <v/>
      </c>
    </row>
    <row r="1034" spans="4:16" ht="22.5" customHeight="1" x14ac:dyDescent="0.25">
      <c r="D1034" s="59" t="str">
        <f t="shared" si="50"/>
        <v/>
      </c>
      <c r="O1034" s="4" t="str">
        <f t="shared" si="51"/>
        <v/>
      </c>
      <c r="P1034" s="59" t="str">
        <f t="shared" si="52"/>
        <v/>
      </c>
    </row>
    <row r="1035" spans="4:16" ht="22.5" customHeight="1" x14ac:dyDescent="0.25">
      <c r="D1035" s="59" t="str">
        <f t="shared" si="50"/>
        <v/>
      </c>
      <c r="O1035" s="4" t="str">
        <f t="shared" si="51"/>
        <v/>
      </c>
      <c r="P1035" s="59" t="str">
        <f t="shared" si="52"/>
        <v/>
      </c>
    </row>
    <row r="1036" spans="4:16" ht="22.5" customHeight="1" x14ac:dyDescent="0.25">
      <c r="D1036" s="59" t="str">
        <f t="shared" si="50"/>
        <v/>
      </c>
      <c r="O1036" s="4" t="str">
        <f t="shared" si="51"/>
        <v/>
      </c>
      <c r="P1036" s="59" t="str">
        <f t="shared" si="52"/>
        <v/>
      </c>
    </row>
    <row r="1037" spans="4:16" ht="22.5" customHeight="1" x14ac:dyDescent="0.25">
      <c r="D1037" s="59" t="str">
        <f t="shared" si="50"/>
        <v/>
      </c>
      <c r="O1037" s="4" t="str">
        <f t="shared" si="51"/>
        <v/>
      </c>
      <c r="P1037" s="59" t="str">
        <f t="shared" si="52"/>
        <v/>
      </c>
    </row>
    <row r="1038" spans="4:16" ht="22.5" customHeight="1" x14ac:dyDescent="0.25">
      <c r="D1038" s="59" t="str">
        <f t="shared" si="50"/>
        <v/>
      </c>
      <c r="O1038" s="4" t="str">
        <f t="shared" si="51"/>
        <v/>
      </c>
      <c r="P1038" s="59" t="str">
        <f t="shared" si="52"/>
        <v/>
      </c>
    </row>
    <row r="1039" spans="4:16" ht="22.5" customHeight="1" x14ac:dyDescent="0.25">
      <c r="D1039" s="59" t="str">
        <f t="shared" si="50"/>
        <v/>
      </c>
      <c r="O1039" s="4" t="str">
        <f t="shared" si="51"/>
        <v/>
      </c>
      <c r="P1039" s="59" t="str">
        <f t="shared" si="52"/>
        <v/>
      </c>
    </row>
    <row r="1040" spans="4:16" ht="22.5" customHeight="1" x14ac:dyDescent="0.25">
      <c r="D1040" s="59" t="str">
        <f t="shared" si="50"/>
        <v/>
      </c>
      <c r="O1040" s="4" t="str">
        <f t="shared" si="51"/>
        <v/>
      </c>
      <c r="P1040" s="59" t="str">
        <f t="shared" si="52"/>
        <v/>
      </c>
    </row>
    <row r="1041" spans="4:16" ht="22.5" customHeight="1" x14ac:dyDescent="0.25">
      <c r="D1041" s="59" t="str">
        <f t="shared" si="50"/>
        <v/>
      </c>
      <c r="O1041" s="4" t="str">
        <f t="shared" si="51"/>
        <v/>
      </c>
      <c r="P1041" s="59" t="str">
        <f t="shared" si="52"/>
        <v/>
      </c>
    </row>
    <row r="1042" spans="4:16" ht="22.5" customHeight="1" x14ac:dyDescent="0.25">
      <c r="D1042" s="59" t="str">
        <f t="shared" si="50"/>
        <v/>
      </c>
      <c r="O1042" s="4" t="str">
        <f t="shared" si="51"/>
        <v/>
      </c>
      <c r="P1042" s="59" t="str">
        <f t="shared" si="52"/>
        <v/>
      </c>
    </row>
    <row r="1043" spans="4:16" ht="22.5" customHeight="1" x14ac:dyDescent="0.25">
      <c r="D1043" s="59" t="str">
        <f t="shared" si="50"/>
        <v/>
      </c>
      <c r="O1043" s="4" t="str">
        <f t="shared" si="51"/>
        <v/>
      </c>
      <c r="P1043" s="59" t="str">
        <f t="shared" si="52"/>
        <v/>
      </c>
    </row>
    <row r="1044" spans="4:16" ht="22.5" customHeight="1" x14ac:dyDescent="0.25">
      <c r="D1044" s="59" t="str">
        <f t="shared" si="50"/>
        <v/>
      </c>
      <c r="O1044" s="4" t="str">
        <f t="shared" si="51"/>
        <v/>
      </c>
      <c r="P1044" s="59" t="str">
        <f t="shared" si="52"/>
        <v/>
      </c>
    </row>
    <row r="1045" spans="4:16" ht="22.5" customHeight="1" x14ac:dyDescent="0.25">
      <c r="D1045" s="59" t="str">
        <f t="shared" si="50"/>
        <v/>
      </c>
      <c r="O1045" s="4" t="str">
        <f t="shared" si="51"/>
        <v/>
      </c>
      <c r="P1045" s="59" t="str">
        <f t="shared" si="52"/>
        <v/>
      </c>
    </row>
    <row r="1046" spans="4:16" ht="22.5" customHeight="1" x14ac:dyDescent="0.25">
      <c r="D1046" s="59" t="str">
        <f t="shared" si="50"/>
        <v/>
      </c>
      <c r="O1046" s="4" t="str">
        <f t="shared" si="51"/>
        <v/>
      </c>
      <c r="P1046" s="59" t="str">
        <f t="shared" si="52"/>
        <v/>
      </c>
    </row>
    <row r="1047" spans="4:16" ht="22.5" customHeight="1" x14ac:dyDescent="0.25">
      <c r="D1047" s="59" t="str">
        <f t="shared" si="50"/>
        <v/>
      </c>
      <c r="O1047" s="4" t="str">
        <f t="shared" si="51"/>
        <v/>
      </c>
      <c r="P1047" s="59" t="str">
        <f t="shared" si="52"/>
        <v/>
      </c>
    </row>
    <row r="1048" spans="4:16" ht="22.5" customHeight="1" x14ac:dyDescent="0.25">
      <c r="D1048" s="59" t="str">
        <f t="shared" si="50"/>
        <v/>
      </c>
      <c r="O1048" s="4" t="str">
        <f t="shared" si="51"/>
        <v/>
      </c>
      <c r="P1048" s="59" t="str">
        <f t="shared" si="52"/>
        <v/>
      </c>
    </row>
    <row r="1049" spans="4:16" ht="22.5" customHeight="1" x14ac:dyDescent="0.25">
      <c r="D1049" s="59" t="str">
        <f t="shared" si="50"/>
        <v/>
      </c>
      <c r="O1049" s="4" t="str">
        <f t="shared" si="51"/>
        <v/>
      </c>
      <c r="P1049" s="59" t="str">
        <f t="shared" si="52"/>
        <v/>
      </c>
    </row>
    <row r="1050" spans="4:16" ht="22.5" customHeight="1" x14ac:dyDescent="0.25">
      <c r="D1050" s="59" t="str">
        <f t="shared" si="50"/>
        <v/>
      </c>
      <c r="O1050" s="4" t="str">
        <f t="shared" si="51"/>
        <v/>
      </c>
      <c r="P1050" s="59" t="str">
        <f t="shared" si="52"/>
        <v/>
      </c>
    </row>
    <row r="1051" spans="4:16" ht="22.5" customHeight="1" x14ac:dyDescent="0.25">
      <c r="D1051" s="59" t="str">
        <f t="shared" si="50"/>
        <v/>
      </c>
      <c r="O1051" s="4" t="str">
        <f t="shared" si="51"/>
        <v/>
      </c>
      <c r="P1051" s="59" t="str">
        <f t="shared" si="52"/>
        <v/>
      </c>
    </row>
    <row r="1052" spans="4:16" ht="22.5" customHeight="1" x14ac:dyDescent="0.25">
      <c r="D1052" s="59" t="str">
        <f t="shared" ref="D1052:D1115" si="53">IF(AND(I1052&lt;&gt;"",J1052&lt;&gt;""), I1052*J1052, "")</f>
        <v/>
      </c>
      <c r="O1052" s="4" t="str">
        <f t="shared" ref="O1052:O1115" si="54">IF(OR(D1052="", N1052=""), "", ROUND(D1052 * N1052 / 100, 2))</f>
        <v/>
      </c>
      <c r="P1052" s="59" t="str">
        <f t="shared" ref="P1052:P1115" si="55">IF(D1052="", "", D1052 + O1052)</f>
        <v/>
      </c>
    </row>
    <row r="1053" spans="4:16" ht="22.5" customHeight="1" x14ac:dyDescent="0.25">
      <c r="D1053" s="59" t="str">
        <f t="shared" si="53"/>
        <v/>
      </c>
      <c r="O1053" s="4" t="str">
        <f t="shared" si="54"/>
        <v/>
      </c>
      <c r="P1053" s="59" t="str">
        <f t="shared" si="55"/>
        <v/>
      </c>
    </row>
    <row r="1054" spans="4:16" ht="22.5" customHeight="1" x14ac:dyDescent="0.25">
      <c r="D1054" s="59" t="str">
        <f t="shared" si="53"/>
        <v/>
      </c>
      <c r="O1054" s="4" t="str">
        <f t="shared" si="54"/>
        <v/>
      </c>
      <c r="P1054" s="59" t="str">
        <f t="shared" si="55"/>
        <v/>
      </c>
    </row>
    <row r="1055" spans="4:16" ht="22.5" customHeight="1" x14ac:dyDescent="0.25">
      <c r="D1055" s="59" t="str">
        <f t="shared" si="53"/>
        <v/>
      </c>
      <c r="O1055" s="4" t="str">
        <f t="shared" si="54"/>
        <v/>
      </c>
      <c r="P1055" s="59" t="str">
        <f t="shared" si="55"/>
        <v/>
      </c>
    </row>
    <row r="1056" spans="4:16" ht="22.5" customHeight="1" x14ac:dyDescent="0.25">
      <c r="D1056" s="59" t="str">
        <f t="shared" si="53"/>
        <v/>
      </c>
      <c r="O1056" s="4" t="str">
        <f t="shared" si="54"/>
        <v/>
      </c>
      <c r="P1056" s="59" t="str">
        <f t="shared" si="55"/>
        <v/>
      </c>
    </row>
    <row r="1057" spans="4:16" ht="22.5" customHeight="1" x14ac:dyDescent="0.25">
      <c r="D1057" s="59" t="str">
        <f t="shared" si="53"/>
        <v/>
      </c>
      <c r="O1057" s="4" t="str">
        <f t="shared" si="54"/>
        <v/>
      </c>
      <c r="P1057" s="59" t="str">
        <f t="shared" si="55"/>
        <v/>
      </c>
    </row>
    <row r="1058" spans="4:16" ht="22.5" customHeight="1" x14ac:dyDescent="0.25">
      <c r="D1058" s="59" t="str">
        <f t="shared" si="53"/>
        <v/>
      </c>
      <c r="O1058" s="4" t="str">
        <f t="shared" si="54"/>
        <v/>
      </c>
      <c r="P1058" s="59" t="str">
        <f t="shared" si="55"/>
        <v/>
      </c>
    </row>
    <row r="1059" spans="4:16" ht="22.5" customHeight="1" x14ac:dyDescent="0.25">
      <c r="D1059" s="59" t="str">
        <f t="shared" si="53"/>
        <v/>
      </c>
      <c r="O1059" s="4" t="str">
        <f t="shared" si="54"/>
        <v/>
      </c>
      <c r="P1059" s="59" t="str">
        <f t="shared" si="55"/>
        <v/>
      </c>
    </row>
    <row r="1060" spans="4:16" ht="22.5" customHeight="1" x14ac:dyDescent="0.25">
      <c r="D1060" s="59" t="str">
        <f t="shared" si="53"/>
        <v/>
      </c>
      <c r="O1060" s="4" t="str">
        <f t="shared" si="54"/>
        <v/>
      </c>
      <c r="P1060" s="59" t="str">
        <f t="shared" si="55"/>
        <v/>
      </c>
    </row>
    <row r="1061" spans="4:16" ht="22.5" customHeight="1" x14ac:dyDescent="0.25">
      <c r="D1061" s="59" t="str">
        <f t="shared" si="53"/>
        <v/>
      </c>
      <c r="O1061" s="4" t="str">
        <f t="shared" si="54"/>
        <v/>
      </c>
      <c r="P1061" s="59" t="str">
        <f t="shared" si="55"/>
        <v/>
      </c>
    </row>
    <row r="1062" spans="4:16" ht="22.5" customHeight="1" x14ac:dyDescent="0.25">
      <c r="D1062" s="59" t="str">
        <f t="shared" si="53"/>
        <v/>
      </c>
      <c r="O1062" s="4" t="str">
        <f t="shared" si="54"/>
        <v/>
      </c>
      <c r="P1062" s="59" t="str">
        <f t="shared" si="55"/>
        <v/>
      </c>
    </row>
    <row r="1063" spans="4:16" ht="22.5" customHeight="1" x14ac:dyDescent="0.25">
      <c r="D1063" s="59" t="str">
        <f t="shared" si="53"/>
        <v/>
      </c>
      <c r="O1063" s="4" t="str">
        <f t="shared" si="54"/>
        <v/>
      </c>
      <c r="P1063" s="59" t="str">
        <f t="shared" si="55"/>
        <v/>
      </c>
    </row>
    <row r="1064" spans="4:16" ht="22.5" customHeight="1" x14ac:dyDescent="0.25">
      <c r="D1064" s="59" t="str">
        <f t="shared" si="53"/>
        <v/>
      </c>
      <c r="O1064" s="4" t="str">
        <f t="shared" si="54"/>
        <v/>
      </c>
      <c r="P1064" s="59" t="str">
        <f t="shared" si="55"/>
        <v/>
      </c>
    </row>
    <row r="1065" spans="4:16" ht="22.5" customHeight="1" x14ac:dyDescent="0.25">
      <c r="D1065" s="59" t="str">
        <f t="shared" si="53"/>
        <v/>
      </c>
      <c r="O1065" s="4" t="str">
        <f t="shared" si="54"/>
        <v/>
      </c>
      <c r="P1065" s="59" t="str">
        <f t="shared" si="55"/>
        <v/>
      </c>
    </row>
    <row r="1066" spans="4:16" ht="22.5" customHeight="1" x14ac:dyDescent="0.25">
      <c r="D1066" s="59" t="str">
        <f t="shared" si="53"/>
        <v/>
      </c>
      <c r="O1066" s="4" t="str">
        <f t="shared" si="54"/>
        <v/>
      </c>
      <c r="P1066" s="59" t="str">
        <f t="shared" si="55"/>
        <v/>
      </c>
    </row>
    <row r="1067" spans="4:16" ht="22.5" customHeight="1" x14ac:dyDescent="0.25">
      <c r="D1067" s="59" t="str">
        <f t="shared" si="53"/>
        <v/>
      </c>
      <c r="O1067" s="4" t="str">
        <f t="shared" si="54"/>
        <v/>
      </c>
      <c r="P1067" s="59" t="str">
        <f t="shared" si="55"/>
        <v/>
      </c>
    </row>
    <row r="1068" spans="4:16" ht="22.5" customHeight="1" x14ac:dyDescent="0.25">
      <c r="D1068" s="59" t="str">
        <f t="shared" si="53"/>
        <v/>
      </c>
      <c r="O1068" s="4" t="str">
        <f t="shared" si="54"/>
        <v/>
      </c>
      <c r="P1068" s="59" t="str">
        <f t="shared" si="55"/>
        <v/>
      </c>
    </row>
    <row r="1069" spans="4:16" ht="22.5" customHeight="1" x14ac:dyDescent="0.25">
      <c r="D1069" s="59" t="str">
        <f t="shared" si="53"/>
        <v/>
      </c>
      <c r="O1069" s="4" t="str">
        <f t="shared" si="54"/>
        <v/>
      </c>
      <c r="P1069" s="59" t="str">
        <f t="shared" si="55"/>
        <v/>
      </c>
    </row>
    <row r="1070" spans="4:16" ht="22.5" customHeight="1" x14ac:dyDescent="0.25">
      <c r="D1070" s="59" t="str">
        <f t="shared" si="53"/>
        <v/>
      </c>
      <c r="O1070" s="4" t="str">
        <f t="shared" si="54"/>
        <v/>
      </c>
      <c r="P1070" s="59" t="str">
        <f t="shared" si="55"/>
        <v/>
      </c>
    </row>
    <row r="1071" spans="4:16" ht="22.5" customHeight="1" x14ac:dyDescent="0.25">
      <c r="D1071" s="59" t="str">
        <f t="shared" si="53"/>
        <v/>
      </c>
      <c r="O1071" s="4" t="str">
        <f t="shared" si="54"/>
        <v/>
      </c>
      <c r="P1071" s="59" t="str">
        <f t="shared" si="55"/>
        <v/>
      </c>
    </row>
    <row r="1072" spans="4:16" ht="22.5" customHeight="1" x14ac:dyDescent="0.25">
      <c r="D1072" s="59" t="str">
        <f t="shared" si="53"/>
        <v/>
      </c>
      <c r="O1072" s="4" t="str">
        <f t="shared" si="54"/>
        <v/>
      </c>
      <c r="P1072" s="59" t="str">
        <f t="shared" si="55"/>
        <v/>
      </c>
    </row>
    <row r="1073" spans="4:16" ht="22.5" customHeight="1" x14ac:dyDescent="0.25">
      <c r="D1073" s="59" t="str">
        <f t="shared" si="53"/>
        <v/>
      </c>
      <c r="O1073" s="4" t="str">
        <f t="shared" si="54"/>
        <v/>
      </c>
      <c r="P1073" s="59" t="str">
        <f t="shared" si="55"/>
        <v/>
      </c>
    </row>
    <row r="1074" spans="4:16" ht="22.5" customHeight="1" x14ac:dyDescent="0.25">
      <c r="D1074" s="59" t="str">
        <f t="shared" si="53"/>
        <v/>
      </c>
      <c r="O1074" s="4" t="str">
        <f t="shared" si="54"/>
        <v/>
      </c>
      <c r="P1074" s="59" t="str">
        <f t="shared" si="55"/>
        <v/>
      </c>
    </row>
    <row r="1075" spans="4:16" ht="22.5" customHeight="1" x14ac:dyDescent="0.25">
      <c r="D1075" s="59" t="str">
        <f t="shared" si="53"/>
        <v/>
      </c>
      <c r="O1075" s="4" t="str">
        <f t="shared" si="54"/>
        <v/>
      </c>
      <c r="P1075" s="59" t="str">
        <f t="shared" si="55"/>
        <v/>
      </c>
    </row>
    <row r="1076" spans="4:16" ht="22.5" customHeight="1" x14ac:dyDescent="0.25">
      <c r="D1076" s="59" t="str">
        <f t="shared" si="53"/>
        <v/>
      </c>
      <c r="O1076" s="4" t="str">
        <f t="shared" si="54"/>
        <v/>
      </c>
      <c r="P1076" s="59" t="str">
        <f t="shared" si="55"/>
        <v/>
      </c>
    </row>
    <row r="1077" spans="4:16" ht="22.5" customHeight="1" x14ac:dyDescent="0.25">
      <c r="D1077" s="59" t="str">
        <f t="shared" si="53"/>
        <v/>
      </c>
      <c r="O1077" s="4" t="str">
        <f t="shared" si="54"/>
        <v/>
      </c>
      <c r="P1077" s="59" t="str">
        <f t="shared" si="55"/>
        <v/>
      </c>
    </row>
    <row r="1078" spans="4:16" ht="22.5" customHeight="1" x14ac:dyDescent="0.25">
      <c r="D1078" s="59" t="str">
        <f t="shared" si="53"/>
        <v/>
      </c>
      <c r="O1078" s="4" t="str">
        <f t="shared" si="54"/>
        <v/>
      </c>
      <c r="P1078" s="59" t="str">
        <f t="shared" si="55"/>
        <v/>
      </c>
    </row>
    <row r="1079" spans="4:16" ht="22.5" customHeight="1" x14ac:dyDescent="0.25">
      <c r="D1079" s="59" t="str">
        <f t="shared" si="53"/>
        <v/>
      </c>
      <c r="O1079" s="4" t="str">
        <f t="shared" si="54"/>
        <v/>
      </c>
      <c r="P1079" s="59" t="str">
        <f t="shared" si="55"/>
        <v/>
      </c>
    </row>
    <row r="1080" spans="4:16" ht="22.5" customHeight="1" x14ac:dyDescent="0.25">
      <c r="D1080" s="59" t="str">
        <f t="shared" si="53"/>
        <v/>
      </c>
      <c r="O1080" s="4" t="str">
        <f t="shared" si="54"/>
        <v/>
      </c>
      <c r="P1080" s="59" t="str">
        <f t="shared" si="55"/>
        <v/>
      </c>
    </row>
    <row r="1081" spans="4:16" ht="22.5" customHeight="1" x14ac:dyDescent="0.25">
      <c r="D1081" s="59" t="str">
        <f t="shared" si="53"/>
        <v/>
      </c>
      <c r="O1081" s="4" t="str">
        <f t="shared" si="54"/>
        <v/>
      </c>
      <c r="P1081" s="59" t="str">
        <f t="shared" si="55"/>
        <v/>
      </c>
    </row>
    <row r="1082" spans="4:16" ht="22.5" customHeight="1" x14ac:dyDescent="0.25">
      <c r="D1082" s="59" t="str">
        <f t="shared" si="53"/>
        <v/>
      </c>
      <c r="O1082" s="4" t="str">
        <f t="shared" si="54"/>
        <v/>
      </c>
      <c r="P1082" s="59" t="str">
        <f t="shared" si="55"/>
        <v/>
      </c>
    </row>
    <row r="1083" spans="4:16" ht="22.5" customHeight="1" x14ac:dyDescent="0.25">
      <c r="D1083" s="59" t="str">
        <f t="shared" si="53"/>
        <v/>
      </c>
      <c r="O1083" s="4" t="str">
        <f t="shared" si="54"/>
        <v/>
      </c>
      <c r="P1083" s="59" t="str">
        <f t="shared" si="55"/>
        <v/>
      </c>
    </row>
    <row r="1084" spans="4:16" ht="22.5" customHeight="1" x14ac:dyDescent="0.25">
      <c r="D1084" s="59" t="str">
        <f t="shared" si="53"/>
        <v/>
      </c>
      <c r="O1084" s="4" t="str">
        <f t="shared" si="54"/>
        <v/>
      </c>
      <c r="P1084" s="59" t="str">
        <f t="shared" si="55"/>
        <v/>
      </c>
    </row>
    <row r="1085" spans="4:16" ht="22.5" customHeight="1" x14ac:dyDescent="0.25">
      <c r="D1085" s="59" t="str">
        <f t="shared" si="53"/>
        <v/>
      </c>
      <c r="O1085" s="4" t="str">
        <f t="shared" si="54"/>
        <v/>
      </c>
      <c r="P1085" s="59" t="str">
        <f t="shared" si="55"/>
        <v/>
      </c>
    </row>
    <row r="1086" spans="4:16" ht="22.5" customHeight="1" x14ac:dyDescent="0.25">
      <c r="D1086" s="59" t="str">
        <f t="shared" si="53"/>
        <v/>
      </c>
      <c r="O1086" s="4" t="str">
        <f t="shared" si="54"/>
        <v/>
      </c>
      <c r="P1086" s="59" t="str">
        <f t="shared" si="55"/>
        <v/>
      </c>
    </row>
    <row r="1087" spans="4:16" ht="22.5" customHeight="1" x14ac:dyDescent="0.25">
      <c r="D1087" s="59" t="str">
        <f t="shared" si="53"/>
        <v/>
      </c>
      <c r="O1087" s="4" t="str">
        <f t="shared" si="54"/>
        <v/>
      </c>
      <c r="P1087" s="59" t="str">
        <f t="shared" si="55"/>
        <v/>
      </c>
    </row>
    <row r="1088" spans="4:16" ht="22.5" customHeight="1" x14ac:dyDescent="0.25">
      <c r="D1088" s="59" t="str">
        <f t="shared" si="53"/>
        <v/>
      </c>
      <c r="O1088" s="4" t="str">
        <f t="shared" si="54"/>
        <v/>
      </c>
      <c r="P1088" s="59" t="str">
        <f t="shared" si="55"/>
        <v/>
      </c>
    </row>
    <row r="1089" spans="4:16" ht="22.5" customHeight="1" x14ac:dyDescent="0.25">
      <c r="D1089" s="59" t="str">
        <f t="shared" si="53"/>
        <v/>
      </c>
      <c r="O1089" s="4" t="str">
        <f t="shared" si="54"/>
        <v/>
      </c>
      <c r="P1089" s="59" t="str">
        <f t="shared" si="55"/>
        <v/>
      </c>
    </row>
    <row r="1090" spans="4:16" ht="22.5" customHeight="1" x14ac:dyDescent="0.25">
      <c r="D1090" s="59" t="str">
        <f t="shared" si="53"/>
        <v/>
      </c>
      <c r="O1090" s="4" t="str">
        <f t="shared" si="54"/>
        <v/>
      </c>
      <c r="P1090" s="59" t="str">
        <f t="shared" si="55"/>
        <v/>
      </c>
    </row>
    <row r="1091" spans="4:16" ht="22.5" customHeight="1" x14ac:dyDescent="0.25">
      <c r="D1091" s="59" t="str">
        <f t="shared" si="53"/>
        <v/>
      </c>
      <c r="O1091" s="4" t="str">
        <f t="shared" si="54"/>
        <v/>
      </c>
      <c r="P1091" s="59" t="str">
        <f t="shared" si="55"/>
        <v/>
      </c>
    </row>
    <row r="1092" spans="4:16" ht="22.5" customHeight="1" x14ac:dyDescent="0.25">
      <c r="D1092" s="59" t="str">
        <f t="shared" si="53"/>
        <v/>
      </c>
      <c r="O1092" s="4" t="str">
        <f t="shared" si="54"/>
        <v/>
      </c>
      <c r="P1092" s="59" t="str">
        <f t="shared" si="55"/>
        <v/>
      </c>
    </row>
    <row r="1093" spans="4:16" ht="22.5" customHeight="1" x14ac:dyDescent="0.25">
      <c r="D1093" s="59" t="str">
        <f t="shared" si="53"/>
        <v/>
      </c>
      <c r="O1093" s="4" t="str">
        <f t="shared" si="54"/>
        <v/>
      </c>
      <c r="P1093" s="59" t="str">
        <f t="shared" si="55"/>
        <v/>
      </c>
    </row>
    <row r="1094" spans="4:16" ht="22.5" customHeight="1" x14ac:dyDescent="0.25">
      <c r="D1094" s="59" t="str">
        <f t="shared" si="53"/>
        <v/>
      </c>
      <c r="O1094" s="4" t="str">
        <f t="shared" si="54"/>
        <v/>
      </c>
      <c r="P1094" s="59" t="str">
        <f t="shared" si="55"/>
        <v/>
      </c>
    </row>
    <row r="1095" spans="4:16" ht="22.5" customHeight="1" x14ac:dyDescent="0.25">
      <c r="D1095" s="59" t="str">
        <f t="shared" si="53"/>
        <v/>
      </c>
      <c r="O1095" s="4" t="str">
        <f t="shared" si="54"/>
        <v/>
      </c>
      <c r="P1095" s="59" t="str">
        <f t="shared" si="55"/>
        <v/>
      </c>
    </row>
    <row r="1096" spans="4:16" ht="22.5" customHeight="1" x14ac:dyDescent="0.25">
      <c r="D1096" s="59" t="str">
        <f t="shared" si="53"/>
        <v/>
      </c>
      <c r="O1096" s="4" t="str">
        <f t="shared" si="54"/>
        <v/>
      </c>
      <c r="P1096" s="59" t="str">
        <f t="shared" si="55"/>
        <v/>
      </c>
    </row>
    <row r="1097" spans="4:16" ht="22.5" customHeight="1" x14ac:dyDescent="0.25">
      <c r="D1097" s="59" t="str">
        <f t="shared" si="53"/>
        <v/>
      </c>
      <c r="O1097" s="4" t="str">
        <f t="shared" si="54"/>
        <v/>
      </c>
      <c r="P1097" s="59" t="str">
        <f t="shared" si="55"/>
        <v/>
      </c>
    </row>
    <row r="1098" spans="4:16" ht="22.5" customHeight="1" x14ac:dyDescent="0.25">
      <c r="D1098" s="59" t="str">
        <f t="shared" si="53"/>
        <v/>
      </c>
      <c r="O1098" s="4" t="str">
        <f t="shared" si="54"/>
        <v/>
      </c>
      <c r="P1098" s="59" t="str">
        <f t="shared" si="55"/>
        <v/>
      </c>
    </row>
    <row r="1099" spans="4:16" ht="22.5" customHeight="1" x14ac:dyDescent="0.25">
      <c r="D1099" s="59" t="str">
        <f t="shared" si="53"/>
        <v/>
      </c>
      <c r="O1099" s="4" t="str">
        <f t="shared" si="54"/>
        <v/>
      </c>
      <c r="P1099" s="59" t="str">
        <f t="shared" si="55"/>
        <v/>
      </c>
    </row>
    <row r="1100" spans="4:16" ht="22.5" customHeight="1" x14ac:dyDescent="0.25">
      <c r="D1100" s="59" t="str">
        <f t="shared" si="53"/>
        <v/>
      </c>
      <c r="O1100" s="4" t="str">
        <f t="shared" si="54"/>
        <v/>
      </c>
      <c r="P1100" s="59" t="str">
        <f t="shared" si="55"/>
        <v/>
      </c>
    </row>
    <row r="1101" spans="4:16" ht="22.5" customHeight="1" x14ac:dyDescent="0.25">
      <c r="D1101" s="59" t="str">
        <f t="shared" si="53"/>
        <v/>
      </c>
      <c r="O1101" s="4" t="str">
        <f t="shared" si="54"/>
        <v/>
      </c>
      <c r="P1101" s="59" t="str">
        <f t="shared" si="55"/>
        <v/>
      </c>
    </row>
    <row r="1102" spans="4:16" ht="22.5" customHeight="1" x14ac:dyDescent="0.25">
      <c r="D1102" s="59" t="str">
        <f t="shared" si="53"/>
        <v/>
      </c>
      <c r="O1102" s="4" t="str">
        <f t="shared" si="54"/>
        <v/>
      </c>
      <c r="P1102" s="59" t="str">
        <f t="shared" si="55"/>
        <v/>
      </c>
    </row>
    <row r="1103" spans="4:16" ht="22.5" customHeight="1" x14ac:dyDescent="0.25">
      <c r="D1103" s="59" t="str">
        <f t="shared" si="53"/>
        <v/>
      </c>
      <c r="O1103" s="4" t="str">
        <f t="shared" si="54"/>
        <v/>
      </c>
      <c r="P1103" s="59" t="str">
        <f t="shared" si="55"/>
        <v/>
      </c>
    </row>
    <row r="1104" spans="4:16" ht="22.5" customHeight="1" x14ac:dyDescent="0.25">
      <c r="D1104" s="59" t="str">
        <f t="shared" si="53"/>
        <v/>
      </c>
      <c r="O1104" s="4" t="str">
        <f t="shared" si="54"/>
        <v/>
      </c>
      <c r="P1104" s="59" t="str">
        <f t="shared" si="55"/>
        <v/>
      </c>
    </row>
    <row r="1105" spans="4:16" ht="22.5" customHeight="1" x14ac:dyDescent="0.25">
      <c r="D1105" s="59" t="str">
        <f t="shared" si="53"/>
        <v/>
      </c>
      <c r="O1105" s="4" t="str">
        <f t="shared" si="54"/>
        <v/>
      </c>
      <c r="P1105" s="59" t="str">
        <f t="shared" si="55"/>
        <v/>
      </c>
    </row>
    <row r="1106" spans="4:16" ht="22.5" customHeight="1" x14ac:dyDescent="0.25">
      <c r="D1106" s="59" t="str">
        <f t="shared" si="53"/>
        <v/>
      </c>
      <c r="O1106" s="4" t="str">
        <f t="shared" si="54"/>
        <v/>
      </c>
      <c r="P1106" s="59" t="str">
        <f t="shared" si="55"/>
        <v/>
      </c>
    </row>
    <row r="1107" spans="4:16" ht="22.5" customHeight="1" x14ac:dyDescent="0.25">
      <c r="D1107" s="59" t="str">
        <f t="shared" si="53"/>
        <v/>
      </c>
      <c r="O1107" s="4" t="str">
        <f t="shared" si="54"/>
        <v/>
      </c>
      <c r="P1107" s="59" t="str">
        <f t="shared" si="55"/>
        <v/>
      </c>
    </row>
    <row r="1108" spans="4:16" ht="22.5" customHeight="1" x14ac:dyDescent="0.25">
      <c r="D1108" s="59" t="str">
        <f t="shared" si="53"/>
        <v/>
      </c>
      <c r="O1108" s="4" t="str">
        <f t="shared" si="54"/>
        <v/>
      </c>
      <c r="P1108" s="59" t="str">
        <f t="shared" si="55"/>
        <v/>
      </c>
    </row>
    <row r="1109" spans="4:16" ht="22.5" customHeight="1" x14ac:dyDescent="0.25">
      <c r="D1109" s="59" t="str">
        <f t="shared" si="53"/>
        <v/>
      </c>
      <c r="O1109" s="4" t="str">
        <f t="shared" si="54"/>
        <v/>
      </c>
      <c r="P1109" s="59" t="str">
        <f t="shared" si="55"/>
        <v/>
      </c>
    </row>
    <row r="1110" spans="4:16" ht="22.5" customHeight="1" x14ac:dyDescent="0.25">
      <c r="D1110" s="59" t="str">
        <f t="shared" si="53"/>
        <v/>
      </c>
      <c r="O1110" s="4" t="str">
        <f t="shared" si="54"/>
        <v/>
      </c>
      <c r="P1110" s="59" t="str">
        <f t="shared" si="55"/>
        <v/>
      </c>
    </row>
    <row r="1111" spans="4:16" ht="22.5" customHeight="1" x14ac:dyDescent="0.25">
      <c r="D1111" s="59" t="str">
        <f t="shared" si="53"/>
        <v/>
      </c>
      <c r="O1111" s="4" t="str">
        <f t="shared" si="54"/>
        <v/>
      </c>
      <c r="P1111" s="59" t="str">
        <f t="shared" si="55"/>
        <v/>
      </c>
    </row>
    <row r="1112" spans="4:16" ht="22.5" customHeight="1" x14ac:dyDescent="0.25">
      <c r="D1112" s="59" t="str">
        <f t="shared" si="53"/>
        <v/>
      </c>
      <c r="O1112" s="4" t="str">
        <f t="shared" si="54"/>
        <v/>
      </c>
      <c r="P1112" s="59" t="str">
        <f t="shared" si="55"/>
        <v/>
      </c>
    </row>
    <row r="1113" spans="4:16" ht="22.5" customHeight="1" x14ac:dyDescent="0.25">
      <c r="D1113" s="59" t="str">
        <f t="shared" si="53"/>
        <v/>
      </c>
      <c r="O1113" s="4" t="str">
        <f t="shared" si="54"/>
        <v/>
      </c>
      <c r="P1113" s="59" t="str">
        <f t="shared" si="55"/>
        <v/>
      </c>
    </row>
    <row r="1114" spans="4:16" ht="22.5" customHeight="1" x14ac:dyDescent="0.25">
      <c r="D1114" s="59" t="str">
        <f t="shared" si="53"/>
        <v/>
      </c>
      <c r="O1114" s="4" t="str">
        <f t="shared" si="54"/>
        <v/>
      </c>
      <c r="P1114" s="59" t="str">
        <f t="shared" si="55"/>
        <v/>
      </c>
    </row>
    <row r="1115" spans="4:16" ht="22.5" customHeight="1" x14ac:dyDescent="0.25">
      <c r="D1115" s="59" t="str">
        <f t="shared" si="53"/>
        <v/>
      </c>
      <c r="O1115" s="4" t="str">
        <f t="shared" si="54"/>
        <v/>
      </c>
      <c r="P1115" s="59" t="str">
        <f t="shared" si="55"/>
        <v/>
      </c>
    </row>
    <row r="1116" spans="4:16" ht="22.5" customHeight="1" x14ac:dyDescent="0.25">
      <c r="D1116" s="59" t="str">
        <f t="shared" ref="D1116:D1179" si="56">IF(AND(I1116&lt;&gt;"",J1116&lt;&gt;""), I1116*J1116, "")</f>
        <v/>
      </c>
      <c r="O1116" s="4" t="str">
        <f t="shared" ref="O1116:O1179" si="57">IF(OR(D1116="", N1116=""), "", ROUND(D1116 * N1116 / 100, 2))</f>
        <v/>
      </c>
      <c r="P1116" s="59" t="str">
        <f t="shared" ref="P1116:P1179" si="58">IF(D1116="", "", D1116 + O1116)</f>
        <v/>
      </c>
    </row>
    <row r="1117" spans="4:16" ht="22.5" customHeight="1" x14ac:dyDescent="0.25">
      <c r="D1117" s="59" t="str">
        <f t="shared" si="56"/>
        <v/>
      </c>
      <c r="O1117" s="4" t="str">
        <f t="shared" si="57"/>
        <v/>
      </c>
      <c r="P1117" s="59" t="str">
        <f t="shared" si="58"/>
        <v/>
      </c>
    </row>
    <row r="1118" spans="4:16" ht="22.5" customHeight="1" x14ac:dyDescent="0.25">
      <c r="D1118" s="59" t="str">
        <f t="shared" si="56"/>
        <v/>
      </c>
      <c r="O1118" s="4" t="str">
        <f t="shared" si="57"/>
        <v/>
      </c>
      <c r="P1118" s="59" t="str">
        <f t="shared" si="58"/>
        <v/>
      </c>
    </row>
    <row r="1119" spans="4:16" ht="22.5" customHeight="1" x14ac:dyDescent="0.25">
      <c r="D1119" s="59" t="str">
        <f t="shared" si="56"/>
        <v/>
      </c>
      <c r="O1119" s="4" t="str">
        <f t="shared" si="57"/>
        <v/>
      </c>
      <c r="P1119" s="59" t="str">
        <f t="shared" si="58"/>
        <v/>
      </c>
    </row>
    <row r="1120" spans="4:16" ht="22.5" customHeight="1" x14ac:dyDescent="0.25">
      <c r="D1120" s="59" t="str">
        <f t="shared" si="56"/>
        <v/>
      </c>
      <c r="O1120" s="4" t="str">
        <f t="shared" si="57"/>
        <v/>
      </c>
      <c r="P1120" s="59" t="str">
        <f t="shared" si="58"/>
        <v/>
      </c>
    </row>
    <row r="1121" spans="4:16" ht="22.5" customHeight="1" x14ac:dyDescent="0.25">
      <c r="D1121" s="59" t="str">
        <f t="shared" si="56"/>
        <v/>
      </c>
      <c r="O1121" s="4" t="str">
        <f t="shared" si="57"/>
        <v/>
      </c>
      <c r="P1121" s="59" t="str">
        <f t="shared" si="58"/>
        <v/>
      </c>
    </row>
    <row r="1122" spans="4:16" ht="22.5" customHeight="1" x14ac:dyDescent="0.25">
      <c r="D1122" s="59" t="str">
        <f t="shared" si="56"/>
        <v/>
      </c>
      <c r="O1122" s="4" t="str">
        <f t="shared" si="57"/>
        <v/>
      </c>
      <c r="P1122" s="59" t="str">
        <f t="shared" si="58"/>
        <v/>
      </c>
    </row>
    <row r="1123" spans="4:16" ht="22.5" customHeight="1" x14ac:dyDescent="0.25">
      <c r="D1123" s="59" t="str">
        <f t="shared" si="56"/>
        <v/>
      </c>
      <c r="O1123" s="4" t="str">
        <f t="shared" si="57"/>
        <v/>
      </c>
      <c r="P1123" s="59" t="str">
        <f t="shared" si="58"/>
        <v/>
      </c>
    </row>
    <row r="1124" spans="4:16" ht="22.5" customHeight="1" x14ac:dyDescent="0.25">
      <c r="D1124" s="59" t="str">
        <f t="shared" si="56"/>
        <v/>
      </c>
      <c r="O1124" s="4" t="str">
        <f t="shared" si="57"/>
        <v/>
      </c>
      <c r="P1124" s="59" t="str">
        <f t="shared" si="58"/>
        <v/>
      </c>
    </row>
    <row r="1125" spans="4:16" ht="22.5" customHeight="1" x14ac:dyDescent="0.25">
      <c r="D1125" s="59" t="str">
        <f t="shared" si="56"/>
        <v/>
      </c>
      <c r="O1125" s="4" t="str">
        <f t="shared" si="57"/>
        <v/>
      </c>
      <c r="P1125" s="59" t="str">
        <f t="shared" si="58"/>
        <v/>
      </c>
    </row>
    <row r="1126" spans="4:16" ht="22.5" customHeight="1" x14ac:dyDescent="0.25">
      <c r="D1126" s="59" t="str">
        <f t="shared" si="56"/>
        <v/>
      </c>
      <c r="O1126" s="4" t="str">
        <f t="shared" si="57"/>
        <v/>
      </c>
      <c r="P1126" s="59" t="str">
        <f t="shared" si="58"/>
        <v/>
      </c>
    </row>
    <row r="1127" spans="4:16" ht="22.5" customHeight="1" x14ac:dyDescent="0.25">
      <c r="D1127" s="59" t="str">
        <f t="shared" si="56"/>
        <v/>
      </c>
      <c r="O1127" s="4" t="str">
        <f t="shared" si="57"/>
        <v/>
      </c>
      <c r="P1127" s="59" t="str">
        <f t="shared" si="58"/>
        <v/>
      </c>
    </row>
    <row r="1128" spans="4:16" ht="22.5" customHeight="1" x14ac:dyDescent="0.25">
      <c r="D1128" s="59" t="str">
        <f t="shared" si="56"/>
        <v/>
      </c>
      <c r="O1128" s="4" t="str">
        <f t="shared" si="57"/>
        <v/>
      </c>
      <c r="P1128" s="59" t="str">
        <f t="shared" si="58"/>
        <v/>
      </c>
    </row>
    <row r="1129" spans="4:16" ht="22.5" customHeight="1" x14ac:dyDescent="0.25">
      <c r="D1129" s="59" t="str">
        <f t="shared" si="56"/>
        <v/>
      </c>
      <c r="O1129" s="4" t="str">
        <f t="shared" si="57"/>
        <v/>
      </c>
      <c r="P1129" s="59" t="str">
        <f t="shared" si="58"/>
        <v/>
      </c>
    </row>
    <row r="1130" spans="4:16" ht="22.5" customHeight="1" x14ac:dyDescent="0.25">
      <c r="D1130" s="59" t="str">
        <f t="shared" si="56"/>
        <v/>
      </c>
      <c r="O1130" s="4" t="str">
        <f t="shared" si="57"/>
        <v/>
      </c>
      <c r="P1130" s="59" t="str">
        <f t="shared" si="58"/>
        <v/>
      </c>
    </row>
    <row r="1131" spans="4:16" ht="22.5" customHeight="1" x14ac:dyDescent="0.25">
      <c r="D1131" s="59" t="str">
        <f t="shared" si="56"/>
        <v/>
      </c>
      <c r="O1131" s="4" t="str">
        <f t="shared" si="57"/>
        <v/>
      </c>
      <c r="P1131" s="59" t="str">
        <f t="shared" si="58"/>
        <v/>
      </c>
    </row>
    <row r="1132" spans="4:16" ht="22.5" customHeight="1" x14ac:dyDescent="0.25">
      <c r="D1132" s="59" t="str">
        <f t="shared" si="56"/>
        <v/>
      </c>
      <c r="O1132" s="4" t="str">
        <f t="shared" si="57"/>
        <v/>
      </c>
      <c r="P1132" s="59" t="str">
        <f t="shared" si="58"/>
        <v/>
      </c>
    </row>
    <row r="1133" spans="4:16" ht="22.5" customHeight="1" x14ac:dyDescent="0.25">
      <c r="D1133" s="59" t="str">
        <f t="shared" si="56"/>
        <v/>
      </c>
      <c r="O1133" s="4" t="str">
        <f t="shared" si="57"/>
        <v/>
      </c>
      <c r="P1133" s="59" t="str">
        <f t="shared" si="58"/>
        <v/>
      </c>
    </row>
    <row r="1134" spans="4:16" ht="22.5" customHeight="1" x14ac:dyDescent="0.25">
      <c r="D1134" s="59" t="str">
        <f t="shared" si="56"/>
        <v/>
      </c>
      <c r="O1134" s="4" t="str">
        <f t="shared" si="57"/>
        <v/>
      </c>
      <c r="P1134" s="59" t="str">
        <f t="shared" si="58"/>
        <v/>
      </c>
    </row>
    <row r="1135" spans="4:16" ht="22.5" customHeight="1" x14ac:dyDescent="0.25">
      <c r="D1135" s="59" t="str">
        <f t="shared" si="56"/>
        <v/>
      </c>
      <c r="O1135" s="4" t="str">
        <f t="shared" si="57"/>
        <v/>
      </c>
      <c r="P1135" s="59" t="str">
        <f t="shared" si="58"/>
        <v/>
      </c>
    </row>
    <row r="1136" spans="4:16" ht="22.5" customHeight="1" x14ac:dyDescent="0.25">
      <c r="D1136" s="59" t="str">
        <f t="shared" si="56"/>
        <v/>
      </c>
      <c r="O1136" s="4" t="str">
        <f t="shared" si="57"/>
        <v/>
      </c>
      <c r="P1136" s="59" t="str">
        <f t="shared" si="58"/>
        <v/>
      </c>
    </row>
    <row r="1137" spans="4:16" ht="22.5" customHeight="1" x14ac:dyDescent="0.25">
      <c r="D1137" s="59" t="str">
        <f t="shared" si="56"/>
        <v/>
      </c>
      <c r="O1137" s="4" t="str">
        <f t="shared" si="57"/>
        <v/>
      </c>
      <c r="P1137" s="59" t="str">
        <f t="shared" si="58"/>
        <v/>
      </c>
    </row>
    <row r="1138" spans="4:16" ht="22.5" customHeight="1" x14ac:dyDescent="0.25">
      <c r="D1138" s="59" t="str">
        <f t="shared" si="56"/>
        <v/>
      </c>
      <c r="O1138" s="4" t="str">
        <f t="shared" si="57"/>
        <v/>
      </c>
      <c r="P1138" s="59" t="str">
        <f t="shared" si="58"/>
        <v/>
      </c>
    </row>
    <row r="1139" spans="4:16" ht="22.5" customHeight="1" x14ac:dyDescent="0.25">
      <c r="D1139" s="59" t="str">
        <f t="shared" si="56"/>
        <v/>
      </c>
      <c r="O1139" s="4" t="str">
        <f t="shared" si="57"/>
        <v/>
      </c>
      <c r="P1139" s="59" t="str">
        <f t="shared" si="58"/>
        <v/>
      </c>
    </row>
    <row r="1140" spans="4:16" ht="22.5" customHeight="1" x14ac:dyDescent="0.25">
      <c r="D1140" s="59" t="str">
        <f t="shared" si="56"/>
        <v/>
      </c>
      <c r="O1140" s="4" t="str">
        <f t="shared" si="57"/>
        <v/>
      </c>
      <c r="P1140" s="59" t="str">
        <f t="shared" si="58"/>
        <v/>
      </c>
    </row>
    <row r="1141" spans="4:16" ht="22.5" customHeight="1" x14ac:dyDescent="0.25">
      <c r="D1141" s="59" t="str">
        <f t="shared" si="56"/>
        <v/>
      </c>
      <c r="O1141" s="4" t="str">
        <f t="shared" si="57"/>
        <v/>
      </c>
      <c r="P1141" s="59" t="str">
        <f t="shared" si="58"/>
        <v/>
      </c>
    </row>
    <row r="1142" spans="4:16" ht="22.5" customHeight="1" x14ac:dyDescent="0.25">
      <c r="D1142" s="59" t="str">
        <f t="shared" si="56"/>
        <v/>
      </c>
      <c r="O1142" s="4" t="str">
        <f t="shared" si="57"/>
        <v/>
      </c>
      <c r="P1142" s="59" t="str">
        <f t="shared" si="58"/>
        <v/>
      </c>
    </row>
    <row r="1143" spans="4:16" ht="22.5" customHeight="1" x14ac:dyDescent="0.25">
      <c r="D1143" s="59" t="str">
        <f t="shared" si="56"/>
        <v/>
      </c>
      <c r="O1143" s="4" t="str">
        <f t="shared" si="57"/>
        <v/>
      </c>
      <c r="P1143" s="59" t="str">
        <f t="shared" si="58"/>
        <v/>
      </c>
    </row>
    <row r="1144" spans="4:16" ht="22.5" customHeight="1" x14ac:dyDescent="0.25">
      <c r="D1144" s="59" t="str">
        <f t="shared" si="56"/>
        <v/>
      </c>
      <c r="O1144" s="4" t="str">
        <f t="shared" si="57"/>
        <v/>
      </c>
      <c r="P1144" s="59" t="str">
        <f t="shared" si="58"/>
        <v/>
      </c>
    </row>
    <row r="1145" spans="4:16" ht="22.5" customHeight="1" x14ac:dyDescent="0.25">
      <c r="D1145" s="59" t="str">
        <f t="shared" si="56"/>
        <v/>
      </c>
      <c r="O1145" s="4" t="str">
        <f t="shared" si="57"/>
        <v/>
      </c>
      <c r="P1145" s="59" t="str">
        <f t="shared" si="58"/>
        <v/>
      </c>
    </row>
    <row r="1146" spans="4:16" ht="22.5" customHeight="1" x14ac:dyDescent="0.25">
      <c r="D1146" s="59" t="str">
        <f t="shared" si="56"/>
        <v/>
      </c>
      <c r="O1146" s="4" t="str">
        <f t="shared" si="57"/>
        <v/>
      </c>
      <c r="P1146" s="59" t="str">
        <f t="shared" si="58"/>
        <v/>
      </c>
    </row>
    <row r="1147" spans="4:16" ht="22.5" customHeight="1" x14ac:dyDescent="0.25">
      <c r="D1147" s="59" t="str">
        <f t="shared" si="56"/>
        <v/>
      </c>
      <c r="O1147" s="4" t="str">
        <f t="shared" si="57"/>
        <v/>
      </c>
      <c r="P1147" s="59" t="str">
        <f t="shared" si="58"/>
        <v/>
      </c>
    </row>
    <row r="1148" spans="4:16" ht="22.5" customHeight="1" x14ac:dyDescent="0.25">
      <c r="D1148" s="59" t="str">
        <f t="shared" si="56"/>
        <v/>
      </c>
      <c r="O1148" s="4" t="str">
        <f t="shared" si="57"/>
        <v/>
      </c>
      <c r="P1148" s="59" t="str">
        <f t="shared" si="58"/>
        <v/>
      </c>
    </row>
    <row r="1149" spans="4:16" ht="22.5" customHeight="1" x14ac:dyDescent="0.25">
      <c r="D1149" s="59" t="str">
        <f t="shared" si="56"/>
        <v/>
      </c>
      <c r="O1149" s="4" t="str">
        <f t="shared" si="57"/>
        <v/>
      </c>
      <c r="P1149" s="59" t="str">
        <f t="shared" si="58"/>
        <v/>
      </c>
    </row>
    <row r="1150" spans="4:16" ht="22.5" customHeight="1" x14ac:dyDescent="0.25">
      <c r="D1150" s="59" t="str">
        <f t="shared" si="56"/>
        <v/>
      </c>
      <c r="O1150" s="4" t="str">
        <f t="shared" si="57"/>
        <v/>
      </c>
      <c r="P1150" s="59" t="str">
        <f t="shared" si="58"/>
        <v/>
      </c>
    </row>
    <row r="1151" spans="4:16" ht="22.5" customHeight="1" x14ac:dyDescent="0.25">
      <c r="D1151" s="59" t="str">
        <f t="shared" si="56"/>
        <v/>
      </c>
      <c r="O1151" s="4" t="str">
        <f t="shared" si="57"/>
        <v/>
      </c>
      <c r="P1151" s="59" t="str">
        <f t="shared" si="58"/>
        <v/>
      </c>
    </row>
    <row r="1152" spans="4:16" ht="22.5" customHeight="1" x14ac:dyDescent="0.25">
      <c r="D1152" s="59" t="str">
        <f t="shared" si="56"/>
        <v/>
      </c>
      <c r="O1152" s="4" t="str">
        <f t="shared" si="57"/>
        <v/>
      </c>
      <c r="P1152" s="59" t="str">
        <f t="shared" si="58"/>
        <v/>
      </c>
    </row>
    <row r="1153" spans="4:16" ht="22.5" customHeight="1" x14ac:dyDescent="0.25">
      <c r="D1153" s="59" t="str">
        <f t="shared" si="56"/>
        <v/>
      </c>
      <c r="O1153" s="4" t="str">
        <f t="shared" si="57"/>
        <v/>
      </c>
      <c r="P1153" s="59" t="str">
        <f t="shared" si="58"/>
        <v/>
      </c>
    </row>
    <row r="1154" spans="4:16" ht="22.5" customHeight="1" x14ac:dyDescent="0.25">
      <c r="D1154" s="59" t="str">
        <f t="shared" si="56"/>
        <v/>
      </c>
      <c r="O1154" s="4" t="str">
        <f t="shared" si="57"/>
        <v/>
      </c>
      <c r="P1154" s="59" t="str">
        <f t="shared" si="58"/>
        <v/>
      </c>
    </row>
    <row r="1155" spans="4:16" ht="22.5" customHeight="1" x14ac:dyDescent="0.25">
      <c r="D1155" s="59" t="str">
        <f t="shared" si="56"/>
        <v/>
      </c>
      <c r="O1155" s="4" t="str">
        <f t="shared" si="57"/>
        <v/>
      </c>
      <c r="P1155" s="59" t="str">
        <f t="shared" si="58"/>
        <v/>
      </c>
    </row>
    <row r="1156" spans="4:16" ht="22.5" customHeight="1" x14ac:dyDescent="0.25">
      <c r="D1156" s="59" t="str">
        <f t="shared" si="56"/>
        <v/>
      </c>
      <c r="O1156" s="4" t="str">
        <f t="shared" si="57"/>
        <v/>
      </c>
      <c r="P1156" s="59" t="str">
        <f t="shared" si="58"/>
        <v/>
      </c>
    </row>
    <row r="1157" spans="4:16" ht="22.5" customHeight="1" x14ac:dyDescent="0.25">
      <c r="D1157" s="59" t="str">
        <f t="shared" si="56"/>
        <v/>
      </c>
      <c r="O1157" s="4" t="str">
        <f t="shared" si="57"/>
        <v/>
      </c>
      <c r="P1157" s="59" t="str">
        <f t="shared" si="58"/>
        <v/>
      </c>
    </row>
    <row r="1158" spans="4:16" ht="22.5" customHeight="1" x14ac:dyDescent="0.25">
      <c r="D1158" s="59" t="str">
        <f t="shared" si="56"/>
        <v/>
      </c>
      <c r="O1158" s="4" t="str">
        <f t="shared" si="57"/>
        <v/>
      </c>
      <c r="P1158" s="59" t="str">
        <f t="shared" si="58"/>
        <v/>
      </c>
    </row>
    <row r="1159" spans="4:16" ht="22.5" customHeight="1" x14ac:dyDescent="0.25">
      <c r="D1159" s="59" t="str">
        <f t="shared" si="56"/>
        <v/>
      </c>
      <c r="O1159" s="4" t="str">
        <f t="shared" si="57"/>
        <v/>
      </c>
      <c r="P1159" s="59" t="str">
        <f t="shared" si="58"/>
        <v/>
      </c>
    </row>
    <row r="1160" spans="4:16" ht="22.5" customHeight="1" x14ac:dyDescent="0.25">
      <c r="D1160" s="59" t="str">
        <f t="shared" si="56"/>
        <v/>
      </c>
      <c r="O1160" s="4" t="str">
        <f t="shared" si="57"/>
        <v/>
      </c>
      <c r="P1160" s="59" t="str">
        <f t="shared" si="58"/>
        <v/>
      </c>
    </row>
    <row r="1161" spans="4:16" ht="22.5" customHeight="1" x14ac:dyDescent="0.25">
      <c r="D1161" s="59" t="str">
        <f t="shared" si="56"/>
        <v/>
      </c>
      <c r="O1161" s="4" t="str">
        <f t="shared" si="57"/>
        <v/>
      </c>
      <c r="P1161" s="59" t="str">
        <f t="shared" si="58"/>
        <v/>
      </c>
    </row>
    <row r="1162" spans="4:16" ht="22.5" customHeight="1" x14ac:dyDescent="0.25">
      <c r="D1162" s="59" t="str">
        <f t="shared" si="56"/>
        <v/>
      </c>
      <c r="O1162" s="4" t="str">
        <f t="shared" si="57"/>
        <v/>
      </c>
      <c r="P1162" s="59" t="str">
        <f t="shared" si="58"/>
        <v/>
      </c>
    </row>
    <row r="1163" spans="4:16" ht="22.5" customHeight="1" x14ac:dyDescent="0.25">
      <c r="D1163" s="59" t="str">
        <f t="shared" si="56"/>
        <v/>
      </c>
      <c r="O1163" s="4" t="str">
        <f t="shared" si="57"/>
        <v/>
      </c>
      <c r="P1163" s="59" t="str">
        <f t="shared" si="58"/>
        <v/>
      </c>
    </row>
    <row r="1164" spans="4:16" ht="22.5" customHeight="1" x14ac:dyDescent="0.25">
      <c r="D1164" s="59" t="str">
        <f t="shared" si="56"/>
        <v/>
      </c>
      <c r="O1164" s="4" t="str">
        <f t="shared" si="57"/>
        <v/>
      </c>
      <c r="P1164" s="59" t="str">
        <f t="shared" si="58"/>
        <v/>
      </c>
    </row>
    <row r="1165" spans="4:16" ht="22.5" customHeight="1" x14ac:dyDescent="0.25">
      <c r="D1165" s="59" t="str">
        <f t="shared" si="56"/>
        <v/>
      </c>
      <c r="O1165" s="4" t="str">
        <f t="shared" si="57"/>
        <v/>
      </c>
      <c r="P1165" s="59" t="str">
        <f t="shared" si="58"/>
        <v/>
      </c>
    </row>
    <row r="1166" spans="4:16" ht="22.5" customHeight="1" x14ac:dyDescent="0.25">
      <c r="D1166" s="59" t="str">
        <f t="shared" si="56"/>
        <v/>
      </c>
      <c r="O1166" s="4" t="str">
        <f t="shared" si="57"/>
        <v/>
      </c>
      <c r="P1166" s="59" t="str">
        <f t="shared" si="58"/>
        <v/>
      </c>
    </row>
    <row r="1167" spans="4:16" ht="22.5" customHeight="1" x14ac:dyDescent="0.25">
      <c r="D1167" s="59" t="str">
        <f t="shared" si="56"/>
        <v/>
      </c>
      <c r="O1167" s="4" t="str">
        <f t="shared" si="57"/>
        <v/>
      </c>
      <c r="P1167" s="59" t="str">
        <f t="shared" si="58"/>
        <v/>
      </c>
    </row>
    <row r="1168" spans="4:16" ht="22.5" customHeight="1" x14ac:dyDescent="0.25">
      <c r="D1168" s="59" t="str">
        <f t="shared" si="56"/>
        <v/>
      </c>
      <c r="O1168" s="4" t="str">
        <f t="shared" si="57"/>
        <v/>
      </c>
      <c r="P1168" s="59" t="str">
        <f t="shared" si="58"/>
        <v/>
      </c>
    </row>
    <row r="1169" spans="4:16" ht="22.5" customHeight="1" x14ac:dyDescent="0.25">
      <c r="D1169" s="59" t="str">
        <f t="shared" si="56"/>
        <v/>
      </c>
      <c r="O1169" s="4" t="str">
        <f t="shared" si="57"/>
        <v/>
      </c>
      <c r="P1169" s="59" t="str">
        <f t="shared" si="58"/>
        <v/>
      </c>
    </row>
    <row r="1170" spans="4:16" ht="22.5" customHeight="1" x14ac:dyDescent="0.25">
      <c r="D1170" s="59" t="str">
        <f t="shared" si="56"/>
        <v/>
      </c>
      <c r="O1170" s="4" t="str">
        <f t="shared" si="57"/>
        <v/>
      </c>
      <c r="P1170" s="59" t="str">
        <f t="shared" si="58"/>
        <v/>
      </c>
    </row>
    <row r="1171" spans="4:16" ht="22.5" customHeight="1" x14ac:dyDescent="0.25">
      <c r="D1171" s="59" t="str">
        <f t="shared" si="56"/>
        <v/>
      </c>
      <c r="O1171" s="4" t="str">
        <f t="shared" si="57"/>
        <v/>
      </c>
      <c r="P1171" s="59" t="str">
        <f t="shared" si="58"/>
        <v/>
      </c>
    </row>
    <row r="1172" spans="4:16" ht="22.5" customHeight="1" x14ac:dyDescent="0.25">
      <c r="D1172" s="59" t="str">
        <f t="shared" si="56"/>
        <v/>
      </c>
      <c r="O1172" s="4" t="str">
        <f t="shared" si="57"/>
        <v/>
      </c>
      <c r="P1172" s="59" t="str">
        <f t="shared" si="58"/>
        <v/>
      </c>
    </row>
    <row r="1173" spans="4:16" ht="22.5" customHeight="1" x14ac:dyDescent="0.25">
      <c r="D1173" s="59" t="str">
        <f t="shared" si="56"/>
        <v/>
      </c>
      <c r="O1173" s="4" t="str">
        <f t="shared" si="57"/>
        <v/>
      </c>
      <c r="P1173" s="59" t="str">
        <f t="shared" si="58"/>
        <v/>
      </c>
    </row>
    <row r="1174" spans="4:16" ht="22.5" customHeight="1" x14ac:dyDescent="0.25">
      <c r="D1174" s="59" t="str">
        <f t="shared" si="56"/>
        <v/>
      </c>
      <c r="O1174" s="4" t="str">
        <f t="shared" si="57"/>
        <v/>
      </c>
      <c r="P1174" s="59" t="str">
        <f t="shared" si="58"/>
        <v/>
      </c>
    </row>
    <row r="1175" spans="4:16" ht="22.5" customHeight="1" x14ac:dyDescent="0.25">
      <c r="D1175" s="59" t="str">
        <f t="shared" si="56"/>
        <v/>
      </c>
      <c r="O1175" s="4" t="str">
        <f t="shared" si="57"/>
        <v/>
      </c>
      <c r="P1175" s="59" t="str">
        <f t="shared" si="58"/>
        <v/>
      </c>
    </row>
    <row r="1176" spans="4:16" ht="22.5" customHeight="1" x14ac:dyDescent="0.25">
      <c r="D1176" s="59" t="str">
        <f t="shared" si="56"/>
        <v/>
      </c>
      <c r="O1176" s="4" t="str">
        <f t="shared" si="57"/>
        <v/>
      </c>
      <c r="P1176" s="59" t="str">
        <f t="shared" si="58"/>
        <v/>
      </c>
    </row>
    <row r="1177" spans="4:16" ht="22.5" customHeight="1" x14ac:dyDescent="0.25">
      <c r="D1177" s="59" t="str">
        <f t="shared" si="56"/>
        <v/>
      </c>
      <c r="O1177" s="4" t="str">
        <f t="shared" si="57"/>
        <v/>
      </c>
      <c r="P1177" s="59" t="str">
        <f t="shared" si="58"/>
        <v/>
      </c>
    </row>
    <row r="1178" spans="4:16" ht="22.5" customHeight="1" x14ac:dyDescent="0.25">
      <c r="D1178" s="59" t="str">
        <f t="shared" si="56"/>
        <v/>
      </c>
      <c r="O1178" s="4" t="str">
        <f t="shared" si="57"/>
        <v/>
      </c>
      <c r="P1178" s="59" t="str">
        <f t="shared" si="58"/>
        <v/>
      </c>
    </row>
    <row r="1179" spans="4:16" ht="22.5" customHeight="1" x14ac:dyDescent="0.25">
      <c r="D1179" s="59" t="str">
        <f t="shared" si="56"/>
        <v/>
      </c>
      <c r="O1179" s="4" t="str">
        <f t="shared" si="57"/>
        <v/>
      </c>
      <c r="P1179" s="59" t="str">
        <f t="shared" si="58"/>
        <v/>
      </c>
    </row>
    <row r="1180" spans="4:16" ht="22.5" customHeight="1" x14ac:dyDescent="0.25">
      <c r="D1180" s="59" t="str">
        <f t="shared" ref="D1180:D1243" si="59">IF(AND(I1180&lt;&gt;"",J1180&lt;&gt;""), I1180*J1180, "")</f>
        <v/>
      </c>
      <c r="O1180" s="4" t="str">
        <f t="shared" ref="O1180:O1243" si="60">IF(OR(D1180="", N1180=""), "", ROUND(D1180 * N1180 / 100, 2))</f>
        <v/>
      </c>
      <c r="P1180" s="59" t="str">
        <f t="shared" ref="P1180:P1243" si="61">IF(D1180="", "", D1180 + O1180)</f>
        <v/>
      </c>
    </row>
    <row r="1181" spans="4:16" ht="22.5" customHeight="1" x14ac:dyDescent="0.25">
      <c r="D1181" s="59" t="str">
        <f t="shared" si="59"/>
        <v/>
      </c>
      <c r="O1181" s="4" t="str">
        <f t="shared" si="60"/>
        <v/>
      </c>
      <c r="P1181" s="59" t="str">
        <f t="shared" si="61"/>
        <v/>
      </c>
    </row>
    <row r="1182" spans="4:16" ht="22.5" customHeight="1" x14ac:dyDescent="0.25">
      <c r="D1182" s="59" t="str">
        <f t="shared" si="59"/>
        <v/>
      </c>
      <c r="O1182" s="4" t="str">
        <f t="shared" si="60"/>
        <v/>
      </c>
      <c r="P1182" s="59" t="str">
        <f t="shared" si="61"/>
        <v/>
      </c>
    </row>
    <row r="1183" spans="4:16" ht="22.5" customHeight="1" x14ac:dyDescent="0.25">
      <c r="D1183" s="59" t="str">
        <f t="shared" si="59"/>
        <v/>
      </c>
      <c r="O1183" s="4" t="str">
        <f t="shared" si="60"/>
        <v/>
      </c>
      <c r="P1183" s="59" t="str">
        <f t="shared" si="61"/>
        <v/>
      </c>
    </row>
    <row r="1184" spans="4:16" ht="22.5" customHeight="1" x14ac:dyDescent="0.25">
      <c r="D1184" s="59" t="str">
        <f t="shared" si="59"/>
        <v/>
      </c>
      <c r="O1184" s="4" t="str">
        <f t="shared" si="60"/>
        <v/>
      </c>
      <c r="P1184" s="59" t="str">
        <f t="shared" si="61"/>
        <v/>
      </c>
    </row>
    <row r="1185" spans="4:16" ht="22.5" customHeight="1" x14ac:dyDescent="0.25">
      <c r="D1185" s="59" t="str">
        <f t="shared" si="59"/>
        <v/>
      </c>
      <c r="O1185" s="4" t="str">
        <f t="shared" si="60"/>
        <v/>
      </c>
      <c r="P1185" s="59" t="str">
        <f t="shared" si="61"/>
        <v/>
      </c>
    </row>
    <row r="1186" spans="4:16" ht="22.5" customHeight="1" x14ac:dyDescent="0.25">
      <c r="D1186" s="59" t="str">
        <f t="shared" si="59"/>
        <v/>
      </c>
      <c r="O1186" s="4" t="str">
        <f t="shared" si="60"/>
        <v/>
      </c>
      <c r="P1186" s="59" t="str">
        <f t="shared" si="61"/>
        <v/>
      </c>
    </row>
    <row r="1187" spans="4:16" ht="22.5" customHeight="1" x14ac:dyDescent="0.25">
      <c r="D1187" s="59" t="str">
        <f t="shared" si="59"/>
        <v/>
      </c>
      <c r="O1187" s="4" t="str">
        <f t="shared" si="60"/>
        <v/>
      </c>
      <c r="P1187" s="59" t="str">
        <f t="shared" si="61"/>
        <v/>
      </c>
    </row>
    <row r="1188" spans="4:16" ht="22.5" customHeight="1" x14ac:dyDescent="0.25">
      <c r="D1188" s="59" t="str">
        <f t="shared" si="59"/>
        <v/>
      </c>
      <c r="O1188" s="4" t="str">
        <f t="shared" si="60"/>
        <v/>
      </c>
      <c r="P1188" s="59" t="str">
        <f t="shared" si="61"/>
        <v/>
      </c>
    </row>
    <row r="1189" spans="4:16" ht="22.5" customHeight="1" x14ac:dyDescent="0.25">
      <c r="D1189" s="59" t="str">
        <f t="shared" si="59"/>
        <v/>
      </c>
      <c r="O1189" s="4" t="str">
        <f t="shared" si="60"/>
        <v/>
      </c>
      <c r="P1189" s="59" t="str">
        <f t="shared" si="61"/>
        <v/>
      </c>
    </row>
    <row r="1190" spans="4:16" ht="22.5" customHeight="1" x14ac:dyDescent="0.25">
      <c r="D1190" s="59" t="str">
        <f t="shared" si="59"/>
        <v/>
      </c>
      <c r="O1190" s="4" t="str">
        <f t="shared" si="60"/>
        <v/>
      </c>
      <c r="P1190" s="59" t="str">
        <f t="shared" si="61"/>
        <v/>
      </c>
    </row>
    <row r="1191" spans="4:16" ht="22.5" customHeight="1" x14ac:dyDescent="0.25">
      <c r="D1191" s="59" t="str">
        <f t="shared" si="59"/>
        <v/>
      </c>
      <c r="O1191" s="4" t="str">
        <f t="shared" si="60"/>
        <v/>
      </c>
      <c r="P1191" s="59" t="str">
        <f t="shared" si="61"/>
        <v/>
      </c>
    </row>
    <row r="1192" spans="4:16" ht="22.5" customHeight="1" x14ac:dyDescent="0.25">
      <c r="D1192" s="59" t="str">
        <f t="shared" si="59"/>
        <v/>
      </c>
      <c r="O1192" s="4" t="str">
        <f t="shared" si="60"/>
        <v/>
      </c>
      <c r="P1192" s="59" t="str">
        <f t="shared" si="61"/>
        <v/>
      </c>
    </row>
    <row r="1193" spans="4:16" ht="22.5" customHeight="1" x14ac:dyDescent="0.25">
      <c r="D1193" s="59" t="str">
        <f t="shared" si="59"/>
        <v/>
      </c>
      <c r="O1193" s="4" t="str">
        <f t="shared" si="60"/>
        <v/>
      </c>
      <c r="P1193" s="59" t="str">
        <f t="shared" si="61"/>
        <v/>
      </c>
    </row>
    <row r="1194" spans="4:16" ht="22.5" customHeight="1" x14ac:dyDescent="0.25">
      <c r="D1194" s="59" t="str">
        <f t="shared" si="59"/>
        <v/>
      </c>
      <c r="O1194" s="4" t="str">
        <f t="shared" si="60"/>
        <v/>
      </c>
      <c r="P1194" s="59" t="str">
        <f t="shared" si="61"/>
        <v/>
      </c>
    </row>
    <row r="1195" spans="4:16" ht="22.5" customHeight="1" x14ac:dyDescent="0.25">
      <c r="D1195" s="59" t="str">
        <f t="shared" si="59"/>
        <v/>
      </c>
      <c r="O1195" s="4" t="str">
        <f t="shared" si="60"/>
        <v/>
      </c>
      <c r="P1195" s="59" t="str">
        <f t="shared" si="61"/>
        <v/>
      </c>
    </row>
    <row r="1196" spans="4:16" ht="22.5" customHeight="1" x14ac:dyDescent="0.25">
      <c r="D1196" s="59" t="str">
        <f t="shared" si="59"/>
        <v/>
      </c>
      <c r="O1196" s="4" t="str">
        <f t="shared" si="60"/>
        <v/>
      </c>
      <c r="P1196" s="59" t="str">
        <f t="shared" si="61"/>
        <v/>
      </c>
    </row>
    <row r="1197" spans="4:16" ht="22.5" customHeight="1" x14ac:dyDescent="0.25">
      <c r="D1197" s="59" t="str">
        <f t="shared" si="59"/>
        <v/>
      </c>
      <c r="O1197" s="4" t="str">
        <f t="shared" si="60"/>
        <v/>
      </c>
      <c r="P1197" s="59" t="str">
        <f t="shared" si="61"/>
        <v/>
      </c>
    </row>
    <row r="1198" spans="4:16" ht="22.5" customHeight="1" x14ac:dyDescent="0.25">
      <c r="D1198" s="59" t="str">
        <f t="shared" si="59"/>
        <v/>
      </c>
      <c r="O1198" s="4" t="str">
        <f t="shared" si="60"/>
        <v/>
      </c>
      <c r="P1198" s="59" t="str">
        <f t="shared" si="61"/>
        <v/>
      </c>
    </row>
    <row r="1199" spans="4:16" ht="22.5" customHeight="1" x14ac:dyDescent="0.25">
      <c r="D1199" s="59" t="str">
        <f t="shared" si="59"/>
        <v/>
      </c>
      <c r="O1199" s="4" t="str">
        <f t="shared" si="60"/>
        <v/>
      </c>
      <c r="P1199" s="59" t="str">
        <f t="shared" si="61"/>
        <v/>
      </c>
    </row>
    <row r="1200" spans="4:16" ht="22.5" customHeight="1" x14ac:dyDescent="0.25">
      <c r="D1200" s="59" t="str">
        <f t="shared" si="59"/>
        <v/>
      </c>
      <c r="O1200" s="4" t="str">
        <f t="shared" si="60"/>
        <v/>
      </c>
      <c r="P1200" s="59" t="str">
        <f t="shared" si="61"/>
        <v/>
      </c>
    </row>
    <row r="1201" spans="4:16" ht="22.5" customHeight="1" x14ac:dyDescent="0.25">
      <c r="D1201" s="59" t="str">
        <f t="shared" si="59"/>
        <v/>
      </c>
      <c r="O1201" s="4" t="str">
        <f t="shared" si="60"/>
        <v/>
      </c>
      <c r="P1201" s="59" t="str">
        <f t="shared" si="61"/>
        <v/>
      </c>
    </row>
    <row r="1202" spans="4:16" ht="22.5" customHeight="1" x14ac:dyDescent="0.25">
      <c r="D1202" s="59" t="str">
        <f t="shared" si="59"/>
        <v/>
      </c>
      <c r="O1202" s="4" t="str">
        <f t="shared" si="60"/>
        <v/>
      </c>
      <c r="P1202" s="59" t="str">
        <f t="shared" si="61"/>
        <v/>
      </c>
    </row>
    <row r="1203" spans="4:16" ht="22.5" customHeight="1" x14ac:dyDescent="0.25">
      <c r="D1203" s="59" t="str">
        <f t="shared" si="59"/>
        <v/>
      </c>
      <c r="O1203" s="4" t="str">
        <f t="shared" si="60"/>
        <v/>
      </c>
      <c r="P1203" s="59" t="str">
        <f t="shared" si="61"/>
        <v/>
      </c>
    </row>
    <row r="1204" spans="4:16" ht="22.5" customHeight="1" x14ac:dyDescent="0.25">
      <c r="D1204" s="59" t="str">
        <f t="shared" si="59"/>
        <v/>
      </c>
      <c r="O1204" s="4" t="str">
        <f t="shared" si="60"/>
        <v/>
      </c>
      <c r="P1204" s="59" t="str">
        <f t="shared" si="61"/>
        <v/>
      </c>
    </row>
    <row r="1205" spans="4:16" ht="22.5" customHeight="1" x14ac:dyDescent="0.25">
      <c r="D1205" s="59" t="str">
        <f t="shared" si="59"/>
        <v/>
      </c>
      <c r="O1205" s="4" t="str">
        <f t="shared" si="60"/>
        <v/>
      </c>
      <c r="P1205" s="59" t="str">
        <f t="shared" si="61"/>
        <v/>
      </c>
    </row>
    <row r="1206" spans="4:16" ht="22.5" customHeight="1" x14ac:dyDescent="0.25">
      <c r="D1206" s="59" t="str">
        <f t="shared" si="59"/>
        <v/>
      </c>
      <c r="O1206" s="4" t="str">
        <f t="shared" si="60"/>
        <v/>
      </c>
      <c r="P1206" s="59" t="str">
        <f t="shared" si="61"/>
        <v/>
      </c>
    </row>
    <row r="1207" spans="4:16" ht="22.5" customHeight="1" x14ac:dyDescent="0.25">
      <c r="D1207" s="59" t="str">
        <f t="shared" si="59"/>
        <v/>
      </c>
      <c r="O1207" s="4" t="str">
        <f t="shared" si="60"/>
        <v/>
      </c>
      <c r="P1207" s="59" t="str">
        <f t="shared" si="61"/>
        <v/>
      </c>
    </row>
    <row r="1208" spans="4:16" ht="22.5" customHeight="1" x14ac:dyDescent="0.25">
      <c r="D1208" s="59" t="str">
        <f t="shared" si="59"/>
        <v/>
      </c>
      <c r="O1208" s="4" t="str">
        <f t="shared" si="60"/>
        <v/>
      </c>
      <c r="P1208" s="59" t="str">
        <f t="shared" si="61"/>
        <v/>
      </c>
    </row>
    <row r="1209" spans="4:16" ht="22.5" customHeight="1" x14ac:dyDescent="0.25">
      <c r="D1209" s="59" t="str">
        <f t="shared" si="59"/>
        <v/>
      </c>
      <c r="O1209" s="4" t="str">
        <f t="shared" si="60"/>
        <v/>
      </c>
      <c r="P1209" s="59" t="str">
        <f t="shared" si="61"/>
        <v/>
      </c>
    </row>
    <row r="1210" spans="4:16" ht="22.5" customHeight="1" x14ac:dyDescent="0.25">
      <c r="D1210" s="59" t="str">
        <f t="shared" si="59"/>
        <v/>
      </c>
      <c r="O1210" s="4" t="str">
        <f t="shared" si="60"/>
        <v/>
      </c>
      <c r="P1210" s="59" t="str">
        <f t="shared" si="61"/>
        <v/>
      </c>
    </row>
    <row r="1211" spans="4:16" ht="22.5" customHeight="1" x14ac:dyDescent="0.25">
      <c r="D1211" s="59" t="str">
        <f t="shared" si="59"/>
        <v/>
      </c>
      <c r="O1211" s="4" t="str">
        <f t="shared" si="60"/>
        <v/>
      </c>
      <c r="P1211" s="59" t="str">
        <f t="shared" si="61"/>
        <v/>
      </c>
    </row>
    <row r="1212" spans="4:16" ht="22.5" customHeight="1" x14ac:dyDescent="0.25">
      <c r="D1212" s="59" t="str">
        <f t="shared" si="59"/>
        <v/>
      </c>
      <c r="O1212" s="4" t="str">
        <f t="shared" si="60"/>
        <v/>
      </c>
      <c r="P1212" s="59" t="str">
        <f t="shared" si="61"/>
        <v/>
      </c>
    </row>
    <row r="1213" spans="4:16" ht="22.5" customHeight="1" x14ac:dyDescent="0.25">
      <c r="D1213" s="59" t="str">
        <f t="shared" si="59"/>
        <v/>
      </c>
      <c r="O1213" s="4" t="str">
        <f t="shared" si="60"/>
        <v/>
      </c>
      <c r="P1213" s="59" t="str">
        <f t="shared" si="61"/>
        <v/>
      </c>
    </row>
    <row r="1214" spans="4:16" ht="22.5" customHeight="1" x14ac:dyDescent="0.25">
      <c r="D1214" s="59" t="str">
        <f t="shared" si="59"/>
        <v/>
      </c>
      <c r="O1214" s="4" t="str">
        <f t="shared" si="60"/>
        <v/>
      </c>
      <c r="P1214" s="59" t="str">
        <f t="shared" si="61"/>
        <v/>
      </c>
    </row>
    <row r="1215" spans="4:16" ht="22.5" customHeight="1" x14ac:dyDescent="0.25">
      <c r="D1215" s="59" t="str">
        <f t="shared" si="59"/>
        <v/>
      </c>
      <c r="O1215" s="4" t="str">
        <f t="shared" si="60"/>
        <v/>
      </c>
      <c r="P1215" s="59" t="str">
        <f t="shared" si="61"/>
        <v/>
      </c>
    </row>
    <row r="1216" spans="4:16" ht="22.5" customHeight="1" x14ac:dyDescent="0.25">
      <c r="D1216" s="59" t="str">
        <f t="shared" si="59"/>
        <v/>
      </c>
      <c r="O1216" s="4" t="str">
        <f t="shared" si="60"/>
        <v/>
      </c>
      <c r="P1216" s="59" t="str">
        <f t="shared" si="61"/>
        <v/>
      </c>
    </row>
    <row r="1217" spans="4:16" ht="22.5" customHeight="1" x14ac:dyDescent="0.25">
      <c r="D1217" s="59" t="str">
        <f t="shared" si="59"/>
        <v/>
      </c>
      <c r="O1217" s="4" t="str">
        <f t="shared" si="60"/>
        <v/>
      </c>
      <c r="P1217" s="59" t="str">
        <f t="shared" si="61"/>
        <v/>
      </c>
    </row>
    <row r="1218" spans="4:16" ht="22.5" customHeight="1" x14ac:dyDescent="0.25">
      <c r="D1218" s="59" t="str">
        <f t="shared" si="59"/>
        <v/>
      </c>
      <c r="O1218" s="4" t="str">
        <f t="shared" si="60"/>
        <v/>
      </c>
      <c r="P1218" s="59" t="str">
        <f t="shared" si="61"/>
        <v/>
      </c>
    </row>
    <row r="1219" spans="4:16" ht="22.5" customHeight="1" x14ac:dyDescent="0.25">
      <c r="D1219" s="59" t="str">
        <f t="shared" si="59"/>
        <v/>
      </c>
      <c r="O1219" s="4" t="str">
        <f t="shared" si="60"/>
        <v/>
      </c>
      <c r="P1219" s="59" t="str">
        <f t="shared" si="61"/>
        <v/>
      </c>
    </row>
    <row r="1220" spans="4:16" ht="22.5" customHeight="1" x14ac:dyDescent="0.25">
      <c r="D1220" s="59" t="str">
        <f t="shared" si="59"/>
        <v/>
      </c>
      <c r="O1220" s="4" t="str">
        <f t="shared" si="60"/>
        <v/>
      </c>
      <c r="P1220" s="59" t="str">
        <f t="shared" si="61"/>
        <v/>
      </c>
    </row>
    <row r="1221" spans="4:16" ht="22.5" customHeight="1" x14ac:dyDescent="0.25">
      <c r="D1221" s="59" t="str">
        <f t="shared" si="59"/>
        <v/>
      </c>
      <c r="O1221" s="4" t="str">
        <f t="shared" si="60"/>
        <v/>
      </c>
      <c r="P1221" s="59" t="str">
        <f t="shared" si="61"/>
        <v/>
      </c>
    </row>
    <row r="1222" spans="4:16" ht="22.5" customHeight="1" x14ac:dyDescent="0.25">
      <c r="D1222" s="59" t="str">
        <f t="shared" si="59"/>
        <v/>
      </c>
      <c r="O1222" s="4" t="str">
        <f t="shared" si="60"/>
        <v/>
      </c>
      <c r="P1222" s="59" t="str">
        <f t="shared" si="61"/>
        <v/>
      </c>
    </row>
    <row r="1223" spans="4:16" ht="22.5" customHeight="1" x14ac:dyDescent="0.25">
      <c r="D1223" s="59" t="str">
        <f t="shared" si="59"/>
        <v/>
      </c>
      <c r="O1223" s="4" t="str">
        <f t="shared" si="60"/>
        <v/>
      </c>
      <c r="P1223" s="59" t="str">
        <f t="shared" si="61"/>
        <v/>
      </c>
    </row>
    <row r="1224" spans="4:16" ht="22.5" customHeight="1" x14ac:dyDescent="0.25">
      <c r="D1224" s="59" t="str">
        <f t="shared" si="59"/>
        <v/>
      </c>
      <c r="O1224" s="4" t="str">
        <f t="shared" si="60"/>
        <v/>
      </c>
      <c r="P1224" s="59" t="str">
        <f t="shared" si="61"/>
        <v/>
      </c>
    </row>
    <row r="1225" spans="4:16" ht="22.5" customHeight="1" x14ac:dyDescent="0.25">
      <c r="D1225" s="59" t="str">
        <f t="shared" si="59"/>
        <v/>
      </c>
      <c r="O1225" s="4" t="str">
        <f t="shared" si="60"/>
        <v/>
      </c>
      <c r="P1225" s="59" t="str">
        <f t="shared" si="61"/>
        <v/>
      </c>
    </row>
    <row r="1226" spans="4:16" ht="22.5" customHeight="1" x14ac:dyDescent="0.25">
      <c r="D1226" s="59" t="str">
        <f t="shared" si="59"/>
        <v/>
      </c>
      <c r="O1226" s="4" t="str">
        <f t="shared" si="60"/>
        <v/>
      </c>
      <c r="P1226" s="59" t="str">
        <f t="shared" si="61"/>
        <v/>
      </c>
    </row>
    <row r="1227" spans="4:16" ht="22.5" customHeight="1" x14ac:dyDescent="0.25">
      <c r="D1227" s="59" t="str">
        <f t="shared" si="59"/>
        <v/>
      </c>
      <c r="O1227" s="4" t="str">
        <f t="shared" si="60"/>
        <v/>
      </c>
      <c r="P1227" s="59" t="str">
        <f t="shared" si="61"/>
        <v/>
      </c>
    </row>
    <row r="1228" spans="4:16" ht="22.5" customHeight="1" x14ac:dyDescent="0.25">
      <c r="D1228" s="59" t="str">
        <f t="shared" si="59"/>
        <v/>
      </c>
      <c r="O1228" s="4" t="str">
        <f t="shared" si="60"/>
        <v/>
      </c>
      <c r="P1228" s="59" t="str">
        <f t="shared" si="61"/>
        <v/>
      </c>
    </row>
    <row r="1229" spans="4:16" ht="22.5" customHeight="1" x14ac:dyDescent="0.25">
      <c r="D1229" s="59" t="str">
        <f t="shared" si="59"/>
        <v/>
      </c>
      <c r="O1229" s="4" t="str">
        <f t="shared" si="60"/>
        <v/>
      </c>
      <c r="P1229" s="59" t="str">
        <f t="shared" si="61"/>
        <v/>
      </c>
    </row>
    <row r="1230" spans="4:16" ht="22.5" customHeight="1" x14ac:dyDescent="0.25">
      <c r="D1230" s="59" t="str">
        <f t="shared" si="59"/>
        <v/>
      </c>
      <c r="O1230" s="4" t="str">
        <f t="shared" si="60"/>
        <v/>
      </c>
      <c r="P1230" s="59" t="str">
        <f t="shared" si="61"/>
        <v/>
      </c>
    </row>
    <row r="1231" spans="4:16" ht="22.5" customHeight="1" x14ac:dyDescent="0.25">
      <c r="D1231" s="59" t="str">
        <f t="shared" si="59"/>
        <v/>
      </c>
      <c r="O1231" s="4" t="str">
        <f t="shared" si="60"/>
        <v/>
      </c>
      <c r="P1231" s="59" t="str">
        <f t="shared" si="61"/>
        <v/>
      </c>
    </row>
    <row r="1232" spans="4:16" ht="22.5" customHeight="1" x14ac:dyDescent="0.25">
      <c r="D1232" s="59" t="str">
        <f t="shared" si="59"/>
        <v/>
      </c>
      <c r="O1232" s="4" t="str">
        <f t="shared" si="60"/>
        <v/>
      </c>
      <c r="P1232" s="59" t="str">
        <f t="shared" si="61"/>
        <v/>
      </c>
    </row>
    <row r="1233" spans="4:16" ht="22.5" customHeight="1" x14ac:dyDescent="0.25">
      <c r="D1233" s="59" t="str">
        <f t="shared" si="59"/>
        <v/>
      </c>
      <c r="O1233" s="4" t="str">
        <f t="shared" si="60"/>
        <v/>
      </c>
      <c r="P1233" s="59" t="str">
        <f t="shared" si="61"/>
        <v/>
      </c>
    </row>
    <row r="1234" spans="4:16" ht="22.5" customHeight="1" x14ac:dyDescent="0.25">
      <c r="D1234" s="59" t="str">
        <f t="shared" si="59"/>
        <v/>
      </c>
      <c r="O1234" s="4" t="str">
        <f t="shared" si="60"/>
        <v/>
      </c>
      <c r="P1234" s="59" t="str">
        <f t="shared" si="61"/>
        <v/>
      </c>
    </row>
    <row r="1235" spans="4:16" ht="22.5" customHeight="1" x14ac:dyDescent="0.25">
      <c r="D1235" s="59" t="str">
        <f t="shared" si="59"/>
        <v/>
      </c>
      <c r="O1235" s="4" t="str">
        <f t="shared" si="60"/>
        <v/>
      </c>
      <c r="P1235" s="59" t="str">
        <f t="shared" si="61"/>
        <v/>
      </c>
    </row>
    <row r="1236" spans="4:16" ht="22.5" customHeight="1" x14ac:dyDescent="0.25">
      <c r="D1236" s="59" t="str">
        <f t="shared" si="59"/>
        <v/>
      </c>
      <c r="O1236" s="4" t="str">
        <f t="shared" si="60"/>
        <v/>
      </c>
      <c r="P1236" s="59" t="str">
        <f t="shared" si="61"/>
        <v/>
      </c>
    </row>
    <row r="1237" spans="4:16" ht="22.5" customHeight="1" x14ac:dyDescent="0.25">
      <c r="D1237" s="59" t="str">
        <f t="shared" si="59"/>
        <v/>
      </c>
      <c r="O1237" s="4" t="str">
        <f t="shared" si="60"/>
        <v/>
      </c>
      <c r="P1237" s="59" t="str">
        <f t="shared" si="61"/>
        <v/>
      </c>
    </row>
    <row r="1238" spans="4:16" ht="22.5" customHeight="1" x14ac:dyDescent="0.25">
      <c r="D1238" s="59" t="str">
        <f t="shared" si="59"/>
        <v/>
      </c>
      <c r="O1238" s="4" t="str">
        <f t="shared" si="60"/>
        <v/>
      </c>
      <c r="P1238" s="59" t="str">
        <f t="shared" si="61"/>
        <v/>
      </c>
    </row>
    <row r="1239" spans="4:16" ht="22.5" customHeight="1" x14ac:dyDescent="0.25">
      <c r="D1239" s="59" t="str">
        <f t="shared" si="59"/>
        <v/>
      </c>
      <c r="O1239" s="4" t="str">
        <f t="shared" si="60"/>
        <v/>
      </c>
      <c r="P1239" s="59" t="str">
        <f t="shared" si="61"/>
        <v/>
      </c>
    </row>
    <row r="1240" spans="4:16" ht="22.5" customHeight="1" x14ac:dyDescent="0.25">
      <c r="D1240" s="59" t="str">
        <f t="shared" si="59"/>
        <v/>
      </c>
      <c r="O1240" s="4" t="str">
        <f t="shared" si="60"/>
        <v/>
      </c>
      <c r="P1240" s="59" t="str">
        <f t="shared" si="61"/>
        <v/>
      </c>
    </row>
    <row r="1241" spans="4:16" ht="22.5" customHeight="1" x14ac:dyDescent="0.25">
      <c r="D1241" s="59" t="str">
        <f t="shared" si="59"/>
        <v/>
      </c>
      <c r="O1241" s="4" t="str">
        <f t="shared" si="60"/>
        <v/>
      </c>
      <c r="P1241" s="59" t="str">
        <f t="shared" si="61"/>
        <v/>
      </c>
    </row>
    <row r="1242" spans="4:16" ht="22.5" customHeight="1" x14ac:dyDescent="0.25">
      <c r="D1242" s="59" t="str">
        <f t="shared" si="59"/>
        <v/>
      </c>
      <c r="O1242" s="4" t="str">
        <f t="shared" si="60"/>
        <v/>
      </c>
      <c r="P1242" s="59" t="str">
        <f t="shared" si="61"/>
        <v/>
      </c>
    </row>
    <row r="1243" spans="4:16" ht="22.5" customHeight="1" x14ac:dyDescent="0.25">
      <c r="D1243" s="59" t="str">
        <f t="shared" si="59"/>
        <v/>
      </c>
      <c r="O1243" s="4" t="str">
        <f t="shared" si="60"/>
        <v/>
      </c>
      <c r="P1243" s="59" t="str">
        <f t="shared" si="61"/>
        <v/>
      </c>
    </row>
    <row r="1244" spans="4:16" ht="22.5" customHeight="1" x14ac:dyDescent="0.25">
      <c r="D1244" s="59" t="str">
        <f t="shared" ref="D1244:D1307" si="62">IF(AND(I1244&lt;&gt;"",J1244&lt;&gt;""), I1244*J1244, "")</f>
        <v/>
      </c>
      <c r="O1244" s="4" t="str">
        <f t="shared" ref="O1244:O1307" si="63">IF(OR(D1244="", N1244=""), "", ROUND(D1244 * N1244 / 100, 2))</f>
        <v/>
      </c>
      <c r="P1244" s="59" t="str">
        <f t="shared" ref="P1244:P1307" si="64">IF(D1244="", "", D1244 + O1244)</f>
        <v/>
      </c>
    </row>
    <row r="1245" spans="4:16" ht="22.5" customHeight="1" x14ac:dyDescent="0.25">
      <c r="D1245" s="59" t="str">
        <f t="shared" si="62"/>
        <v/>
      </c>
      <c r="O1245" s="4" t="str">
        <f t="shared" si="63"/>
        <v/>
      </c>
      <c r="P1245" s="59" t="str">
        <f t="shared" si="64"/>
        <v/>
      </c>
    </row>
    <row r="1246" spans="4:16" ht="22.5" customHeight="1" x14ac:dyDescent="0.25">
      <c r="D1246" s="59" t="str">
        <f t="shared" si="62"/>
        <v/>
      </c>
      <c r="O1246" s="4" t="str">
        <f t="shared" si="63"/>
        <v/>
      </c>
      <c r="P1246" s="59" t="str">
        <f t="shared" si="64"/>
        <v/>
      </c>
    </row>
    <row r="1247" spans="4:16" ht="22.5" customHeight="1" x14ac:dyDescent="0.25">
      <c r="D1247" s="59" t="str">
        <f t="shared" si="62"/>
        <v/>
      </c>
      <c r="O1247" s="4" t="str">
        <f t="shared" si="63"/>
        <v/>
      </c>
      <c r="P1247" s="59" t="str">
        <f t="shared" si="64"/>
        <v/>
      </c>
    </row>
    <row r="1248" spans="4:16" ht="22.5" customHeight="1" x14ac:dyDescent="0.25">
      <c r="D1248" s="59" t="str">
        <f t="shared" si="62"/>
        <v/>
      </c>
      <c r="O1248" s="4" t="str">
        <f t="shared" si="63"/>
        <v/>
      </c>
      <c r="P1248" s="59" t="str">
        <f t="shared" si="64"/>
        <v/>
      </c>
    </row>
    <row r="1249" spans="4:16" ht="22.5" customHeight="1" x14ac:dyDescent="0.25">
      <c r="D1249" s="59" t="str">
        <f t="shared" si="62"/>
        <v/>
      </c>
      <c r="O1249" s="4" t="str">
        <f t="shared" si="63"/>
        <v/>
      </c>
      <c r="P1249" s="59" t="str">
        <f t="shared" si="64"/>
        <v/>
      </c>
    </row>
    <row r="1250" spans="4:16" ht="22.5" customHeight="1" x14ac:dyDescent="0.25">
      <c r="D1250" s="59" t="str">
        <f t="shared" si="62"/>
        <v/>
      </c>
      <c r="O1250" s="4" t="str">
        <f t="shared" si="63"/>
        <v/>
      </c>
      <c r="P1250" s="59" t="str">
        <f t="shared" si="64"/>
        <v/>
      </c>
    </row>
    <row r="1251" spans="4:16" ht="22.5" customHeight="1" x14ac:dyDescent="0.25">
      <c r="D1251" s="59" t="str">
        <f t="shared" si="62"/>
        <v/>
      </c>
      <c r="O1251" s="4" t="str">
        <f t="shared" si="63"/>
        <v/>
      </c>
      <c r="P1251" s="59" t="str">
        <f t="shared" si="64"/>
        <v/>
      </c>
    </row>
    <row r="1252" spans="4:16" ht="22.5" customHeight="1" x14ac:dyDescent="0.25">
      <c r="D1252" s="59" t="str">
        <f t="shared" si="62"/>
        <v/>
      </c>
      <c r="O1252" s="4" t="str">
        <f t="shared" si="63"/>
        <v/>
      </c>
      <c r="P1252" s="59" t="str">
        <f t="shared" si="64"/>
        <v/>
      </c>
    </row>
    <row r="1253" spans="4:16" ht="22.5" customHeight="1" x14ac:dyDescent="0.25">
      <c r="D1253" s="59" t="str">
        <f t="shared" si="62"/>
        <v/>
      </c>
      <c r="O1253" s="4" t="str">
        <f t="shared" si="63"/>
        <v/>
      </c>
      <c r="P1253" s="59" t="str">
        <f t="shared" si="64"/>
        <v/>
      </c>
    </row>
    <row r="1254" spans="4:16" ht="22.5" customHeight="1" x14ac:dyDescent="0.25">
      <c r="D1254" s="59" t="str">
        <f t="shared" si="62"/>
        <v/>
      </c>
      <c r="O1254" s="4" t="str">
        <f t="shared" si="63"/>
        <v/>
      </c>
      <c r="P1254" s="59" t="str">
        <f t="shared" si="64"/>
        <v/>
      </c>
    </row>
    <row r="1255" spans="4:16" ht="22.5" customHeight="1" x14ac:dyDescent="0.25">
      <c r="D1255" s="59" t="str">
        <f t="shared" si="62"/>
        <v/>
      </c>
      <c r="O1255" s="4" t="str">
        <f t="shared" si="63"/>
        <v/>
      </c>
      <c r="P1255" s="59" t="str">
        <f t="shared" si="64"/>
        <v/>
      </c>
    </row>
    <row r="1256" spans="4:16" ht="22.5" customHeight="1" x14ac:dyDescent="0.25">
      <c r="D1256" s="59" t="str">
        <f t="shared" si="62"/>
        <v/>
      </c>
      <c r="O1256" s="4" t="str">
        <f t="shared" si="63"/>
        <v/>
      </c>
      <c r="P1256" s="59" t="str">
        <f t="shared" si="64"/>
        <v/>
      </c>
    </row>
    <row r="1257" spans="4:16" ht="22.5" customHeight="1" x14ac:dyDescent="0.25">
      <c r="D1257" s="59" t="str">
        <f t="shared" si="62"/>
        <v/>
      </c>
      <c r="O1257" s="4" t="str">
        <f t="shared" si="63"/>
        <v/>
      </c>
      <c r="P1257" s="59" t="str">
        <f t="shared" si="64"/>
        <v/>
      </c>
    </row>
    <row r="1258" spans="4:16" ht="22.5" customHeight="1" x14ac:dyDescent="0.25">
      <c r="D1258" s="59" t="str">
        <f t="shared" si="62"/>
        <v/>
      </c>
      <c r="O1258" s="4" t="str">
        <f t="shared" si="63"/>
        <v/>
      </c>
      <c r="P1258" s="59" t="str">
        <f t="shared" si="64"/>
        <v/>
      </c>
    </row>
    <row r="1259" spans="4:16" ht="22.5" customHeight="1" x14ac:dyDescent="0.25">
      <c r="D1259" s="59" t="str">
        <f t="shared" si="62"/>
        <v/>
      </c>
      <c r="O1259" s="4" t="str">
        <f t="shared" si="63"/>
        <v/>
      </c>
      <c r="P1259" s="59" t="str">
        <f t="shared" si="64"/>
        <v/>
      </c>
    </row>
    <row r="1260" spans="4:16" ht="22.5" customHeight="1" x14ac:dyDescent="0.25">
      <c r="D1260" s="59" t="str">
        <f t="shared" si="62"/>
        <v/>
      </c>
      <c r="O1260" s="4" t="str">
        <f t="shared" si="63"/>
        <v/>
      </c>
      <c r="P1260" s="59" t="str">
        <f t="shared" si="64"/>
        <v/>
      </c>
    </row>
    <row r="1261" spans="4:16" ht="22.5" customHeight="1" x14ac:dyDescent="0.25">
      <c r="D1261" s="59" t="str">
        <f t="shared" si="62"/>
        <v/>
      </c>
      <c r="O1261" s="4" t="str">
        <f t="shared" si="63"/>
        <v/>
      </c>
      <c r="P1261" s="59" t="str">
        <f t="shared" si="64"/>
        <v/>
      </c>
    </row>
    <row r="1262" spans="4:16" ht="22.5" customHeight="1" x14ac:dyDescent="0.25">
      <c r="D1262" s="59" t="str">
        <f t="shared" si="62"/>
        <v/>
      </c>
      <c r="O1262" s="4" t="str">
        <f t="shared" si="63"/>
        <v/>
      </c>
      <c r="P1262" s="59" t="str">
        <f t="shared" si="64"/>
        <v/>
      </c>
    </row>
    <row r="1263" spans="4:16" ht="22.5" customHeight="1" x14ac:dyDescent="0.25">
      <c r="D1263" s="59" t="str">
        <f t="shared" si="62"/>
        <v/>
      </c>
      <c r="O1263" s="4" t="str">
        <f t="shared" si="63"/>
        <v/>
      </c>
      <c r="P1263" s="59" t="str">
        <f t="shared" si="64"/>
        <v/>
      </c>
    </row>
    <row r="1264" spans="4:16" ht="22.5" customHeight="1" x14ac:dyDescent="0.25">
      <c r="D1264" s="59" t="str">
        <f t="shared" si="62"/>
        <v/>
      </c>
      <c r="O1264" s="4" t="str">
        <f t="shared" si="63"/>
        <v/>
      </c>
      <c r="P1264" s="59" t="str">
        <f t="shared" si="64"/>
        <v/>
      </c>
    </row>
    <row r="1265" spans="4:16" ht="22.5" customHeight="1" x14ac:dyDescent="0.25">
      <c r="D1265" s="59" t="str">
        <f t="shared" si="62"/>
        <v/>
      </c>
      <c r="O1265" s="4" t="str">
        <f t="shared" si="63"/>
        <v/>
      </c>
      <c r="P1265" s="59" t="str">
        <f t="shared" si="64"/>
        <v/>
      </c>
    </row>
    <row r="1266" spans="4:16" ht="22.5" customHeight="1" x14ac:dyDescent="0.25">
      <c r="D1266" s="59" t="str">
        <f t="shared" si="62"/>
        <v/>
      </c>
      <c r="O1266" s="4" t="str">
        <f t="shared" si="63"/>
        <v/>
      </c>
      <c r="P1266" s="59" t="str">
        <f t="shared" si="64"/>
        <v/>
      </c>
    </row>
    <row r="1267" spans="4:16" ht="22.5" customHeight="1" x14ac:dyDescent="0.25">
      <c r="D1267" s="59" t="str">
        <f t="shared" si="62"/>
        <v/>
      </c>
      <c r="O1267" s="4" t="str">
        <f t="shared" si="63"/>
        <v/>
      </c>
      <c r="P1267" s="59" t="str">
        <f t="shared" si="64"/>
        <v/>
      </c>
    </row>
    <row r="1268" spans="4:16" ht="22.5" customHeight="1" x14ac:dyDescent="0.25">
      <c r="D1268" s="59" t="str">
        <f t="shared" si="62"/>
        <v/>
      </c>
      <c r="O1268" s="4" t="str">
        <f t="shared" si="63"/>
        <v/>
      </c>
      <c r="P1268" s="59" t="str">
        <f t="shared" si="64"/>
        <v/>
      </c>
    </row>
    <row r="1269" spans="4:16" ht="22.5" customHeight="1" x14ac:dyDescent="0.25">
      <c r="D1269" s="59" t="str">
        <f t="shared" si="62"/>
        <v/>
      </c>
      <c r="O1269" s="4" t="str">
        <f t="shared" si="63"/>
        <v/>
      </c>
      <c r="P1269" s="59" t="str">
        <f t="shared" si="64"/>
        <v/>
      </c>
    </row>
    <row r="1270" spans="4:16" ht="22.5" customHeight="1" x14ac:dyDescent="0.25">
      <c r="D1270" s="59" t="str">
        <f t="shared" si="62"/>
        <v/>
      </c>
      <c r="O1270" s="4" t="str">
        <f t="shared" si="63"/>
        <v/>
      </c>
      <c r="P1270" s="59" t="str">
        <f t="shared" si="64"/>
        <v/>
      </c>
    </row>
    <row r="1271" spans="4:16" ht="22.5" customHeight="1" x14ac:dyDescent="0.25">
      <c r="D1271" s="59" t="str">
        <f t="shared" si="62"/>
        <v/>
      </c>
      <c r="O1271" s="4" t="str">
        <f t="shared" si="63"/>
        <v/>
      </c>
      <c r="P1271" s="59" t="str">
        <f t="shared" si="64"/>
        <v/>
      </c>
    </row>
    <row r="1272" spans="4:16" ht="22.5" customHeight="1" x14ac:dyDescent="0.25">
      <c r="D1272" s="59" t="str">
        <f t="shared" si="62"/>
        <v/>
      </c>
      <c r="O1272" s="4" t="str">
        <f t="shared" si="63"/>
        <v/>
      </c>
      <c r="P1272" s="59" t="str">
        <f t="shared" si="64"/>
        <v/>
      </c>
    </row>
    <row r="1273" spans="4:16" ht="22.5" customHeight="1" x14ac:dyDescent="0.25">
      <c r="D1273" s="59" t="str">
        <f t="shared" si="62"/>
        <v/>
      </c>
      <c r="O1273" s="4" t="str">
        <f t="shared" si="63"/>
        <v/>
      </c>
      <c r="P1273" s="59" t="str">
        <f t="shared" si="64"/>
        <v/>
      </c>
    </row>
    <row r="1274" spans="4:16" ht="22.5" customHeight="1" x14ac:dyDescent="0.25">
      <c r="D1274" s="59" t="str">
        <f t="shared" si="62"/>
        <v/>
      </c>
      <c r="O1274" s="4" t="str">
        <f t="shared" si="63"/>
        <v/>
      </c>
      <c r="P1274" s="59" t="str">
        <f t="shared" si="64"/>
        <v/>
      </c>
    </row>
    <row r="1275" spans="4:16" ht="22.5" customHeight="1" x14ac:dyDescent="0.25">
      <c r="D1275" s="59" t="str">
        <f t="shared" si="62"/>
        <v/>
      </c>
      <c r="O1275" s="4" t="str">
        <f t="shared" si="63"/>
        <v/>
      </c>
      <c r="P1275" s="59" t="str">
        <f t="shared" si="64"/>
        <v/>
      </c>
    </row>
    <row r="1276" spans="4:16" ht="22.5" customHeight="1" x14ac:dyDescent="0.25">
      <c r="D1276" s="59" t="str">
        <f t="shared" si="62"/>
        <v/>
      </c>
      <c r="O1276" s="4" t="str">
        <f t="shared" si="63"/>
        <v/>
      </c>
      <c r="P1276" s="59" t="str">
        <f t="shared" si="64"/>
        <v/>
      </c>
    </row>
    <row r="1277" spans="4:16" ht="22.5" customHeight="1" x14ac:dyDescent="0.25">
      <c r="D1277" s="59" t="str">
        <f t="shared" si="62"/>
        <v/>
      </c>
      <c r="O1277" s="4" t="str">
        <f t="shared" si="63"/>
        <v/>
      </c>
      <c r="P1277" s="59" t="str">
        <f t="shared" si="64"/>
        <v/>
      </c>
    </row>
    <row r="1278" spans="4:16" ht="22.5" customHeight="1" x14ac:dyDescent="0.25">
      <c r="D1278" s="59" t="str">
        <f t="shared" si="62"/>
        <v/>
      </c>
      <c r="O1278" s="4" t="str">
        <f t="shared" si="63"/>
        <v/>
      </c>
      <c r="P1278" s="59" t="str">
        <f t="shared" si="64"/>
        <v/>
      </c>
    </row>
    <row r="1279" spans="4:16" ht="22.5" customHeight="1" x14ac:dyDescent="0.25">
      <c r="D1279" s="59" t="str">
        <f t="shared" si="62"/>
        <v/>
      </c>
      <c r="O1279" s="4" t="str">
        <f t="shared" si="63"/>
        <v/>
      </c>
      <c r="P1279" s="59" t="str">
        <f t="shared" si="64"/>
        <v/>
      </c>
    </row>
    <row r="1280" spans="4:16" ht="22.5" customHeight="1" x14ac:dyDescent="0.25">
      <c r="D1280" s="59" t="str">
        <f t="shared" si="62"/>
        <v/>
      </c>
      <c r="O1280" s="4" t="str">
        <f t="shared" si="63"/>
        <v/>
      </c>
      <c r="P1280" s="59" t="str">
        <f t="shared" si="64"/>
        <v/>
      </c>
    </row>
    <row r="1281" spans="4:16" ht="22.5" customHeight="1" x14ac:dyDescent="0.25">
      <c r="D1281" s="59" t="str">
        <f t="shared" si="62"/>
        <v/>
      </c>
      <c r="O1281" s="4" t="str">
        <f t="shared" si="63"/>
        <v/>
      </c>
      <c r="P1281" s="59" t="str">
        <f t="shared" si="64"/>
        <v/>
      </c>
    </row>
    <row r="1282" spans="4:16" ht="22.5" customHeight="1" x14ac:dyDescent="0.25">
      <c r="D1282" s="59" t="str">
        <f t="shared" si="62"/>
        <v/>
      </c>
      <c r="O1282" s="4" t="str">
        <f t="shared" si="63"/>
        <v/>
      </c>
      <c r="P1282" s="59" t="str">
        <f t="shared" si="64"/>
        <v/>
      </c>
    </row>
    <row r="1283" spans="4:16" ht="22.5" customHeight="1" x14ac:dyDescent="0.25">
      <c r="D1283" s="59" t="str">
        <f t="shared" si="62"/>
        <v/>
      </c>
      <c r="O1283" s="4" t="str">
        <f t="shared" si="63"/>
        <v/>
      </c>
      <c r="P1283" s="59" t="str">
        <f t="shared" si="64"/>
        <v/>
      </c>
    </row>
    <row r="1284" spans="4:16" ht="22.5" customHeight="1" x14ac:dyDescent="0.25">
      <c r="D1284" s="59" t="str">
        <f t="shared" si="62"/>
        <v/>
      </c>
      <c r="O1284" s="4" t="str">
        <f t="shared" si="63"/>
        <v/>
      </c>
      <c r="P1284" s="59" t="str">
        <f t="shared" si="64"/>
        <v/>
      </c>
    </row>
    <row r="1285" spans="4:16" ht="22.5" customHeight="1" x14ac:dyDescent="0.25">
      <c r="D1285" s="59" t="str">
        <f t="shared" si="62"/>
        <v/>
      </c>
      <c r="O1285" s="4" t="str">
        <f t="shared" si="63"/>
        <v/>
      </c>
      <c r="P1285" s="59" t="str">
        <f t="shared" si="64"/>
        <v/>
      </c>
    </row>
    <row r="1286" spans="4:16" ht="22.5" customHeight="1" x14ac:dyDescent="0.25">
      <c r="D1286" s="59" t="str">
        <f t="shared" si="62"/>
        <v/>
      </c>
      <c r="O1286" s="4" t="str">
        <f t="shared" si="63"/>
        <v/>
      </c>
      <c r="P1286" s="59" t="str">
        <f t="shared" si="64"/>
        <v/>
      </c>
    </row>
    <row r="1287" spans="4:16" ht="22.5" customHeight="1" x14ac:dyDescent="0.25">
      <c r="D1287" s="59" t="str">
        <f t="shared" si="62"/>
        <v/>
      </c>
      <c r="O1287" s="4" t="str">
        <f t="shared" si="63"/>
        <v/>
      </c>
      <c r="P1287" s="59" t="str">
        <f t="shared" si="64"/>
        <v/>
      </c>
    </row>
    <row r="1288" spans="4:16" ht="22.5" customHeight="1" x14ac:dyDescent="0.25">
      <c r="D1288" s="59" t="str">
        <f t="shared" si="62"/>
        <v/>
      </c>
      <c r="O1288" s="4" t="str">
        <f t="shared" si="63"/>
        <v/>
      </c>
      <c r="P1288" s="59" t="str">
        <f t="shared" si="64"/>
        <v/>
      </c>
    </row>
    <row r="1289" spans="4:16" ht="22.5" customHeight="1" x14ac:dyDescent="0.25">
      <c r="D1289" s="59" t="str">
        <f t="shared" si="62"/>
        <v/>
      </c>
      <c r="O1289" s="4" t="str">
        <f t="shared" si="63"/>
        <v/>
      </c>
      <c r="P1289" s="59" t="str">
        <f t="shared" si="64"/>
        <v/>
      </c>
    </row>
    <row r="1290" spans="4:16" ht="22.5" customHeight="1" x14ac:dyDescent="0.25">
      <c r="D1290" s="59" t="str">
        <f t="shared" si="62"/>
        <v/>
      </c>
      <c r="O1290" s="4" t="str">
        <f t="shared" si="63"/>
        <v/>
      </c>
      <c r="P1290" s="59" t="str">
        <f t="shared" si="64"/>
        <v/>
      </c>
    </row>
    <row r="1291" spans="4:16" ht="22.5" customHeight="1" x14ac:dyDescent="0.25">
      <c r="D1291" s="59" t="str">
        <f t="shared" si="62"/>
        <v/>
      </c>
      <c r="O1291" s="4" t="str">
        <f t="shared" si="63"/>
        <v/>
      </c>
      <c r="P1291" s="59" t="str">
        <f t="shared" si="64"/>
        <v/>
      </c>
    </row>
    <row r="1292" spans="4:16" ht="22.5" customHeight="1" x14ac:dyDescent="0.25">
      <c r="D1292" s="59" t="str">
        <f t="shared" si="62"/>
        <v/>
      </c>
      <c r="O1292" s="4" t="str">
        <f t="shared" si="63"/>
        <v/>
      </c>
      <c r="P1292" s="59" t="str">
        <f t="shared" si="64"/>
        <v/>
      </c>
    </row>
    <row r="1293" spans="4:16" ht="22.5" customHeight="1" x14ac:dyDescent="0.25">
      <c r="D1293" s="59" t="str">
        <f t="shared" si="62"/>
        <v/>
      </c>
      <c r="O1293" s="4" t="str">
        <f t="shared" si="63"/>
        <v/>
      </c>
      <c r="P1293" s="59" t="str">
        <f t="shared" si="64"/>
        <v/>
      </c>
    </row>
    <row r="1294" spans="4:16" ht="22.5" customHeight="1" x14ac:dyDescent="0.25">
      <c r="D1294" s="59" t="str">
        <f t="shared" si="62"/>
        <v/>
      </c>
      <c r="O1294" s="4" t="str">
        <f t="shared" si="63"/>
        <v/>
      </c>
      <c r="P1294" s="59" t="str">
        <f t="shared" si="64"/>
        <v/>
      </c>
    </row>
    <row r="1295" spans="4:16" ht="22.5" customHeight="1" x14ac:dyDescent="0.25">
      <c r="D1295" s="59" t="str">
        <f t="shared" si="62"/>
        <v/>
      </c>
      <c r="O1295" s="4" t="str">
        <f t="shared" si="63"/>
        <v/>
      </c>
      <c r="P1295" s="59" t="str">
        <f t="shared" si="64"/>
        <v/>
      </c>
    </row>
    <row r="1296" spans="4:16" ht="22.5" customHeight="1" x14ac:dyDescent="0.25">
      <c r="D1296" s="59" t="str">
        <f t="shared" si="62"/>
        <v/>
      </c>
      <c r="O1296" s="4" t="str">
        <f t="shared" si="63"/>
        <v/>
      </c>
      <c r="P1296" s="59" t="str">
        <f t="shared" si="64"/>
        <v/>
      </c>
    </row>
    <row r="1297" spans="4:16" ht="22.5" customHeight="1" x14ac:dyDescent="0.25">
      <c r="D1297" s="59" t="str">
        <f t="shared" si="62"/>
        <v/>
      </c>
      <c r="O1297" s="4" t="str">
        <f t="shared" si="63"/>
        <v/>
      </c>
      <c r="P1297" s="59" t="str">
        <f t="shared" si="64"/>
        <v/>
      </c>
    </row>
    <row r="1298" spans="4:16" ht="22.5" customHeight="1" x14ac:dyDescent="0.25">
      <c r="D1298" s="59" t="str">
        <f t="shared" si="62"/>
        <v/>
      </c>
      <c r="O1298" s="4" t="str">
        <f t="shared" si="63"/>
        <v/>
      </c>
      <c r="P1298" s="59" t="str">
        <f t="shared" si="64"/>
        <v/>
      </c>
    </row>
    <row r="1299" spans="4:16" ht="22.5" customHeight="1" x14ac:dyDescent="0.25">
      <c r="D1299" s="59" t="str">
        <f t="shared" si="62"/>
        <v/>
      </c>
      <c r="O1299" s="4" t="str">
        <f t="shared" si="63"/>
        <v/>
      </c>
      <c r="P1299" s="59" t="str">
        <f t="shared" si="64"/>
        <v/>
      </c>
    </row>
    <row r="1300" spans="4:16" ht="22.5" customHeight="1" x14ac:dyDescent="0.25">
      <c r="D1300" s="59" t="str">
        <f t="shared" si="62"/>
        <v/>
      </c>
      <c r="O1300" s="4" t="str">
        <f t="shared" si="63"/>
        <v/>
      </c>
      <c r="P1300" s="59" t="str">
        <f t="shared" si="64"/>
        <v/>
      </c>
    </row>
    <row r="1301" spans="4:16" ht="22.5" customHeight="1" x14ac:dyDescent="0.25">
      <c r="D1301" s="59" t="str">
        <f t="shared" si="62"/>
        <v/>
      </c>
      <c r="O1301" s="4" t="str">
        <f t="shared" si="63"/>
        <v/>
      </c>
      <c r="P1301" s="59" t="str">
        <f t="shared" si="64"/>
        <v/>
      </c>
    </row>
    <row r="1302" spans="4:16" ht="22.5" customHeight="1" x14ac:dyDescent="0.25">
      <c r="D1302" s="59" t="str">
        <f t="shared" si="62"/>
        <v/>
      </c>
      <c r="O1302" s="4" t="str">
        <f t="shared" si="63"/>
        <v/>
      </c>
      <c r="P1302" s="59" t="str">
        <f t="shared" si="64"/>
        <v/>
      </c>
    </row>
    <row r="1303" spans="4:16" ht="22.5" customHeight="1" x14ac:dyDescent="0.25">
      <c r="D1303" s="59" t="str">
        <f t="shared" si="62"/>
        <v/>
      </c>
      <c r="O1303" s="4" t="str">
        <f t="shared" si="63"/>
        <v/>
      </c>
      <c r="P1303" s="59" t="str">
        <f t="shared" si="64"/>
        <v/>
      </c>
    </row>
    <row r="1304" spans="4:16" ht="22.5" customHeight="1" x14ac:dyDescent="0.25">
      <c r="D1304" s="59" t="str">
        <f t="shared" si="62"/>
        <v/>
      </c>
      <c r="O1304" s="4" t="str">
        <f t="shared" si="63"/>
        <v/>
      </c>
      <c r="P1304" s="59" t="str">
        <f t="shared" si="64"/>
        <v/>
      </c>
    </row>
    <row r="1305" spans="4:16" ht="22.5" customHeight="1" x14ac:dyDescent="0.25">
      <c r="D1305" s="59" t="str">
        <f t="shared" si="62"/>
        <v/>
      </c>
      <c r="O1305" s="4" t="str">
        <f t="shared" si="63"/>
        <v/>
      </c>
      <c r="P1305" s="59" t="str">
        <f t="shared" si="64"/>
        <v/>
      </c>
    </row>
    <row r="1306" spans="4:16" ht="22.5" customHeight="1" x14ac:dyDescent="0.25">
      <c r="D1306" s="59" t="str">
        <f t="shared" si="62"/>
        <v/>
      </c>
      <c r="O1306" s="4" t="str">
        <f t="shared" si="63"/>
        <v/>
      </c>
      <c r="P1306" s="59" t="str">
        <f t="shared" si="64"/>
        <v/>
      </c>
    </row>
    <row r="1307" spans="4:16" ht="22.5" customHeight="1" x14ac:dyDescent="0.25">
      <c r="D1307" s="59" t="str">
        <f t="shared" si="62"/>
        <v/>
      </c>
      <c r="O1307" s="4" t="str">
        <f t="shared" si="63"/>
        <v/>
      </c>
      <c r="P1307" s="59" t="str">
        <f t="shared" si="64"/>
        <v/>
      </c>
    </row>
    <row r="1308" spans="4:16" ht="22.5" customHeight="1" x14ac:dyDescent="0.25">
      <c r="D1308" s="59" t="str">
        <f t="shared" ref="D1308:D1371" si="65">IF(AND(I1308&lt;&gt;"",J1308&lt;&gt;""), I1308*J1308, "")</f>
        <v/>
      </c>
      <c r="O1308" s="4" t="str">
        <f t="shared" ref="O1308:O1371" si="66">IF(OR(D1308="", N1308=""), "", ROUND(D1308 * N1308 / 100, 2))</f>
        <v/>
      </c>
      <c r="P1308" s="59" t="str">
        <f t="shared" ref="P1308:P1371" si="67">IF(D1308="", "", D1308 + O1308)</f>
        <v/>
      </c>
    </row>
    <row r="1309" spans="4:16" ht="22.5" customHeight="1" x14ac:dyDescent="0.25">
      <c r="D1309" s="59" t="str">
        <f t="shared" si="65"/>
        <v/>
      </c>
      <c r="O1309" s="4" t="str">
        <f t="shared" si="66"/>
        <v/>
      </c>
      <c r="P1309" s="59" t="str">
        <f t="shared" si="67"/>
        <v/>
      </c>
    </row>
    <row r="1310" spans="4:16" ht="22.5" customHeight="1" x14ac:dyDescent="0.25">
      <c r="D1310" s="59" t="str">
        <f t="shared" si="65"/>
        <v/>
      </c>
      <c r="O1310" s="4" t="str">
        <f t="shared" si="66"/>
        <v/>
      </c>
      <c r="P1310" s="59" t="str">
        <f t="shared" si="67"/>
        <v/>
      </c>
    </row>
    <row r="1311" spans="4:16" ht="22.5" customHeight="1" x14ac:dyDescent="0.25">
      <c r="D1311" s="59" t="str">
        <f t="shared" si="65"/>
        <v/>
      </c>
      <c r="O1311" s="4" t="str">
        <f t="shared" si="66"/>
        <v/>
      </c>
      <c r="P1311" s="59" t="str">
        <f t="shared" si="67"/>
        <v/>
      </c>
    </row>
    <row r="1312" spans="4:16" ht="22.5" customHeight="1" x14ac:dyDescent="0.25">
      <c r="D1312" s="59" t="str">
        <f t="shared" si="65"/>
        <v/>
      </c>
      <c r="O1312" s="4" t="str">
        <f t="shared" si="66"/>
        <v/>
      </c>
      <c r="P1312" s="59" t="str">
        <f t="shared" si="67"/>
        <v/>
      </c>
    </row>
    <row r="1313" spans="4:16" ht="22.5" customHeight="1" x14ac:dyDescent="0.25">
      <c r="D1313" s="59" t="str">
        <f t="shared" si="65"/>
        <v/>
      </c>
      <c r="O1313" s="4" t="str">
        <f t="shared" si="66"/>
        <v/>
      </c>
      <c r="P1313" s="59" t="str">
        <f t="shared" si="67"/>
        <v/>
      </c>
    </row>
    <row r="1314" spans="4:16" ht="22.5" customHeight="1" x14ac:dyDescent="0.25">
      <c r="D1314" s="59" t="str">
        <f t="shared" si="65"/>
        <v/>
      </c>
      <c r="O1314" s="4" t="str">
        <f t="shared" si="66"/>
        <v/>
      </c>
      <c r="P1314" s="59" t="str">
        <f t="shared" si="67"/>
        <v/>
      </c>
    </row>
    <row r="1315" spans="4:16" ht="22.5" customHeight="1" x14ac:dyDescent="0.25">
      <c r="D1315" s="59" t="str">
        <f t="shared" si="65"/>
        <v/>
      </c>
      <c r="O1315" s="4" t="str">
        <f t="shared" si="66"/>
        <v/>
      </c>
      <c r="P1315" s="59" t="str">
        <f t="shared" si="67"/>
        <v/>
      </c>
    </row>
    <row r="1316" spans="4:16" ht="22.5" customHeight="1" x14ac:dyDescent="0.25">
      <c r="D1316" s="59" t="str">
        <f t="shared" si="65"/>
        <v/>
      </c>
      <c r="O1316" s="4" t="str">
        <f t="shared" si="66"/>
        <v/>
      </c>
      <c r="P1316" s="59" t="str">
        <f t="shared" si="67"/>
        <v/>
      </c>
    </row>
    <row r="1317" spans="4:16" ht="22.5" customHeight="1" x14ac:dyDescent="0.25">
      <c r="D1317" s="59" t="str">
        <f t="shared" si="65"/>
        <v/>
      </c>
      <c r="O1317" s="4" t="str">
        <f t="shared" si="66"/>
        <v/>
      </c>
      <c r="P1317" s="59" t="str">
        <f t="shared" si="67"/>
        <v/>
      </c>
    </row>
    <row r="1318" spans="4:16" ht="22.5" customHeight="1" x14ac:dyDescent="0.25">
      <c r="D1318" s="59" t="str">
        <f t="shared" si="65"/>
        <v/>
      </c>
      <c r="O1318" s="4" t="str">
        <f t="shared" si="66"/>
        <v/>
      </c>
      <c r="P1318" s="59" t="str">
        <f t="shared" si="67"/>
        <v/>
      </c>
    </row>
    <row r="1319" spans="4:16" ht="22.5" customHeight="1" x14ac:dyDescent="0.25">
      <c r="D1319" s="59" t="str">
        <f t="shared" si="65"/>
        <v/>
      </c>
      <c r="O1319" s="4" t="str">
        <f t="shared" si="66"/>
        <v/>
      </c>
      <c r="P1319" s="59" t="str">
        <f t="shared" si="67"/>
        <v/>
      </c>
    </row>
    <row r="1320" spans="4:16" ht="22.5" customHeight="1" x14ac:dyDescent="0.25">
      <c r="D1320" s="59" t="str">
        <f t="shared" si="65"/>
        <v/>
      </c>
      <c r="O1320" s="4" t="str">
        <f t="shared" si="66"/>
        <v/>
      </c>
      <c r="P1320" s="59" t="str">
        <f t="shared" si="67"/>
        <v/>
      </c>
    </row>
    <row r="1321" spans="4:16" ht="22.5" customHeight="1" x14ac:dyDescent="0.25">
      <c r="D1321" s="59" t="str">
        <f t="shared" si="65"/>
        <v/>
      </c>
      <c r="O1321" s="4" t="str">
        <f t="shared" si="66"/>
        <v/>
      </c>
      <c r="P1321" s="59" t="str">
        <f t="shared" si="67"/>
        <v/>
      </c>
    </row>
    <row r="1322" spans="4:16" ht="22.5" customHeight="1" x14ac:dyDescent="0.25">
      <c r="D1322" s="59" t="str">
        <f t="shared" si="65"/>
        <v/>
      </c>
      <c r="O1322" s="4" t="str">
        <f t="shared" si="66"/>
        <v/>
      </c>
      <c r="P1322" s="59" t="str">
        <f t="shared" si="67"/>
        <v/>
      </c>
    </row>
    <row r="1323" spans="4:16" ht="22.5" customHeight="1" x14ac:dyDescent="0.25">
      <c r="D1323" s="59" t="str">
        <f t="shared" si="65"/>
        <v/>
      </c>
      <c r="O1323" s="4" t="str">
        <f t="shared" si="66"/>
        <v/>
      </c>
      <c r="P1323" s="59" t="str">
        <f t="shared" si="67"/>
        <v/>
      </c>
    </row>
    <row r="1324" spans="4:16" ht="22.5" customHeight="1" x14ac:dyDescent="0.25">
      <c r="D1324" s="59" t="str">
        <f t="shared" si="65"/>
        <v/>
      </c>
      <c r="O1324" s="4" t="str">
        <f t="shared" si="66"/>
        <v/>
      </c>
      <c r="P1324" s="59" t="str">
        <f t="shared" si="67"/>
        <v/>
      </c>
    </row>
    <row r="1325" spans="4:16" ht="22.5" customHeight="1" x14ac:dyDescent="0.25">
      <c r="D1325" s="59" t="str">
        <f t="shared" si="65"/>
        <v/>
      </c>
      <c r="O1325" s="4" t="str">
        <f t="shared" si="66"/>
        <v/>
      </c>
      <c r="P1325" s="59" t="str">
        <f t="shared" si="67"/>
        <v/>
      </c>
    </row>
    <row r="1326" spans="4:16" ht="22.5" customHeight="1" x14ac:dyDescent="0.25">
      <c r="D1326" s="59" t="str">
        <f t="shared" si="65"/>
        <v/>
      </c>
      <c r="O1326" s="4" t="str">
        <f t="shared" si="66"/>
        <v/>
      </c>
      <c r="P1326" s="59" t="str">
        <f t="shared" si="67"/>
        <v/>
      </c>
    </row>
    <row r="1327" spans="4:16" ht="22.5" customHeight="1" x14ac:dyDescent="0.25">
      <c r="D1327" s="59" t="str">
        <f t="shared" si="65"/>
        <v/>
      </c>
      <c r="O1327" s="4" t="str">
        <f t="shared" si="66"/>
        <v/>
      </c>
      <c r="P1327" s="59" t="str">
        <f t="shared" si="67"/>
        <v/>
      </c>
    </row>
    <row r="1328" spans="4:16" ht="22.5" customHeight="1" x14ac:dyDescent="0.25">
      <c r="D1328" s="59" t="str">
        <f t="shared" si="65"/>
        <v/>
      </c>
      <c r="O1328" s="4" t="str">
        <f t="shared" si="66"/>
        <v/>
      </c>
      <c r="P1328" s="59" t="str">
        <f t="shared" si="67"/>
        <v/>
      </c>
    </row>
    <row r="1329" spans="4:16" ht="22.5" customHeight="1" x14ac:dyDescent="0.25">
      <c r="D1329" s="59" t="str">
        <f t="shared" si="65"/>
        <v/>
      </c>
      <c r="O1329" s="4" t="str">
        <f t="shared" si="66"/>
        <v/>
      </c>
      <c r="P1329" s="59" t="str">
        <f t="shared" si="67"/>
        <v/>
      </c>
    </row>
    <row r="1330" spans="4:16" ht="22.5" customHeight="1" x14ac:dyDescent="0.25">
      <c r="D1330" s="59" t="str">
        <f t="shared" si="65"/>
        <v/>
      </c>
      <c r="O1330" s="4" t="str">
        <f t="shared" si="66"/>
        <v/>
      </c>
      <c r="P1330" s="59" t="str">
        <f t="shared" si="67"/>
        <v/>
      </c>
    </row>
    <row r="1331" spans="4:16" ht="22.5" customHeight="1" x14ac:dyDescent="0.25">
      <c r="D1331" s="59" t="str">
        <f t="shared" si="65"/>
        <v/>
      </c>
      <c r="O1331" s="4" t="str">
        <f t="shared" si="66"/>
        <v/>
      </c>
      <c r="P1331" s="59" t="str">
        <f t="shared" si="67"/>
        <v/>
      </c>
    </row>
    <row r="1332" spans="4:16" ht="22.5" customHeight="1" x14ac:dyDescent="0.25">
      <c r="D1332" s="59" t="str">
        <f t="shared" si="65"/>
        <v/>
      </c>
      <c r="O1332" s="4" t="str">
        <f t="shared" si="66"/>
        <v/>
      </c>
      <c r="P1332" s="59" t="str">
        <f t="shared" si="67"/>
        <v/>
      </c>
    </row>
    <row r="1333" spans="4:16" ht="22.5" customHeight="1" x14ac:dyDescent="0.25">
      <c r="D1333" s="59" t="str">
        <f t="shared" si="65"/>
        <v/>
      </c>
      <c r="O1333" s="4" t="str">
        <f t="shared" si="66"/>
        <v/>
      </c>
      <c r="P1333" s="59" t="str">
        <f t="shared" si="67"/>
        <v/>
      </c>
    </row>
    <row r="1334" spans="4:16" ht="22.5" customHeight="1" x14ac:dyDescent="0.25">
      <c r="D1334" s="59" t="str">
        <f t="shared" si="65"/>
        <v/>
      </c>
      <c r="O1334" s="4" t="str">
        <f t="shared" si="66"/>
        <v/>
      </c>
      <c r="P1334" s="59" t="str">
        <f t="shared" si="67"/>
        <v/>
      </c>
    </row>
    <row r="1335" spans="4:16" ht="22.5" customHeight="1" x14ac:dyDescent="0.25">
      <c r="D1335" s="59" t="str">
        <f t="shared" si="65"/>
        <v/>
      </c>
      <c r="O1335" s="4" t="str">
        <f t="shared" si="66"/>
        <v/>
      </c>
      <c r="P1335" s="59" t="str">
        <f t="shared" si="67"/>
        <v/>
      </c>
    </row>
    <row r="1336" spans="4:16" ht="22.5" customHeight="1" x14ac:dyDescent="0.25">
      <c r="D1336" s="59" t="str">
        <f t="shared" si="65"/>
        <v/>
      </c>
      <c r="O1336" s="4" t="str">
        <f t="shared" si="66"/>
        <v/>
      </c>
      <c r="P1336" s="59" t="str">
        <f t="shared" si="67"/>
        <v/>
      </c>
    </row>
    <row r="1337" spans="4:16" ht="22.5" customHeight="1" x14ac:dyDescent="0.25">
      <c r="D1337" s="59" t="str">
        <f t="shared" si="65"/>
        <v/>
      </c>
      <c r="O1337" s="4" t="str">
        <f t="shared" si="66"/>
        <v/>
      </c>
      <c r="P1337" s="59" t="str">
        <f t="shared" si="67"/>
        <v/>
      </c>
    </row>
    <row r="1338" spans="4:16" ht="22.5" customHeight="1" x14ac:dyDescent="0.25">
      <c r="D1338" s="59" t="str">
        <f t="shared" si="65"/>
        <v/>
      </c>
      <c r="O1338" s="4" t="str">
        <f t="shared" si="66"/>
        <v/>
      </c>
      <c r="P1338" s="59" t="str">
        <f t="shared" si="67"/>
        <v/>
      </c>
    </row>
    <row r="1339" spans="4:16" ht="22.5" customHeight="1" x14ac:dyDescent="0.25">
      <c r="D1339" s="59" t="str">
        <f t="shared" si="65"/>
        <v/>
      </c>
      <c r="O1339" s="4" t="str">
        <f t="shared" si="66"/>
        <v/>
      </c>
      <c r="P1339" s="59" t="str">
        <f t="shared" si="67"/>
        <v/>
      </c>
    </row>
    <row r="1340" spans="4:16" ht="22.5" customHeight="1" x14ac:dyDescent="0.25">
      <c r="D1340" s="59" t="str">
        <f t="shared" si="65"/>
        <v/>
      </c>
      <c r="O1340" s="4" t="str">
        <f t="shared" si="66"/>
        <v/>
      </c>
      <c r="P1340" s="59" t="str">
        <f t="shared" si="67"/>
        <v/>
      </c>
    </row>
    <row r="1341" spans="4:16" ht="22.5" customHeight="1" x14ac:dyDescent="0.25">
      <c r="D1341" s="59" t="str">
        <f t="shared" si="65"/>
        <v/>
      </c>
      <c r="O1341" s="4" t="str">
        <f t="shared" si="66"/>
        <v/>
      </c>
      <c r="P1341" s="59" t="str">
        <f t="shared" si="67"/>
        <v/>
      </c>
    </row>
    <row r="1342" spans="4:16" ht="22.5" customHeight="1" x14ac:dyDescent="0.25">
      <c r="D1342" s="59" t="str">
        <f t="shared" si="65"/>
        <v/>
      </c>
      <c r="O1342" s="4" t="str">
        <f t="shared" si="66"/>
        <v/>
      </c>
      <c r="P1342" s="59" t="str">
        <f t="shared" si="67"/>
        <v/>
      </c>
    </row>
    <row r="1343" spans="4:16" ht="22.5" customHeight="1" x14ac:dyDescent="0.25">
      <c r="D1343" s="59" t="str">
        <f t="shared" si="65"/>
        <v/>
      </c>
      <c r="O1343" s="4" t="str">
        <f t="shared" si="66"/>
        <v/>
      </c>
      <c r="P1343" s="59" t="str">
        <f t="shared" si="67"/>
        <v/>
      </c>
    </row>
    <row r="1344" spans="4:16" ht="22.5" customHeight="1" x14ac:dyDescent="0.25">
      <c r="D1344" s="59" t="str">
        <f t="shared" si="65"/>
        <v/>
      </c>
      <c r="O1344" s="4" t="str">
        <f t="shared" si="66"/>
        <v/>
      </c>
      <c r="P1344" s="59" t="str">
        <f t="shared" si="67"/>
        <v/>
      </c>
    </row>
    <row r="1345" spans="4:16" ht="22.5" customHeight="1" x14ac:dyDescent="0.25">
      <c r="D1345" s="59" t="str">
        <f t="shared" si="65"/>
        <v/>
      </c>
      <c r="O1345" s="4" t="str">
        <f t="shared" si="66"/>
        <v/>
      </c>
      <c r="P1345" s="59" t="str">
        <f t="shared" si="67"/>
        <v/>
      </c>
    </row>
    <row r="1346" spans="4:16" ht="22.5" customHeight="1" x14ac:dyDescent="0.25">
      <c r="D1346" s="59" t="str">
        <f t="shared" si="65"/>
        <v/>
      </c>
      <c r="O1346" s="4" t="str">
        <f t="shared" si="66"/>
        <v/>
      </c>
      <c r="P1346" s="59" t="str">
        <f t="shared" si="67"/>
        <v/>
      </c>
    </row>
    <row r="1347" spans="4:16" ht="22.5" customHeight="1" x14ac:dyDescent="0.25">
      <c r="D1347" s="59" t="str">
        <f t="shared" si="65"/>
        <v/>
      </c>
      <c r="O1347" s="4" t="str">
        <f t="shared" si="66"/>
        <v/>
      </c>
      <c r="P1347" s="59" t="str">
        <f t="shared" si="67"/>
        <v/>
      </c>
    </row>
    <row r="1348" spans="4:16" ht="22.5" customHeight="1" x14ac:dyDescent="0.25">
      <c r="D1348" s="59" t="str">
        <f t="shared" si="65"/>
        <v/>
      </c>
      <c r="O1348" s="4" t="str">
        <f t="shared" si="66"/>
        <v/>
      </c>
      <c r="P1348" s="59" t="str">
        <f t="shared" si="67"/>
        <v/>
      </c>
    </row>
    <row r="1349" spans="4:16" ht="22.5" customHeight="1" x14ac:dyDescent="0.25">
      <c r="D1349" s="59" t="str">
        <f t="shared" si="65"/>
        <v/>
      </c>
      <c r="O1349" s="4" t="str">
        <f t="shared" si="66"/>
        <v/>
      </c>
      <c r="P1349" s="59" t="str">
        <f t="shared" si="67"/>
        <v/>
      </c>
    </row>
    <row r="1350" spans="4:16" ht="22.5" customHeight="1" x14ac:dyDescent="0.25">
      <c r="D1350" s="59" t="str">
        <f t="shared" si="65"/>
        <v/>
      </c>
      <c r="O1350" s="4" t="str">
        <f t="shared" si="66"/>
        <v/>
      </c>
      <c r="P1350" s="59" t="str">
        <f t="shared" si="67"/>
        <v/>
      </c>
    </row>
    <row r="1351" spans="4:16" ht="22.5" customHeight="1" x14ac:dyDescent="0.25">
      <c r="D1351" s="59" t="str">
        <f t="shared" si="65"/>
        <v/>
      </c>
      <c r="O1351" s="4" t="str">
        <f t="shared" si="66"/>
        <v/>
      </c>
      <c r="P1351" s="59" t="str">
        <f t="shared" si="67"/>
        <v/>
      </c>
    </row>
    <row r="1352" spans="4:16" ht="22.5" customHeight="1" x14ac:dyDescent="0.25">
      <c r="D1352" s="59" t="str">
        <f t="shared" si="65"/>
        <v/>
      </c>
      <c r="O1352" s="4" t="str">
        <f t="shared" si="66"/>
        <v/>
      </c>
      <c r="P1352" s="59" t="str">
        <f t="shared" si="67"/>
        <v/>
      </c>
    </row>
    <row r="1353" spans="4:16" ht="22.5" customHeight="1" x14ac:dyDescent="0.25">
      <c r="D1353" s="59" t="str">
        <f t="shared" si="65"/>
        <v/>
      </c>
      <c r="O1353" s="4" t="str">
        <f t="shared" si="66"/>
        <v/>
      </c>
      <c r="P1353" s="59" t="str">
        <f t="shared" si="67"/>
        <v/>
      </c>
    </row>
    <row r="1354" spans="4:16" ht="22.5" customHeight="1" x14ac:dyDescent="0.25">
      <c r="D1354" s="59" t="str">
        <f t="shared" si="65"/>
        <v/>
      </c>
      <c r="O1354" s="4" t="str">
        <f t="shared" si="66"/>
        <v/>
      </c>
      <c r="P1354" s="59" t="str">
        <f t="shared" si="67"/>
        <v/>
      </c>
    </row>
    <row r="1355" spans="4:16" ht="22.5" customHeight="1" x14ac:dyDescent="0.25">
      <c r="D1355" s="59" t="str">
        <f t="shared" si="65"/>
        <v/>
      </c>
      <c r="O1355" s="4" t="str">
        <f t="shared" si="66"/>
        <v/>
      </c>
      <c r="P1355" s="59" t="str">
        <f t="shared" si="67"/>
        <v/>
      </c>
    </row>
    <row r="1356" spans="4:16" ht="22.5" customHeight="1" x14ac:dyDescent="0.25">
      <c r="D1356" s="59" t="str">
        <f t="shared" si="65"/>
        <v/>
      </c>
      <c r="O1356" s="4" t="str">
        <f t="shared" si="66"/>
        <v/>
      </c>
      <c r="P1356" s="59" t="str">
        <f t="shared" si="67"/>
        <v/>
      </c>
    </row>
    <row r="1357" spans="4:16" ht="22.5" customHeight="1" x14ac:dyDescent="0.25">
      <c r="D1357" s="59" t="str">
        <f t="shared" si="65"/>
        <v/>
      </c>
      <c r="O1357" s="4" t="str">
        <f t="shared" si="66"/>
        <v/>
      </c>
      <c r="P1357" s="59" t="str">
        <f t="shared" si="67"/>
        <v/>
      </c>
    </row>
    <row r="1358" spans="4:16" ht="22.5" customHeight="1" x14ac:dyDescent="0.25">
      <c r="D1358" s="59" t="str">
        <f t="shared" si="65"/>
        <v/>
      </c>
      <c r="O1358" s="4" t="str">
        <f t="shared" si="66"/>
        <v/>
      </c>
      <c r="P1358" s="59" t="str">
        <f t="shared" si="67"/>
        <v/>
      </c>
    </row>
    <row r="1359" spans="4:16" ht="22.5" customHeight="1" x14ac:dyDescent="0.25">
      <c r="D1359" s="59" t="str">
        <f t="shared" si="65"/>
        <v/>
      </c>
      <c r="O1359" s="4" t="str">
        <f t="shared" si="66"/>
        <v/>
      </c>
      <c r="P1359" s="59" t="str">
        <f t="shared" si="67"/>
        <v/>
      </c>
    </row>
    <row r="1360" spans="4:16" ht="22.5" customHeight="1" x14ac:dyDescent="0.25">
      <c r="D1360" s="59" t="str">
        <f t="shared" si="65"/>
        <v/>
      </c>
      <c r="O1360" s="4" t="str">
        <f t="shared" si="66"/>
        <v/>
      </c>
      <c r="P1360" s="59" t="str">
        <f t="shared" si="67"/>
        <v/>
      </c>
    </row>
    <row r="1361" spans="4:16" ht="22.5" customHeight="1" x14ac:dyDescent="0.25">
      <c r="D1361" s="59" t="str">
        <f t="shared" si="65"/>
        <v/>
      </c>
      <c r="O1361" s="4" t="str">
        <f t="shared" si="66"/>
        <v/>
      </c>
      <c r="P1361" s="59" t="str">
        <f t="shared" si="67"/>
        <v/>
      </c>
    </row>
    <row r="1362" spans="4:16" ht="22.5" customHeight="1" x14ac:dyDescent="0.25">
      <c r="D1362" s="59" t="str">
        <f t="shared" si="65"/>
        <v/>
      </c>
      <c r="O1362" s="4" t="str">
        <f t="shared" si="66"/>
        <v/>
      </c>
      <c r="P1362" s="59" t="str">
        <f t="shared" si="67"/>
        <v/>
      </c>
    </row>
    <row r="1363" spans="4:16" ht="22.5" customHeight="1" x14ac:dyDescent="0.25">
      <c r="D1363" s="59" t="str">
        <f t="shared" si="65"/>
        <v/>
      </c>
      <c r="O1363" s="4" t="str">
        <f t="shared" si="66"/>
        <v/>
      </c>
      <c r="P1363" s="59" t="str">
        <f t="shared" si="67"/>
        <v/>
      </c>
    </row>
    <row r="1364" spans="4:16" ht="22.5" customHeight="1" x14ac:dyDescent="0.25">
      <c r="D1364" s="59" t="str">
        <f t="shared" si="65"/>
        <v/>
      </c>
      <c r="O1364" s="4" t="str">
        <f t="shared" si="66"/>
        <v/>
      </c>
      <c r="P1364" s="59" t="str">
        <f t="shared" si="67"/>
        <v/>
      </c>
    </row>
    <row r="1365" spans="4:16" ht="22.5" customHeight="1" x14ac:dyDescent="0.25">
      <c r="D1365" s="59" t="str">
        <f t="shared" si="65"/>
        <v/>
      </c>
      <c r="O1365" s="4" t="str">
        <f t="shared" si="66"/>
        <v/>
      </c>
      <c r="P1365" s="59" t="str">
        <f t="shared" si="67"/>
        <v/>
      </c>
    </row>
    <row r="1366" spans="4:16" ht="22.5" customHeight="1" x14ac:dyDescent="0.25">
      <c r="D1366" s="59" t="str">
        <f t="shared" si="65"/>
        <v/>
      </c>
      <c r="O1366" s="4" t="str">
        <f t="shared" si="66"/>
        <v/>
      </c>
      <c r="P1366" s="59" t="str">
        <f t="shared" si="67"/>
        <v/>
      </c>
    </row>
    <row r="1367" spans="4:16" ht="22.5" customHeight="1" x14ac:dyDescent="0.25">
      <c r="D1367" s="59" t="str">
        <f t="shared" si="65"/>
        <v/>
      </c>
      <c r="O1367" s="4" t="str">
        <f t="shared" si="66"/>
        <v/>
      </c>
      <c r="P1367" s="59" t="str">
        <f t="shared" si="67"/>
        <v/>
      </c>
    </row>
    <row r="1368" spans="4:16" ht="22.5" customHeight="1" x14ac:dyDescent="0.25">
      <c r="D1368" s="59" t="str">
        <f t="shared" si="65"/>
        <v/>
      </c>
      <c r="O1368" s="4" t="str">
        <f t="shared" si="66"/>
        <v/>
      </c>
      <c r="P1368" s="59" t="str">
        <f t="shared" si="67"/>
        <v/>
      </c>
    </row>
    <row r="1369" spans="4:16" ht="22.5" customHeight="1" x14ac:dyDescent="0.25">
      <c r="D1369" s="59" t="str">
        <f t="shared" si="65"/>
        <v/>
      </c>
      <c r="O1369" s="4" t="str">
        <f t="shared" si="66"/>
        <v/>
      </c>
      <c r="P1369" s="59" t="str">
        <f t="shared" si="67"/>
        <v/>
      </c>
    </row>
    <row r="1370" spans="4:16" ht="22.5" customHeight="1" x14ac:dyDescent="0.25">
      <c r="D1370" s="59" t="str">
        <f t="shared" si="65"/>
        <v/>
      </c>
      <c r="O1370" s="4" t="str">
        <f t="shared" si="66"/>
        <v/>
      </c>
      <c r="P1370" s="59" t="str">
        <f t="shared" si="67"/>
        <v/>
      </c>
    </row>
    <row r="1371" spans="4:16" ht="22.5" customHeight="1" x14ac:dyDescent="0.25">
      <c r="D1371" s="59" t="str">
        <f t="shared" si="65"/>
        <v/>
      </c>
      <c r="O1371" s="4" t="str">
        <f t="shared" si="66"/>
        <v/>
      </c>
      <c r="P1371" s="59" t="str">
        <f t="shared" si="67"/>
        <v/>
      </c>
    </row>
    <row r="1372" spans="4:16" ht="22.5" customHeight="1" x14ac:dyDescent="0.25">
      <c r="D1372" s="59" t="str">
        <f t="shared" ref="D1372:D1435" si="68">IF(AND(I1372&lt;&gt;"",J1372&lt;&gt;""), I1372*J1372, "")</f>
        <v/>
      </c>
      <c r="O1372" s="4" t="str">
        <f t="shared" ref="O1372:O1435" si="69">IF(OR(D1372="", N1372=""), "", ROUND(D1372 * N1372 / 100, 2))</f>
        <v/>
      </c>
      <c r="P1372" s="59" t="str">
        <f t="shared" ref="P1372:P1435" si="70">IF(D1372="", "", D1372 + O1372)</f>
        <v/>
      </c>
    </row>
    <row r="1373" spans="4:16" ht="22.5" customHeight="1" x14ac:dyDescent="0.25">
      <c r="D1373" s="59" t="str">
        <f t="shared" si="68"/>
        <v/>
      </c>
      <c r="O1373" s="4" t="str">
        <f t="shared" si="69"/>
        <v/>
      </c>
      <c r="P1373" s="59" t="str">
        <f t="shared" si="70"/>
        <v/>
      </c>
    </row>
    <row r="1374" spans="4:16" ht="22.5" customHeight="1" x14ac:dyDescent="0.25">
      <c r="D1374" s="59" t="str">
        <f t="shared" si="68"/>
        <v/>
      </c>
      <c r="O1374" s="4" t="str">
        <f t="shared" si="69"/>
        <v/>
      </c>
      <c r="P1374" s="59" t="str">
        <f t="shared" si="70"/>
        <v/>
      </c>
    </row>
    <row r="1375" spans="4:16" ht="22.5" customHeight="1" x14ac:dyDescent="0.25">
      <c r="D1375" s="59" t="str">
        <f t="shared" si="68"/>
        <v/>
      </c>
      <c r="O1375" s="4" t="str">
        <f t="shared" si="69"/>
        <v/>
      </c>
      <c r="P1375" s="59" t="str">
        <f t="shared" si="70"/>
        <v/>
      </c>
    </row>
    <row r="1376" spans="4:16" ht="22.5" customHeight="1" x14ac:dyDescent="0.25">
      <c r="D1376" s="59" t="str">
        <f t="shared" si="68"/>
        <v/>
      </c>
      <c r="O1376" s="4" t="str">
        <f t="shared" si="69"/>
        <v/>
      </c>
      <c r="P1376" s="59" t="str">
        <f t="shared" si="70"/>
        <v/>
      </c>
    </row>
    <row r="1377" spans="4:16" ht="22.5" customHeight="1" x14ac:dyDescent="0.25">
      <c r="D1377" s="59" t="str">
        <f t="shared" si="68"/>
        <v/>
      </c>
      <c r="O1377" s="4" t="str">
        <f t="shared" si="69"/>
        <v/>
      </c>
      <c r="P1377" s="59" t="str">
        <f t="shared" si="70"/>
        <v/>
      </c>
    </row>
    <row r="1378" spans="4:16" ht="22.5" customHeight="1" x14ac:dyDescent="0.25">
      <c r="D1378" s="59" t="str">
        <f t="shared" si="68"/>
        <v/>
      </c>
      <c r="O1378" s="4" t="str">
        <f t="shared" si="69"/>
        <v/>
      </c>
      <c r="P1378" s="59" t="str">
        <f t="shared" si="70"/>
        <v/>
      </c>
    </row>
    <row r="1379" spans="4:16" ht="22.5" customHeight="1" x14ac:dyDescent="0.25">
      <c r="D1379" s="59" t="str">
        <f t="shared" si="68"/>
        <v/>
      </c>
      <c r="O1379" s="4" t="str">
        <f t="shared" si="69"/>
        <v/>
      </c>
      <c r="P1379" s="59" t="str">
        <f t="shared" si="70"/>
        <v/>
      </c>
    </row>
    <row r="1380" spans="4:16" ht="22.5" customHeight="1" x14ac:dyDescent="0.25">
      <c r="D1380" s="59" t="str">
        <f t="shared" si="68"/>
        <v/>
      </c>
      <c r="O1380" s="4" t="str">
        <f t="shared" si="69"/>
        <v/>
      </c>
      <c r="P1380" s="59" t="str">
        <f t="shared" si="70"/>
        <v/>
      </c>
    </row>
    <row r="1381" spans="4:16" ht="22.5" customHeight="1" x14ac:dyDescent="0.25">
      <c r="D1381" s="59" t="str">
        <f t="shared" si="68"/>
        <v/>
      </c>
      <c r="O1381" s="4" t="str">
        <f t="shared" si="69"/>
        <v/>
      </c>
      <c r="P1381" s="59" t="str">
        <f t="shared" si="70"/>
        <v/>
      </c>
    </row>
    <row r="1382" spans="4:16" ht="22.5" customHeight="1" x14ac:dyDescent="0.25">
      <c r="D1382" s="59" t="str">
        <f t="shared" si="68"/>
        <v/>
      </c>
      <c r="O1382" s="4" t="str">
        <f t="shared" si="69"/>
        <v/>
      </c>
      <c r="P1382" s="59" t="str">
        <f t="shared" si="70"/>
        <v/>
      </c>
    </row>
    <row r="1383" spans="4:16" ht="22.5" customHeight="1" x14ac:dyDescent="0.25">
      <c r="D1383" s="59" t="str">
        <f t="shared" si="68"/>
        <v/>
      </c>
      <c r="O1383" s="4" t="str">
        <f t="shared" si="69"/>
        <v/>
      </c>
      <c r="P1383" s="59" t="str">
        <f t="shared" si="70"/>
        <v/>
      </c>
    </row>
    <row r="1384" spans="4:16" ht="22.5" customHeight="1" x14ac:dyDescent="0.25">
      <c r="D1384" s="59" t="str">
        <f t="shared" si="68"/>
        <v/>
      </c>
      <c r="O1384" s="4" t="str">
        <f t="shared" si="69"/>
        <v/>
      </c>
      <c r="P1384" s="59" t="str">
        <f t="shared" si="70"/>
        <v/>
      </c>
    </row>
    <row r="1385" spans="4:16" ht="22.5" customHeight="1" x14ac:dyDescent="0.25">
      <c r="D1385" s="59" t="str">
        <f t="shared" si="68"/>
        <v/>
      </c>
      <c r="O1385" s="4" t="str">
        <f t="shared" si="69"/>
        <v/>
      </c>
      <c r="P1385" s="59" t="str">
        <f t="shared" si="70"/>
        <v/>
      </c>
    </row>
    <row r="1386" spans="4:16" ht="22.5" customHeight="1" x14ac:dyDescent="0.25">
      <c r="D1386" s="59" t="str">
        <f t="shared" si="68"/>
        <v/>
      </c>
      <c r="O1386" s="4" t="str">
        <f t="shared" si="69"/>
        <v/>
      </c>
      <c r="P1386" s="59" t="str">
        <f t="shared" si="70"/>
        <v/>
      </c>
    </row>
    <row r="1387" spans="4:16" ht="22.5" customHeight="1" x14ac:dyDescent="0.25">
      <c r="D1387" s="59" t="str">
        <f t="shared" si="68"/>
        <v/>
      </c>
      <c r="O1387" s="4" t="str">
        <f t="shared" si="69"/>
        <v/>
      </c>
      <c r="P1387" s="59" t="str">
        <f t="shared" si="70"/>
        <v/>
      </c>
    </row>
    <row r="1388" spans="4:16" ht="22.5" customHeight="1" x14ac:dyDescent="0.25">
      <c r="D1388" s="59" t="str">
        <f t="shared" si="68"/>
        <v/>
      </c>
      <c r="O1388" s="4" t="str">
        <f t="shared" si="69"/>
        <v/>
      </c>
      <c r="P1388" s="59" t="str">
        <f t="shared" si="70"/>
        <v/>
      </c>
    </row>
    <row r="1389" spans="4:16" ht="22.5" customHeight="1" x14ac:dyDescent="0.25">
      <c r="D1389" s="59" t="str">
        <f t="shared" si="68"/>
        <v/>
      </c>
      <c r="O1389" s="4" t="str">
        <f t="shared" si="69"/>
        <v/>
      </c>
      <c r="P1389" s="59" t="str">
        <f t="shared" si="70"/>
        <v/>
      </c>
    </row>
    <row r="1390" spans="4:16" ht="22.5" customHeight="1" x14ac:dyDescent="0.25">
      <c r="D1390" s="59" t="str">
        <f t="shared" si="68"/>
        <v/>
      </c>
      <c r="O1390" s="4" t="str">
        <f t="shared" si="69"/>
        <v/>
      </c>
      <c r="P1390" s="59" t="str">
        <f t="shared" si="70"/>
        <v/>
      </c>
    </row>
    <row r="1391" spans="4:16" ht="22.5" customHeight="1" x14ac:dyDescent="0.25">
      <c r="D1391" s="59" t="str">
        <f t="shared" si="68"/>
        <v/>
      </c>
      <c r="O1391" s="4" t="str">
        <f t="shared" si="69"/>
        <v/>
      </c>
      <c r="P1391" s="59" t="str">
        <f t="shared" si="70"/>
        <v/>
      </c>
    </row>
    <row r="1392" spans="4:16" ht="22.5" customHeight="1" x14ac:dyDescent="0.25">
      <c r="D1392" s="59" t="str">
        <f t="shared" si="68"/>
        <v/>
      </c>
      <c r="O1392" s="4" t="str">
        <f t="shared" si="69"/>
        <v/>
      </c>
      <c r="P1392" s="59" t="str">
        <f t="shared" si="70"/>
        <v/>
      </c>
    </row>
    <row r="1393" spans="4:16" ht="22.5" customHeight="1" x14ac:dyDescent="0.25">
      <c r="D1393" s="59" t="str">
        <f t="shared" si="68"/>
        <v/>
      </c>
      <c r="O1393" s="4" t="str">
        <f t="shared" si="69"/>
        <v/>
      </c>
      <c r="P1393" s="59" t="str">
        <f t="shared" si="70"/>
        <v/>
      </c>
    </row>
    <row r="1394" spans="4:16" ht="22.5" customHeight="1" x14ac:dyDescent="0.25">
      <c r="D1394" s="59" t="str">
        <f t="shared" si="68"/>
        <v/>
      </c>
      <c r="O1394" s="4" t="str">
        <f t="shared" si="69"/>
        <v/>
      </c>
      <c r="P1394" s="59" t="str">
        <f t="shared" si="70"/>
        <v/>
      </c>
    </row>
    <row r="1395" spans="4:16" ht="22.5" customHeight="1" x14ac:dyDescent="0.25">
      <c r="D1395" s="59" t="str">
        <f t="shared" si="68"/>
        <v/>
      </c>
      <c r="O1395" s="4" t="str">
        <f t="shared" si="69"/>
        <v/>
      </c>
      <c r="P1395" s="59" t="str">
        <f t="shared" si="70"/>
        <v/>
      </c>
    </row>
    <row r="1396" spans="4:16" ht="22.5" customHeight="1" x14ac:dyDescent="0.25">
      <c r="D1396" s="59" t="str">
        <f t="shared" si="68"/>
        <v/>
      </c>
      <c r="O1396" s="4" t="str">
        <f t="shared" si="69"/>
        <v/>
      </c>
      <c r="P1396" s="59" t="str">
        <f t="shared" si="70"/>
        <v/>
      </c>
    </row>
    <row r="1397" spans="4:16" ht="22.5" customHeight="1" x14ac:dyDescent="0.25">
      <c r="D1397" s="59" t="str">
        <f t="shared" si="68"/>
        <v/>
      </c>
      <c r="O1397" s="4" t="str">
        <f t="shared" si="69"/>
        <v/>
      </c>
      <c r="P1397" s="59" t="str">
        <f t="shared" si="70"/>
        <v/>
      </c>
    </row>
    <row r="1398" spans="4:16" ht="22.5" customHeight="1" x14ac:dyDescent="0.25">
      <c r="D1398" s="59" t="str">
        <f t="shared" si="68"/>
        <v/>
      </c>
      <c r="O1398" s="4" t="str">
        <f t="shared" si="69"/>
        <v/>
      </c>
      <c r="P1398" s="59" t="str">
        <f t="shared" si="70"/>
        <v/>
      </c>
    </row>
    <row r="1399" spans="4:16" ht="22.5" customHeight="1" x14ac:dyDescent="0.25">
      <c r="D1399" s="59" t="str">
        <f t="shared" si="68"/>
        <v/>
      </c>
      <c r="O1399" s="4" t="str">
        <f t="shared" si="69"/>
        <v/>
      </c>
      <c r="P1399" s="59" t="str">
        <f t="shared" si="70"/>
        <v/>
      </c>
    </row>
    <row r="1400" spans="4:16" ht="22.5" customHeight="1" x14ac:dyDescent="0.25">
      <c r="D1400" s="59" t="str">
        <f t="shared" si="68"/>
        <v/>
      </c>
      <c r="O1400" s="4" t="str">
        <f t="shared" si="69"/>
        <v/>
      </c>
      <c r="P1400" s="59" t="str">
        <f t="shared" si="70"/>
        <v/>
      </c>
    </row>
    <row r="1401" spans="4:16" ht="22.5" customHeight="1" x14ac:dyDescent="0.25">
      <c r="D1401" s="59" t="str">
        <f t="shared" si="68"/>
        <v/>
      </c>
      <c r="O1401" s="4" t="str">
        <f t="shared" si="69"/>
        <v/>
      </c>
      <c r="P1401" s="59" t="str">
        <f t="shared" si="70"/>
        <v/>
      </c>
    </row>
    <row r="1402" spans="4:16" ht="22.5" customHeight="1" x14ac:dyDescent="0.25">
      <c r="D1402" s="59" t="str">
        <f t="shared" si="68"/>
        <v/>
      </c>
      <c r="O1402" s="4" t="str">
        <f t="shared" si="69"/>
        <v/>
      </c>
      <c r="P1402" s="59" t="str">
        <f t="shared" si="70"/>
        <v/>
      </c>
    </row>
    <row r="1403" spans="4:16" ht="22.5" customHeight="1" x14ac:dyDescent="0.25">
      <c r="D1403" s="59" t="str">
        <f t="shared" si="68"/>
        <v/>
      </c>
      <c r="O1403" s="4" t="str">
        <f t="shared" si="69"/>
        <v/>
      </c>
      <c r="P1403" s="59" t="str">
        <f t="shared" si="70"/>
        <v/>
      </c>
    </row>
    <row r="1404" spans="4:16" ht="22.5" customHeight="1" x14ac:dyDescent="0.25">
      <c r="D1404" s="59" t="str">
        <f t="shared" si="68"/>
        <v/>
      </c>
      <c r="O1404" s="4" t="str">
        <f t="shared" si="69"/>
        <v/>
      </c>
      <c r="P1404" s="59" t="str">
        <f t="shared" si="70"/>
        <v/>
      </c>
    </row>
    <row r="1405" spans="4:16" ht="22.5" customHeight="1" x14ac:dyDescent="0.25">
      <c r="D1405" s="59" t="str">
        <f t="shared" si="68"/>
        <v/>
      </c>
      <c r="O1405" s="4" t="str">
        <f t="shared" si="69"/>
        <v/>
      </c>
      <c r="P1405" s="59" t="str">
        <f t="shared" si="70"/>
        <v/>
      </c>
    </row>
    <row r="1406" spans="4:16" ht="22.5" customHeight="1" x14ac:dyDescent="0.25">
      <c r="D1406" s="59" t="str">
        <f t="shared" si="68"/>
        <v/>
      </c>
      <c r="O1406" s="4" t="str">
        <f t="shared" si="69"/>
        <v/>
      </c>
      <c r="P1406" s="59" t="str">
        <f t="shared" si="70"/>
        <v/>
      </c>
    </row>
    <row r="1407" spans="4:16" ht="22.5" customHeight="1" x14ac:dyDescent="0.25">
      <c r="D1407" s="59" t="str">
        <f t="shared" si="68"/>
        <v/>
      </c>
      <c r="O1407" s="4" t="str">
        <f t="shared" si="69"/>
        <v/>
      </c>
      <c r="P1407" s="59" t="str">
        <f t="shared" si="70"/>
        <v/>
      </c>
    </row>
    <row r="1408" spans="4:16" ht="22.5" customHeight="1" x14ac:dyDescent="0.25">
      <c r="D1408" s="59" t="str">
        <f t="shared" si="68"/>
        <v/>
      </c>
      <c r="O1408" s="4" t="str">
        <f t="shared" si="69"/>
        <v/>
      </c>
      <c r="P1408" s="59" t="str">
        <f t="shared" si="70"/>
        <v/>
      </c>
    </row>
    <row r="1409" spans="4:16" ht="22.5" customHeight="1" x14ac:dyDescent="0.25">
      <c r="D1409" s="59" t="str">
        <f t="shared" si="68"/>
        <v/>
      </c>
      <c r="O1409" s="4" t="str">
        <f t="shared" si="69"/>
        <v/>
      </c>
      <c r="P1409" s="59" t="str">
        <f t="shared" si="70"/>
        <v/>
      </c>
    </row>
    <row r="1410" spans="4:16" ht="22.5" customHeight="1" x14ac:dyDescent="0.25">
      <c r="D1410" s="59" t="str">
        <f t="shared" si="68"/>
        <v/>
      </c>
      <c r="O1410" s="4" t="str">
        <f t="shared" si="69"/>
        <v/>
      </c>
      <c r="P1410" s="59" t="str">
        <f t="shared" si="70"/>
        <v/>
      </c>
    </row>
    <row r="1411" spans="4:16" ht="22.5" customHeight="1" x14ac:dyDescent="0.25">
      <c r="D1411" s="59" t="str">
        <f t="shared" si="68"/>
        <v/>
      </c>
      <c r="O1411" s="4" t="str">
        <f t="shared" si="69"/>
        <v/>
      </c>
      <c r="P1411" s="59" t="str">
        <f t="shared" si="70"/>
        <v/>
      </c>
    </row>
    <row r="1412" spans="4:16" ht="22.5" customHeight="1" x14ac:dyDescent="0.25">
      <c r="D1412" s="59" t="str">
        <f t="shared" si="68"/>
        <v/>
      </c>
      <c r="O1412" s="4" t="str">
        <f t="shared" si="69"/>
        <v/>
      </c>
      <c r="P1412" s="59" t="str">
        <f t="shared" si="70"/>
        <v/>
      </c>
    </row>
    <row r="1413" spans="4:16" ht="22.5" customHeight="1" x14ac:dyDescent="0.25">
      <c r="D1413" s="59" t="str">
        <f t="shared" si="68"/>
        <v/>
      </c>
      <c r="O1413" s="4" t="str">
        <f t="shared" si="69"/>
        <v/>
      </c>
      <c r="P1413" s="59" t="str">
        <f t="shared" si="70"/>
        <v/>
      </c>
    </row>
    <row r="1414" spans="4:16" ht="22.5" customHeight="1" x14ac:dyDescent="0.25">
      <c r="D1414" s="59" t="str">
        <f t="shared" si="68"/>
        <v/>
      </c>
      <c r="O1414" s="4" t="str">
        <f t="shared" si="69"/>
        <v/>
      </c>
      <c r="P1414" s="59" t="str">
        <f t="shared" si="70"/>
        <v/>
      </c>
    </row>
    <row r="1415" spans="4:16" ht="22.5" customHeight="1" x14ac:dyDescent="0.25">
      <c r="D1415" s="59" t="str">
        <f t="shared" si="68"/>
        <v/>
      </c>
      <c r="O1415" s="4" t="str">
        <f t="shared" si="69"/>
        <v/>
      </c>
      <c r="P1415" s="59" t="str">
        <f t="shared" si="70"/>
        <v/>
      </c>
    </row>
    <row r="1416" spans="4:16" ht="22.5" customHeight="1" x14ac:dyDescent="0.25">
      <c r="D1416" s="59" t="str">
        <f t="shared" si="68"/>
        <v/>
      </c>
      <c r="O1416" s="4" t="str">
        <f t="shared" si="69"/>
        <v/>
      </c>
      <c r="P1416" s="59" t="str">
        <f t="shared" si="70"/>
        <v/>
      </c>
    </row>
    <row r="1417" spans="4:16" ht="22.5" customHeight="1" x14ac:dyDescent="0.25">
      <c r="D1417" s="59" t="str">
        <f t="shared" si="68"/>
        <v/>
      </c>
      <c r="O1417" s="4" t="str">
        <f t="shared" si="69"/>
        <v/>
      </c>
      <c r="P1417" s="59" t="str">
        <f t="shared" si="70"/>
        <v/>
      </c>
    </row>
    <row r="1418" spans="4:16" ht="22.5" customHeight="1" x14ac:dyDescent="0.25">
      <c r="D1418" s="59" t="str">
        <f t="shared" si="68"/>
        <v/>
      </c>
      <c r="O1418" s="4" t="str">
        <f t="shared" si="69"/>
        <v/>
      </c>
      <c r="P1418" s="59" t="str">
        <f t="shared" si="70"/>
        <v/>
      </c>
    </row>
    <row r="1419" spans="4:16" ht="22.5" customHeight="1" x14ac:dyDescent="0.25">
      <c r="D1419" s="59" t="str">
        <f t="shared" si="68"/>
        <v/>
      </c>
      <c r="O1419" s="4" t="str">
        <f t="shared" si="69"/>
        <v/>
      </c>
      <c r="P1419" s="59" t="str">
        <f t="shared" si="70"/>
        <v/>
      </c>
    </row>
    <row r="1420" spans="4:16" ht="22.5" customHeight="1" x14ac:dyDescent="0.25">
      <c r="D1420" s="59" t="str">
        <f t="shared" si="68"/>
        <v/>
      </c>
      <c r="O1420" s="4" t="str">
        <f t="shared" si="69"/>
        <v/>
      </c>
      <c r="P1420" s="59" t="str">
        <f t="shared" si="70"/>
        <v/>
      </c>
    </row>
    <row r="1421" spans="4:16" ht="22.5" customHeight="1" x14ac:dyDescent="0.25">
      <c r="D1421" s="59" t="str">
        <f t="shared" si="68"/>
        <v/>
      </c>
      <c r="O1421" s="4" t="str">
        <f t="shared" si="69"/>
        <v/>
      </c>
      <c r="P1421" s="59" t="str">
        <f t="shared" si="70"/>
        <v/>
      </c>
    </row>
    <row r="1422" spans="4:16" ht="22.5" customHeight="1" x14ac:dyDescent="0.25">
      <c r="D1422" s="59" t="str">
        <f t="shared" si="68"/>
        <v/>
      </c>
      <c r="O1422" s="4" t="str">
        <f t="shared" si="69"/>
        <v/>
      </c>
      <c r="P1422" s="59" t="str">
        <f t="shared" si="70"/>
        <v/>
      </c>
    </row>
    <row r="1423" spans="4:16" ht="22.5" customHeight="1" x14ac:dyDescent="0.25">
      <c r="D1423" s="59" t="str">
        <f t="shared" si="68"/>
        <v/>
      </c>
      <c r="O1423" s="4" t="str">
        <f t="shared" si="69"/>
        <v/>
      </c>
      <c r="P1423" s="59" t="str">
        <f t="shared" si="70"/>
        <v/>
      </c>
    </row>
    <row r="1424" spans="4:16" ht="22.5" customHeight="1" x14ac:dyDescent="0.25">
      <c r="D1424" s="59" t="str">
        <f t="shared" si="68"/>
        <v/>
      </c>
      <c r="O1424" s="4" t="str">
        <f t="shared" si="69"/>
        <v/>
      </c>
      <c r="P1424" s="59" t="str">
        <f t="shared" si="70"/>
        <v/>
      </c>
    </row>
    <row r="1425" spans="4:16" ht="22.5" customHeight="1" x14ac:dyDescent="0.25">
      <c r="D1425" s="59" t="str">
        <f t="shared" si="68"/>
        <v/>
      </c>
      <c r="O1425" s="4" t="str">
        <f t="shared" si="69"/>
        <v/>
      </c>
      <c r="P1425" s="59" t="str">
        <f t="shared" si="70"/>
        <v/>
      </c>
    </row>
    <row r="1426" spans="4:16" ht="22.5" customHeight="1" x14ac:dyDescent="0.25">
      <c r="D1426" s="59" t="str">
        <f t="shared" si="68"/>
        <v/>
      </c>
      <c r="O1426" s="4" t="str">
        <f t="shared" si="69"/>
        <v/>
      </c>
      <c r="P1426" s="59" t="str">
        <f t="shared" si="70"/>
        <v/>
      </c>
    </row>
    <row r="1427" spans="4:16" ht="22.5" customHeight="1" x14ac:dyDescent="0.25">
      <c r="D1427" s="59" t="str">
        <f t="shared" si="68"/>
        <v/>
      </c>
      <c r="O1427" s="4" t="str">
        <f t="shared" si="69"/>
        <v/>
      </c>
      <c r="P1427" s="59" t="str">
        <f t="shared" si="70"/>
        <v/>
      </c>
    </row>
    <row r="1428" spans="4:16" ht="22.5" customHeight="1" x14ac:dyDescent="0.25">
      <c r="D1428" s="59" t="str">
        <f t="shared" si="68"/>
        <v/>
      </c>
      <c r="O1428" s="4" t="str">
        <f t="shared" si="69"/>
        <v/>
      </c>
      <c r="P1428" s="59" t="str">
        <f t="shared" si="70"/>
        <v/>
      </c>
    </row>
    <row r="1429" spans="4:16" ht="22.5" customHeight="1" x14ac:dyDescent="0.25">
      <c r="D1429" s="59" t="str">
        <f t="shared" si="68"/>
        <v/>
      </c>
      <c r="O1429" s="4" t="str">
        <f t="shared" si="69"/>
        <v/>
      </c>
      <c r="P1429" s="59" t="str">
        <f t="shared" si="70"/>
        <v/>
      </c>
    </row>
    <row r="1430" spans="4:16" ht="22.5" customHeight="1" x14ac:dyDescent="0.25">
      <c r="D1430" s="59" t="str">
        <f t="shared" si="68"/>
        <v/>
      </c>
      <c r="O1430" s="4" t="str">
        <f t="shared" si="69"/>
        <v/>
      </c>
      <c r="P1430" s="59" t="str">
        <f t="shared" si="70"/>
        <v/>
      </c>
    </row>
    <row r="1431" spans="4:16" ht="22.5" customHeight="1" x14ac:dyDescent="0.25">
      <c r="D1431" s="59" t="str">
        <f t="shared" si="68"/>
        <v/>
      </c>
      <c r="O1431" s="4" t="str">
        <f t="shared" si="69"/>
        <v/>
      </c>
      <c r="P1431" s="59" t="str">
        <f t="shared" si="70"/>
        <v/>
      </c>
    </row>
    <row r="1432" spans="4:16" ht="22.5" customHeight="1" x14ac:dyDescent="0.25">
      <c r="D1432" s="59" t="str">
        <f t="shared" si="68"/>
        <v/>
      </c>
      <c r="O1432" s="4" t="str">
        <f t="shared" si="69"/>
        <v/>
      </c>
      <c r="P1432" s="59" t="str">
        <f t="shared" si="70"/>
        <v/>
      </c>
    </row>
    <row r="1433" spans="4:16" ht="22.5" customHeight="1" x14ac:dyDescent="0.25">
      <c r="D1433" s="59" t="str">
        <f t="shared" si="68"/>
        <v/>
      </c>
      <c r="O1433" s="4" t="str">
        <f t="shared" si="69"/>
        <v/>
      </c>
      <c r="P1433" s="59" t="str">
        <f t="shared" si="70"/>
        <v/>
      </c>
    </row>
    <row r="1434" spans="4:16" ht="22.5" customHeight="1" x14ac:dyDescent="0.25">
      <c r="D1434" s="59" t="str">
        <f t="shared" si="68"/>
        <v/>
      </c>
      <c r="O1434" s="4" t="str">
        <f t="shared" si="69"/>
        <v/>
      </c>
      <c r="P1434" s="59" t="str">
        <f t="shared" si="70"/>
        <v/>
      </c>
    </row>
    <row r="1435" spans="4:16" ht="22.5" customHeight="1" x14ac:dyDescent="0.25">
      <c r="D1435" s="59" t="str">
        <f t="shared" si="68"/>
        <v/>
      </c>
      <c r="O1435" s="4" t="str">
        <f t="shared" si="69"/>
        <v/>
      </c>
      <c r="P1435" s="59" t="str">
        <f t="shared" si="70"/>
        <v/>
      </c>
    </row>
    <row r="1436" spans="4:16" ht="22.5" customHeight="1" x14ac:dyDescent="0.25">
      <c r="D1436" s="59" t="str">
        <f t="shared" ref="D1436:D1499" si="71">IF(AND(I1436&lt;&gt;"",J1436&lt;&gt;""), I1436*J1436, "")</f>
        <v/>
      </c>
      <c r="O1436" s="4" t="str">
        <f t="shared" ref="O1436:O1499" si="72">IF(OR(D1436="", N1436=""), "", ROUND(D1436 * N1436 / 100, 2))</f>
        <v/>
      </c>
      <c r="P1436" s="59" t="str">
        <f t="shared" ref="P1436:P1499" si="73">IF(D1436="", "", D1436 + O1436)</f>
        <v/>
      </c>
    </row>
    <row r="1437" spans="4:16" ht="22.5" customHeight="1" x14ac:dyDescent="0.25">
      <c r="D1437" s="59" t="str">
        <f t="shared" si="71"/>
        <v/>
      </c>
      <c r="O1437" s="4" t="str">
        <f t="shared" si="72"/>
        <v/>
      </c>
      <c r="P1437" s="59" t="str">
        <f t="shared" si="73"/>
        <v/>
      </c>
    </row>
    <row r="1438" spans="4:16" ht="22.5" customHeight="1" x14ac:dyDescent="0.25">
      <c r="D1438" s="59" t="str">
        <f t="shared" si="71"/>
        <v/>
      </c>
      <c r="O1438" s="4" t="str">
        <f t="shared" si="72"/>
        <v/>
      </c>
      <c r="P1438" s="59" t="str">
        <f t="shared" si="73"/>
        <v/>
      </c>
    </row>
    <row r="1439" spans="4:16" ht="22.5" customHeight="1" x14ac:dyDescent="0.25">
      <c r="D1439" s="59" t="str">
        <f t="shared" si="71"/>
        <v/>
      </c>
      <c r="O1439" s="4" t="str">
        <f t="shared" si="72"/>
        <v/>
      </c>
      <c r="P1439" s="59" t="str">
        <f t="shared" si="73"/>
        <v/>
      </c>
    </row>
    <row r="1440" spans="4:16" ht="22.5" customHeight="1" x14ac:dyDescent="0.25">
      <c r="D1440" s="59" t="str">
        <f t="shared" si="71"/>
        <v/>
      </c>
      <c r="O1440" s="4" t="str">
        <f t="shared" si="72"/>
        <v/>
      </c>
      <c r="P1440" s="59" t="str">
        <f t="shared" si="73"/>
        <v/>
      </c>
    </row>
    <row r="1441" spans="4:16" ht="22.5" customHeight="1" x14ac:dyDescent="0.25">
      <c r="D1441" s="59" t="str">
        <f t="shared" si="71"/>
        <v/>
      </c>
      <c r="O1441" s="4" t="str">
        <f t="shared" si="72"/>
        <v/>
      </c>
      <c r="P1441" s="59" t="str">
        <f t="shared" si="73"/>
        <v/>
      </c>
    </row>
    <row r="1442" spans="4:16" ht="22.5" customHeight="1" x14ac:dyDescent="0.25">
      <c r="D1442" s="59" t="str">
        <f t="shared" si="71"/>
        <v/>
      </c>
      <c r="O1442" s="4" t="str">
        <f t="shared" si="72"/>
        <v/>
      </c>
      <c r="P1442" s="59" t="str">
        <f t="shared" si="73"/>
        <v/>
      </c>
    </row>
    <row r="1443" spans="4:16" ht="22.5" customHeight="1" x14ac:dyDescent="0.25">
      <c r="D1443" s="59" t="str">
        <f t="shared" si="71"/>
        <v/>
      </c>
      <c r="O1443" s="4" t="str">
        <f t="shared" si="72"/>
        <v/>
      </c>
      <c r="P1443" s="59" t="str">
        <f t="shared" si="73"/>
        <v/>
      </c>
    </row>
    <row r="1444" spans="4:16" ht="22.5" customHeight="1" x14ac:dyDescent="0.25">
      <c r="D1444" s="59" t="str">
        <f t="shared" si="71"/>
        <v/>
      </c>
      <c r="O1444" s="4" t="str">
        <f t="shared" si="72"/>
        <v/>
      </c>
      <c r="P1444" s="59" t="str">
        <f t="shared" si="73"/>
        <v/>
      </c>
    </row>
    <row r="1445" spans="4:16" ht="22.5" customHeight="1" x14ac:dyDescent="0.25">
      <c r="D1445" s="59" t="str">
        <f t="shared" si="71"/>
        <v/>
      </c>
      <c r="O1445" s="4" t="str">
        <f t="shared" si="72"/>
        <v/>
      </c>
      <c r="P1445" s="59" t="str">
        <f t="shared" si="73"/>
        <v/>
      </c>
    </row>
    <row r="1446" spans="4:16" ht="22.5" customHeight="1" x14ac:dyDescent="0.25">
      <c r="D1446" s="59" t="str">
        <f t="shared" si="71"/>
        <v/>
      </c>
      <c r="O1446" s="4" t="str">
        <f t="shared" si="72"/>
        <v/>
      </c>
      <c r="P1446" s="59" t="str">
        <f t="shared" si="73"/>
        <v/>
      </c>
    </row>
    <row r="1447" spans="4:16" ht="22.5" customHeight="1" x14ac:dyDescent="0.25">
      <c r="D1447" s="59" t="str">
        <f t="shared" si="71"/>
        <v/>
      </c>
      <c r="O1447" s="4" t="str">
        <f t="shared" si="72"/>
        <v/>
      </c>
      <c r="P1447" s="59" t="str">
        <f t="shared" si="73"/>
        <v/>
      </c>
    </row>
    <row r="1448" spans="4:16" ht="22.5" customHeight="1" x14ac:dyDescent="0.25">
      <c r="D1448" s="59" t="str">
        <f t="shared" si="71"/>
        <v/>
      </c>
      <c r="O1448" s="4" t="str">
        <f t="shared" si="72"/>
        <v/>
      </c>
      <c r="P1448" s="59" t="str">
        <f t="shared" si="73"/>
        <v/>
      </c>
    </row>
    <row r="1449" spans="4:16" ht="22.5" customHeight="1" x14ac:dyDescent="0.25">
      <c r="D1449" s="59" t="str">
        <f t="shared" si="71"/>
        <v/>
      </c>
      <c r="O1449" s="4" t="str">
        <f t="shared" si="72"/>
        <v/>
      </c>
      <c r="P1449" s="59" t="str">
        <f t="shared" si="73"/>
        <v/>
      </c>
    </row>
    <row r="1450" spans="4:16" ht="22.5" customHeight="1" x14ac:dyDescent="0.25">
      <c r="D1450" s="59" t="str">
        <f t="shared" si="71"/>
        <v/>
      </c>
      <c r="O1450" s="4" t="str">
        <f t="shared" si="72"/>
        <v/>
      </c>
      <c r="P1450" s="59" t="str">
        <f t="shared" si="73"/>
        <v/>
      </c>
    </row>
    <row r="1451" spans="4:16" ht="22.5" customHeight="1" x14ac:dyDescent="0.25">
      <c r="D1451" s="59" t="str">
        <f t="shared" si="71"/>
        <v/>
      </c>
      <c r="O1451" s="4" t="str">
        <f t="shared" si="72"/>
        <v/>
      </c>
      <c r="P1451" s="59" t="str">
        <f t="shared" si="73"/>
        <v/>
      </c>
    </row>
    <row r="1452" spans="4:16" ht="22.5" customHeight="1" x14ac:dyDescent="0.25">
      <c r="D1452" s="59" t="str">
        <f t="shared" si="71"/>
        <v/>
      </c>
      <c r="O1452" s="4" t="str">
        <f t="shared" si="72"/>
        <v/>
      </c>
      <c r="P1452" s="59" t="str">
        <f t="shared" si="73"/>
        <v/>
      </c>
    </row>
    <row r="1453" spans="4:16" ht="22.5" customHeight="1" x14ac:dyDescent="0.25">
      <c r="D1453" s="59" t="str">
        <f t="shared" si="71"/>
        <v/>
      </c>
      <c r="O1453" s="4" t="str">
        <f t="shared" si="72"/>
        <v/>
      </c>
      <c r="P1453" s="59" t="str">
        <f t="shared" si="73"/>
        <v/>
      </c>
    </row>
    <row r="1454" spans="4:16" ht="22.5" customHeight="1" x14ac:dyDescent="0.25">
      <c r="D1454" s="59" t="str">
        <f t="shared" si="71"/>
        <v/>
      </c>
      <c r="O1454" s="4" t="str">
        <f t="shared" si="72"/>
        <v/>
      </c>
      <c r="P1454" s="59" t="str">
        <f t="shared" si="73"/>
        <v/>
      </c>
    </row>
    <row r="1455" spans="4:16" ht="22.5" customHeight="1" x14ac:dyDescent="0.25">
      <c r="D1455" s="59" t="str">
        <f t="shared" si="71"/>
        <v/>
      </c>
      <c r="O1455" s="4" t="str">
        <f t="shared" si="72"/>
        <v/>
      </c>
      <c r="P1455" s="59" t="str">
        <f t="shared" si="73"/>
        <v/>
      </c>
    </row>
    <row r="1456" spans="4:16" ht="22.5" customHeight="1" x14ac:dyDescent="0.25">
      <c r="D1456" s="59" t="str">
        <f t="shared" si="71"/>
        <v/>
      </c>
      <c r="O1456" s="4" t="str">
        <f t="shared" si="72"/>
        <v/>
      </c>
      <c r="P1456" s="59" t="str">
        <f t="shared" si="73"/>
        <v/>
      </c>
    </row>
    <row r="1457" spans="4:16" ht="22.5" customHeight="1" x14ac:dyDescent="0.25">
      <c r="D1457" s="59" t="str">
        <f t="shared" si="71"/>
        <v/>
      </c>
      <c r="O1457" s="4" t="str">
        <f t="shared" si="72"/>
        <v/>
      </c>
      <c r="P1457" s="59" t="str">
        <f t="shared" si="73"/>
        <v/>
      </c>
    </row>
    <row r="1458" spans="4:16" ht="22.5" customHeight="1" x14ac:dyDescent="0.25">
      <c r="D1458" s="59" t="str">
        <f t="shared" si="71"/>
        <v/>
      </c>
      <c r="O1458" s="4" t="str">
        <f t="shared" si="72"/>
        <v/>
      </c>
      <c r="P1458" s="59" t="str">
        <f t="shared" si="73"/>
        <v/>
      </c>
    </row>
    <row r="1459" spans="4:16" ht="22.5" customHeight="1" x14ac:dyDescent="0.25">
      <c r="D1459" s="59" t="str">
        <f t="shared" si="71"/>
        <v/>
      </c>
      <c r="O1459" s="4" t="str">
        <f t="shared" si="72"/>
        <v/>
      </c>
      <c r="P1459" s="59" t="str">
        <f t="shared" si="73"/>
        <v/>
      </c>
    </row>
    <row r="1460" spans="4:16" ht="22.5" customHeight="1" x14ac:dyDescent="0.25">
      <c r="D1460" s="59" t="str">
        <f t="shared" si="71"/>
        <v/>
      </c>
      <c r="O1460" s="4" t="str">
        <f t="shared" si="72"/>
        <v/>
      </c>
      <c r="P1460" s="59" t="str">
        <f t="shared" si="73"/>
        <v/>
      </c>
    </row>
    <row r="1461" spans="4:16" ht="22.5" customHeight="1" x14ac:dyDescent="0.25">
      <c r="D1461" s="59" t="str">
        <f t="shared" si="71"/>
        <v/>
      </c>
      <c r="O1461" s="4" t="str">
        <f t="shared" si="72"/>
        <v/>
      </c>
      <c r="P1461" s="59" t="str">
        <f t="shared" si="73"/>
        <v/>
      </c>
    </row>
    <row r="1462" spans="4:16" ht="22.5" customHeight="1" x14ac:dyDescent="0.25">
      <c r="D1462" s="59" t="str">
        <f t="shared" si="71"/>
        <v/>
      </c>
      <c r="O1462" s="4" t="str">
        <f t="shared" si="72"/>
        <v/>
      </c>
      <c r="P1462" s="59" t="str">
        <f t="shared" si="73"/>
        <v/>
      </c>
    </row>
    <row r="1463" spans="4:16" ht="22.5" customHeight="1" x14ac:dyDescent="0.25">
      <c r="D1463" s="59" t="str">
        <f t="shared" si="71"/>
        <v/>
      </c>
      <c r="O1463" s="4" t="str">
        <f t="shared" si="72"/>
        <v/>
      </c>
      <c r="P1463" s="59" t="str">
        <f t="shared" si="73"/>
        <v/>
      </c>
    </row>
    <row r="1464" spans="4:16" ht="22.5" customHeight="1" x14ac:dyDescent="0.25">
      <c r="D1464" s="59" t="str">
        <f t="shared" si="71"/>
        <v/>
      </c>
      <c r="O1464" s="4" t="str">
        <f t="shared" si="72"/>
        <v/>
      </c>
      <c r="P1464" s="59" t="str">
        <f t="shared" si="73"/>
        <v/>
      </c>
    </row>
    <row r="1465" spans="4:16" ht="22.5" customHeight="1" x14ac:dyDescent="0.25">
      <c r="D1465" s="59" t="str">
        <f t="shared" si="71"/>
        <v/>
      </c>
      <c r="O1465" s="4" t="str">
        <f t="shared" si="72"/>
        <v/>
      </c>
      <c r="P1465" s="59" t="str">
        <f t="shared" si="73"/>
        <v/>
      </c>
    </row>
    <row r="1466" spans="4:16" ht="22.5" customHeight="1" x14ac:dyDescent="0.25">
      <c r="D1466" s="59" t="str">
        <f t="shared" si="71"/>
        <v/>
      </c>
      <c r="O1466" s="4" t="str">
        <f t="shared" si="72"/>
        <v/>
      </c>
      <c r="P1466" s="59" t="str">
        <f t="shared" si="73"/>
        <v/>
      </c>
    </row>
    <row r="1467" spans="4:16" ht="22.5" customHeight="1" x14ac:dyDescent="0.25">
      <c r="D1467" s="59" t="str">
        <f t="shared" si="71"/>
        <v/>
      </c>
      <c r="O1467" s="4" t="str">
        <f t="shared" si="72"/>
        <v/>
      </c>
      <c r="P1467" s="59" t="str">
        <f t="shared" si="73"/>
        <v/>
      </c>
    </row>
    <row r="1468" spans="4:16" ht="22.5" customHeight="1" x14ac:dyDescent="0.25">
      <c r="D1468" s="59" t="str">
        <f t="shared" si="71"/>
        <v/>
      </c>
      <c r="O1468" s="4" t="str">
        <f t="shared" si="72"/>
        <v/>
      </c>
      <c r="P1468" s="59" t="str">
        <f t="shared" si="73"/>
        <v/>
      </c>
    </row>
    <row r="1469" spans="4:16" ht="22.5" customHeight="1" x14ac:dyDescent="0.25">
      <c r="D1469" s="59" t="str">
        <f t="shared" si="71"/>
        <v/>
      </c>
      <c r="O1469" s="4" t="str">
        <f t="shared" si="72"/>
        <v/>
      </c>
      <c r="P1469" s="59" t="str">
        <f t="shared" si="73"/>
        <v/>
      </c>
    </row>
    <row r="1470" spans="4:16" ht="22.5" customHeight="1" x14ac:dyDescent="0.25">
      <c r="D1470" s="59" t="str">
        <f t="shared" si="71"/>
        <v/>
      </c>
      <c r="O1470" s="4" t="str">
        <f t="shared" si="72"/>
        <v/>
      </c>
      <c r="P1470" s="59" t="str">
        <f t="shared" si="73"/>
        <v/>
      </c>
    </row>
    <row r="1471" spans="4:16" ht="22.5" customHeight="1" x14ac:dyDescent="0.25">
      <c r="D1471" s="59" t="str">
        <f t="shared" si="71"/>
        <v/>
      </c>
      <c r="O1471" s="4" t="str">
        <f t="shared" si="72"/>
        <v/>
      </c>
      <c r="P1471" s="59" t="str">
        <f t="shared" si="73"/>
        <v/>
      </c>
    </row>
    <row r="1472" spans="4:16" ht="22.5" customHeight="1" x14ac:dyDescent="0.25">
      <c r="D1472" s="59" t="str">
        <f t="shared" si="71"/>
        <v/>
      </c>
      <c r="O1472" s="4" t="str">
        <f t="shared" si="72"/>
        <v/>
      </c>
      <c r="P1472" s="59" t="str">
        <f t="shared" si="73"/>
        <v/>
      </c>
    </row>
    <row r="1473" spans="4:16" ht="22.5" customHeight="1" x14ac:dyDescent="0.25">
      <c r="D1473" s="59" t="str">
        <f t="shared" si="71"/>
        <v/>
      </c>
      <c r="O1473" s="4" t="str">
        <f t="shared" si="72"/>
        <v/>
      </c>
      <c r="P1473" s="59" t="str">
        <f t="shared" si="73"/>
        <v/>
      </c>
    </row>
    <row r="1474" spans="4:16" ht="22.5" customHeight="1" x14ac:dyDescent="0.25">
      <c r="D1474" s="59" t="str">
        <f t="shared" si="71"/>
        <v/>
      </c>
      <c r="O1474" s="4" t="str">
        <f t="shared" si="72"/>
        <v/>
      </c>
      <c r="P1474" s="59" t="str">
        <f t="shared" si="73"/>
        <v/>
      </c>
    </row>
    <row r="1475" spans="4:16" ht="22.5" customHeight="1" x14ac:dyDescent="0.25">
      <c r="D1475" s="59" t="str">
        <f t="shared" si="71"/>
        <v/>
      </c>
      <c r="O1475" s="4" t="str">
        <f t="shared" si="72"/>
        <v/>
      </c>
      <c r="P1475" s="59" t="str">
        <f t="shared" si="73"/>
        <v/>
      </c>
    </row>
    <row r="1476" spans="4:16" ht="22.5" customHeight="1" x14ac:dyDescent="0.25">
      <c r="D1476" s="59" t="str">
        <f t="shared" si="71"/>
        <v/>
      </c>
      <c r="O1476" s="4" t="str">
        <f t="shared" si="72"/>
        <v/>
      </c>
      <c r="P1476" s="59" t="str">
        <f t="shared" si="73"/>
        <v/>
      </c>
    </row>
    <row r="1477" spans="4:16" ht="22.5" customHeight="1" x14ac:dyDescent="0.25">
      <c r="D1477" s="59" t="str">
        <f t="shared" si="71"/>
        <v/>
      </c>
      <c r="O1477" s="4" t="str">
        <f t="shared" si="72"/>
        <v/>
      </c>
      <c r="P1477" s="59" t="str">
        <f t="shared" si="73"/>
        <v/>
      </c>
    </row>
    <row r="1478" spans="4:16" ht="22.5" customHeight="1" x14ac:dyDescent="0.25">
      <c r="D1478" s="59" t="str">
        <f t="shared" si="71"/>
        <v/>
      </c>
      <c r="O1478" s="4" t="str">
        <f t="shared" si="72"/>
        <v/>
      </c>
      <c r="P1478" s="59" t="str">
        <f t="shared" si="73"/>
        <v/>
      </c>
    </row>
    <row r="1479" spans="4:16" ht="22.5" customHeight="1" x14ac:dyDescent="0.25">
      <c r="D1479" s="59" t="str">
        <f t="shared" si="71"/>
        <v/>
      </c>
      <c r="O1479" s="4" t="str">
        <f t="shared" si="72"/>
        <v/>
      </c>
      <c r="P1479" s="59" t="str">
        <f t="shared" si="73"/>
        <v/>
      </c>
    </row>
    <row r="1480" spans="4:16" ht="22.5" customHeight="1" x14ac:dyDescent="0.25">
      <c r="D1480" s="59" t="str">
        <f t="shared" si="71"/>
        <v/>
      </c>
      <c r="O1480" s="4" t="str">
        <f t="shared" si="72"/>
        <v/>
      </c>
      <c r="P1480" s="59" t="str">
        <f t="shared" si="73"/>
        <v/>
      </c>
    </row>
    <row r="1481" spans="4:16" ht="22.5" customHeight="1" x14ac:dyDescent="0.25">
      <c r="D1481" s="59" t="str">
        <f t="shared" si="71"/>
        <v/>
      </c>
      <c r="O1481" s="4" t="str">
        <f t="shared" si="72"/>
        <v/>
      </c>
      <c r="P1481" s="59" t="str">
        <f t="shared" si="73"/>
        <v/>
      </c>
    </row>
    <row r="1482" spans="4:16" ht="22.5" customHeight="1" x14ac:dyDescent="0.25">
      <c r="D1482" s="59" t="str">
        <f t="shared" si="71"/>
        <v/>
      </c>
      <c r="O1482" s="4" t="str">
        <f t="shared" si="72"/>
        <v/>
      </c>
      <c r="P1482" s="59" t="str">
        <f t="shared" si="73"/>
        <v/>
      </c>
    </row>
    <row r="1483" spans="4:16" ht="22.5" customHeight="1" x14ac:dyDescent="0.25">
      <c r="D1483" s="59" t="str">
        <f t="shared" si="71"/>
        <v/>
      </c>
      <c r="O1483" s="4" t="str">
        <f t="shared" si="72"/>
        <v/>
      </c>
      <c r="P1483" s="59" t="str">
        <f t="shared" si="73"/>
        <v/>
      </c>
    </row>
    <row r="1484" spans="4:16" ht="22.5" customHeight="1" x14ac:dyDescent="0.25">
      <c r="D1484" s="59" t="str">
        <f t="shared" si="71"/>
        <v/>
      </c>
      <c r="O1484" s="4" t="str">
        <f t="shared" si="72"/>
        <v/>
      </c>
      <c r="P1484" s="59" t="str">
        <f t="shared" si="73"/>
        <v/>
      </c>
    </row>
    <row r="1485" spans="4:16" ht="22.5" customHeight="1" x14ac:dyDescent="0.25">
      <c r="D1485" s="59" t="str">
        <f t="shared" si="71"/>
        <v/>
      </c>
      <c r="O1485" s="4" t="str">
        <f t="shared" si="72"/>
        <v/>
      </c>
      <c r="P1485" s="59" t="str">
        <f t="shared" si="73"/>
        <v/>
      </c>
    </row>
    <row r="1486" spans="4:16" ht="22.5" customHeight="1" x14ac:dyDescent="0.25">
      <c r="D1486" s="59" t="str">
        <f t="shared" si="71"/>
        <v/>
      </c>
      <c r="O1486" s="4" t="str">
        <f t="shared" si="72"/>
        <v/>
      </c>
      <c r="P1486" s="59" t="str">
        <f t="shared" si="73"/>
        <v/>
      </c>
    </row>
    <row r="1487" spans="4:16" ht="22.5" customHeight="1" x14ac:dyDescent="0.25">
      <c r="D1487" s="59" t="str">
        <f t="shared" si="71"/>
        <v/>
      </c>
      <c r="O1487" s="4" t="str">
        <f t="shared" si="72"/>
        <v/>
      </c>
      <c r="P1487" s="59" t="str">
        <f t="shared" si="73"/>
        <v/>
      </c>
    </row>
    <row r="1488" spans="4:16" ht="22.5" customHeight="1" x14ac:dyDescent="0.25">
      <c r="D1488" s="59" t="str">
        <f t="shared" si="71"/>
        <v/>
      </c>
      <c r="O1488" s="4" t="str">
        <f t="shared" si="72"/>
        <v/>
      </c>
      <c r="P1488" s="59" t="str">
        <f t="shared" si="73"/>
        <v/>
      </c>
    </row>
    <row r="1489" spans="4:16" ht="22.5" customHeight="1" x14ac:dyDescent="0.25">
      <c r="D1489" s="59" t="str">
        <f t="shared" si="71"/>
        <v/>
      </c>
      <c r="O1489" s="4" t="str">
        <f t="shared" si="72"/>
        <v/>
      </c>
      <c r="P1489" s="59" t="str">
        <f t="shared" si="73"/>
        <v/>
      </c>
    </row>
    <row r="1490" spans="4:16" ht="22.5" customHeight="1" x14ac:dyDescent="0.25">
      <c r="D1490" s="59" t="str">
        <f t="shared" si="71"/>
        <v/>
      </c>
      <c r="O1490" s="4" t="str">
        <f t="shared" si="72"/>
        <v/>
      </c>
      <c r="P1490" s="59" t="str">
        <f t="shared" si="73"/>
        <v/>
      </c>
    </row>
    <row r="1491" spans="4:16" ht="22.5" customHeight="1" x14ac:dyDescent="0.25">
      <c r="D1491" s="59" t="str">
        <f t="shared" si="71"/>
        <v/>
      </c>
      <c r="O1491" s="4" t="str">
        <f t="shared" si="72"/>
        <v/>
      </c>
      <c r="P1491" s="59" t="str">
        <f t="shared" si="73"/>
        <v/>
      </c>
    </row>
    <row r="1492" spans="4:16" ht="22.5" customHeight="1" x14ac:dyDescent="0.25">
      <c r="D1492" s="59" t="str">
        <f t="shared" si="71"/>
        <v/>
      </c>
      <c r="O1492" s="4" t="str">
        <f t="shared" si="72"/>
        <v/>
      </c>
      <c r="P1492" s="59" t="str">
        <f t="shared" si="73"/>
        <v/>
      </c>
    </row>
    <row r="1493" spans="4:16" ht="22.5" customHeight="1" x14ac:dyDescent="0.25">
      <c r="D1493" s="59" t="str">
        <f t="shared" si="71"/>
        <v/>
      </c>
      <c r="O1493" s="4" t="str">
        <f t="shared" si="72"/>
        <v/>
      </c>
      <c r="P1493" s="59" t="str">
        <f t="shared" si="73"/>
        <v/>
      </c>
    </row>
    <row r="1494" spans="4:16" ht="22.5" customHeight="1" x14ac:dyDescent="0.25">
      <c r="D1494" s="59" t="str">
        <f t="shared" si="71"/>
        <v/>
      </c>
      <c r="O1494" s="4" t="str">
        <f t="shared" si="72"/>
        <v/>
      </c>
      <c r="P1494" s="59" t="str">
        <f t="shared" si="73"/>
        <v/>
      </c>
    </row>
    <row r="1495" spans="4:16" ht="22.5" customHeight="1" x14ac:dyDescent="0.25">
      <c r="D1495" s="59" t="str">
        <f t="shared" si="71"/>
        <v/>
      </c>
      <c r="O1495" s="4" t="str">
        <f t="shared" si="72"/>
        <v/>
      </c>
      <c r="P1495" s="59" t="str">
        <f t="shared" si="73"/>
        <v/>
      </c>
    </row>
    <row r="1496" spans="4:16" ht="22.5" customHeight="1" x14ac:dyDescent="0.25">
      <c r="D1496" s="59" t="str">
        <f t="shared" si="71"/>
        <v/>
      </c>
      <c r="O1496" s="4" t="str">
        <f t="shared" si="72"/>
        <v/>
      </c>
      <c r="P1496" s="59" t="str">
        <f t="shared" si="73"/>
        <v/>
      </c>
    </row>
    <row r="1497" spans="4:16" ht="22.5" customHeight="1" x14ac:dyDescent="0.25">
      <c r="D1497" s="59" t="str">
        <f t="shared" si="71"/>
        <v/>
      </c>
      <c r="O1497" s="4" t="str">
        <f t="shared" si="72"/>
        <v/>
      </c>
      <c r="P1497" s="59" t="str">
        <f t="shared" si="73"/>
        <v/>
      </c>
    </row>
    <row r="1498" spans="4:16" ht="22.5" customHeight="1" x14ac:dyDescent="0.25">
      <c r="D1498" s="59" t="str">
        <f t="shared" si="71"/>
        <v/>
      </c>
      <c r="O1498" s="4" t="str">
        <f t="shared" si="72"/>
        <v/>
      </c>
      <c r="P1498" s="59" t="str">
        <f t="shared" si="73"/>
        <v/>
      </c>
    </row>
    <row r="1499" spans="4:16" ht="22.5" customHeight="1" x14ac:dyDescent="0.25">
      <c r="D1499" s="59" t="str">
        <f t="shared" si="71"/>
        <v/>
      </c>
      <c r="O1499" s="4" t="str">
        <f t="shared" si="72"/>
        <v/>
      </c>
      <c r="P1499" s="59" t="str">
        <f t="shared" si="73"/>
        <v/>
      </c>
    </row>
    <row r="1500" spans="4:16" ht="22.5" customHeight="1" x14ac:dyDescent="0.25">
      <c r="D1500" s="59" t="str">
        <f t="shared" ref="D1500:D1563" si="74">IF(AND(I1500&lt;&gt;"",J1500&lt;&gt;""), I1500*J1500, "")</f>
        <v/>
      </c>
      <c r="O1500" s="4" t="str">
        <f t="shared" ref="O1500:O1563" si="75">IF(OR(D1500="", N1500=""), "", ROUND(D1500 * N1500 / 100, 2))</f>
        <v/>
      </c>
      <c r="P1500" s="59" t="str">
        <f t="shared" ref="P1500:P1563" si="76">IF(D1500="", "", D1500 + O1500)</f>
        <v/>
      </c>
    </row>
    <row r="1501" spans="4:16" ht="22.5" customHeight="1" x14ac:dyDescent="0.25">
      <c r="D1501" s="59" t="str">
        <f t="shared" si="74"/>
        <v/>
      </c>
      <c r="O1501" s="4" t="str">
        <f t="shared" si="75"/>
        <v/>
      </c>
      <c r="P1501" s="59" t="str">
        <f t="shared" si="76"/>
        <v/>
      </c>
    </row>
    <row r="1502" spans="4:16" ht="22.5" customHeight="1" x14ac:dyDescent="0.25">
      <c r="D1502" s="59" t="str">
        <f t="shared" si="74"/>
        <v/>
      </c>
      <c r="O1502" s="4" t="str">
        <f t="shared" si="75"/>
        <v/>
      </c>
      <c r="P1502" s="59" t="str">
        <f t="shared" si="76"/>
        <v/>
      </c>
    </row>
    <row r="1503" spans="4:16" ht="22.5" customHeight="1" x14ac:dyDescent="0.25">
      <c r="D1503" s="59" t="str">
        <f t="shared" si="74"/>
        <v/>
      </c>
      <c r="O1503" s="4" t="str">
        <f t="shared" si="75"/>
        <v/>
      </c>
      <c r="P1503" s="59" t="str">
        <f t="shared" si="76"/>
        <v/>
      </c>
    </row>
    <row r="1504" spans="4:16" ht="22.5" customHeight="1" x14ac:dyDescent="0.25">
      <c r="D1504" s="59" t="str">
        <f t="shared" si="74"/>
        <v/>
      </c>
      <c r="O1504" s="4" t="str">
        <f t="shared" si="75"/>
        <v/>
      </c>
      <c r="P1504" s="59" t="str">
        <f t="shared" si="76"/>
        <v/>
      </c>
    </row>
    <row r="1505" spans="4:16" ht="22.5" customHeight="1" x14ac:dyDescent="0.25">
      <c r="D1505" s="59" t="str">
        <f t="shared" si="74"/>
        <v/>
      </c>
      <c r="O1505" s="4" t="str">
        <f t="shared" si="75"/>
        <v/>
      </c>
      <c r="P1505" s="59" t="str">
        <f t="shared" si="76"/>
        <v/>
      </c>
    </row>
    <row r="1506" spans="4:16" ht="22.5" customHeight="1" x14ac:dyDescent="0.25">
      <c r="D1506" s="59" t="str">
        <f t="shared" si="74"/>
        <v/>
      </c>
      <c r="O1506" s="4" t="str">
        <f t="shared" si="75"/>
        <v/>
      </c>
      <c r="P1506" s="59" t="str">
        <f t="shared" si="76"/>
        <v/>
      </c>
    </row>
    <row r="1507" spans="4:16" ht="22.5" customHeight="1" x14ac:dyDescent="0.25">
      <c r="D1507" s="59" t="str">
        <f t="shared" si="74"/>
        <v/>
      </c>
      <c r="O1507" s="4" t="str">
        <f t="shared" si="75"/>
        <v/>
      </c>
      <c r="P1507" s="59" t="str">
        <f t="shared" si="76"/>
        <v/>
      </c>
    </row>
    <row r="1508" spans="4:16" ht="22.5" customHeight="1" x14ac:dyDescent="0.25">
      <c r="D1508" s="59" t="str">
        <f t="shared" si="74"/>
        <v/>
      </c>
      <c r="O1508" s="4" t="str">
        <f t="shared" si="75"/>
        <v/>
      </c>
      <c r="P1508" s="59" t="str">
        <f t="shared" si="76"/>
        <v/>
      </c>
    </row>
    <row r="1509" spans="4:16" ht="22.5" customHeight="1" x14ac:dyDescent="0.25">
      <c r="D1509" s="59" t="str">
        <f t="shared" si="74"/>
        <v/>
      </c>
      <c r="O1509" s="4" t="str">
        <f t="shared" si="75"/>
        <v/>
      </c>
      <c r="P1509" s="59" t="str">
        <f t="shared" si="76"/>
        <v/>
      </c>
    </row>
    <row r="1510" spans="4:16" ht="22.5" customHeight="1" x14ac:dyDescent="0.25">
      <c r="D1510" s="59" t="str">
        <f t="shared" si="74"/>
        <v/>
      </c>
      <c r="O1510" s="4" t="str">
        <f t="shared" si="75"/>
        <v/>
      </c>
      <c r="P1510" s="59" t="str">
        <f t="shared" si="76"/>
        <v/>
      </c>
    </row>
    <row r="1511" spans="4:16" ht="22.5" customHeight="1" x14ac:dyDescent="0.25">
      <c r="D1511" s="59" t="str">
        <f t="shared" si="74"/>
        <v/>
      </c>
      <c r="O1511" s="4" t="str">
        <f t="shared" si="75"/>
        <v/>
      </c>
      <c r="P1511" s="59" t="str">
        <f t="shared" si="76"/>
        <v/>
      </c>
    </row>
    <row r="1512" spans="4:16" ht="22.5" customHeight="1" x14ac:dyDescent="0.25">
      <c r="D1512" s="59" t="str">
        <f t="shared" si="74"/>
        <v/>
      </c>
      <c r="O1512" s="4" t="str">
        <f t="shared" si="75"/>
        <v/>
      </c>
      <c r="P1512" s="59" t="str">
        <f t="shared" si="76"/>
        <v/>
      </c>
    </row>
    <row r="1513" spans="4:16" ht="22.5" customHeight="1" x14ac:dyDescent="0.25">
      <c r="D1513" s="59" t="str">
        <f t="shared" si="74"/>
        <v/>
      </c>
      <c r="O1513" s="4" t="str">
        <f t="shared" si="75"/>
        <v/>
      </c>
      <c r="P1513" s="59" t="str">
        <f t="shared" si="76"/>
        <v/>
      </c>
    </row>
    <row r="1514" spans="4:16" ht="22.5" customHeight="1" x14ac:dyDescent="0.25">
      <c r="D1514" s="59" t="str">
        <f t="shared" si="74"/>
        <v/>
      </c>
      <c r="O1514" s="4" t="str">
        <f t="shared" si="75"/>
        <v/>
      </c>
      <c r="P1514" s="59" t="str">
        <f t="shared" si="76"/>
        <v/>
      </c>
    </row>
    <row r="1515" spans="4:16" ht="22.5" customHeight="1" x14ac:dyDescent="0.25">
      <c r="D1515" s="59" t="str">
        <f t="shared" si="74"/>
        <v/>
      </c>
      <c r="O1515" s="4" t="str">
        <f t="shared" si="75"/>
        <v/>
      </c>
      <c r="P1515" s="59" t="str">
        <f t="shared" si="76"/>
        <v/>
      </c>
    </row>
    <row r="1516" spans="4:16" ht="22.5" customHeight="1" x14ac:dyDescent="0.25">
      <c r="D1516" s="59" t="str">
        <f t="shared" si="74"/>
        <v/>
      </c>
      <c r="O1516" s="4" t="str">
        <f t="shared" si="75"/>
        <v/>
      </c>
      <c r="P1516" s="59" t="str">
        <f t="shared" si="76"/>
        <v/>
      </c>
    </row>
    <row r="1517" spans="4:16" ht="22.5" customHeight="1" x14ac:dyDescent="0.25">
      <c r="D1517" s="59" t="str">
        <f t="shared" si="74"/>
        <v/>
      </c>
      <c r="O1517" s="4" t="str">
        <f t="shared" si="75"/>
        <v/>
      </c>
      <c r="P1517" s="59" t="str">
        <f t="shared" si="76"/>
        <v/>
      </c>
    </row>
    <row r="1518" spans="4:16" ht="22.5" customHeight="1" x14ac:dyDescent="0.25">
      <c r="D1518" s="59" t="str">
        <f t="shared" si="74"/>
        <v/>
      </c>
      <c r="O1518" s="4" t="str">
        <f t="shared" si="75"/>
        <v/>
      </c>
      <c r="P1518" s="59" t="str">
        <f t="shared" si="76"/>
        <v/>
      </c>
    </row>
    <row r="1519" spans="4:16" ht="22.5" customHeight="1" x14ac:dyDescent="0.25">
      <c r="D1519" s="59" t="str">
        <f t="shared" si="74"/>
        <v/>
      </c>
      <c r="O1519" s="4" t="str">
        <f t="shared" si="75"/>
        <v/>
      </c>
      <c r="P1519" s="59" t="str">
        <f t="shared" si="76"/>
        <v/>
      </c>
    </row>
    <row r="1520" spans="4:16" ht="22.5" customHeight="1" x14ac:dyDescent="0.25">
      <c r="D1520" s="59" t="str">
        <f t="shared" si="74"/>
        <v/>
      </c>
      <c r="O1520" s="4" t="str">
        <f t="shared" si="75"/>
        <v/>
      </c>
      <c r="P1520" s="59" t="str">
        <f t="shared" si="76"/>
        <v/>
      </c>
    </row>
    <row r="1521" spans="4:16" ht="22.5" customHeight="1" x14ac:dyDescent="0.25">
      <c r="D1521" s="59" t="str">
        <f t="shared" si="74"/>
        <v/>
      </c>
      <c r="O1521" s="4" t="str">
        <f t="shared" si="75"/>
        <v/>
      </c>
      <c r="P1521" s="59" t="str">
        <f t="shared" si="76"/>
        <v/>
      </c>
    </row>
    <row r="1522" spans="4:16" ht="22.5" customHeight="1" x14ac:dyDescent="0.25">
      <c r="D1522" s="59" t="str">
        <f t="shared" si="74"/>
        <v/>
      </c>
      <c r="O1522" s="4" t="str">
        <f t="shared" si="75"/>
        <v/>
      </c>
      <c r="P1522" s="59" t="str">
        <f t="shared" si="76"/>
        <v/>
      </c>
    </row>
    <row r="1523" spans="4:16" ht="22.5" customHeight="1" x14ac:dyDescent="0.25">
      <c r="D1523" s="59" t="str">
        <f t="shared" si="74"/>
        <v/>
      </c>
      <c r="O1523" s="4" t="str">
        <f t="shared" si="75"/>
        <v/>
      </c>
      <c r="P1523" s="59" t="str">
        <f t="shared" si="76"/>
        <v/>
      </c>
    </row>
    <row r="1524" spans="4:16" ht="22.5" customHeight="1" x14ac:dyDescent="0.25">
      <c r="D1524" s="59" t="str">
        <f t="shared" si="74"/>
        <v/>
      </c>
      <c r="O1524" s="4" t="str">
        <f t="shared" si="75"/>
        <v/>
      </c>
      <c r="P1524" s="59" t="str">
        <f t="shared" si="76"/>
        <v/>
      </c>
    </row>
    <row r="1525" spans="4:16" ht="22.5" customHeight="1" x14ac:dyDescent="0.25">
      <c r="D1525" s="59" t="str">
        <f t="shared" si="74"/>
        <v/>
      </c>
      <c r="O1525" s="4" t="str">
        <f t="shared" si="75"/>
        <v/>
      </c>
      <c r="P1525" s="59" t="str">
        <f t="shared" si="76"/>
        <v/>
      </c>
    </row>
    <row r="1526" spans="4:16" ht="22.5" customHeight="1" x14ac:dyDescent="0.25">
      <c r="D1526" s="59" t="str">
        <f t="shared" si="74"/>
        <v/>
      </c>
      <c r="O1526" s="4" t="str">
        <f t="shared" si="75"/>
        <v/>
      </c>
      <c r="P1526" s="59" t="str">
        <f t="shared" si="76"/>
        <v/>
      </c>
    </row>
    <row r="1527" spans="4:16" ht="22.5" customHeight="1" x14ac:dyDescent="0.25">
      <c r="D1527" s="59" t="str">
        <f t="shared" si="74"/>
        <v/>
      </c>
      <c r="O1527" s="4" t="str">
        <f t="shared" si="75"/>
        <v/>
      </c>
      <c r="P1527" s="59" t="str">
        <f t="shared" si="76"/>
        <v/>
      </c>
    </row>
    <row r="1528" spans="4:16" ht="22.5" customHeight="1" x14ac:dyDescent="0.25">
      <c r="D1528" s="59" t="str">
        <f t="shared" si="74"/>
        <v/>
      </c>
      <c r="O1528" s="4" t="str">
        <f t="shared" si="75"/>
        <v/>
      </c>
      <c r="P1528" s="59" t="str">
        <f t="shared" si="76"/>
        <v/>
      </c>
    </row>
    <row r="1529" spans="4:16" ht="22.5" customHeight="1" x14ac:dyDescent="0.25">
      <c r="D1529" s="59" t="str">
        <f t="shared" si="74"/>
        <v/>
      </c>
      <c r="O1529" s="4" t="str">
        <f t="shared" si="75"/>
        <v/>
      </c>
      <c r="P1529" s="59" t="str">
        <f t="shared" si="76"/>
        <v/>
      </c>
    </row>
    <row r="1530" spans="4:16" ht="22.5" customHeight="1" x14ac:dyDescent="0.25">
      <c r="D1530" s="59" t="str">
        <f t="shared" si="74"/>
        <v/>
      </c>
      <c r="O1530" s="4" t="str">
        <f t="shared" si="75"/>
        <v/>
      </c>
      <c r="P1530" s="59" t="str">
        <f t="shared" si="76"/>
        <v/>
      </c>
    </row>
    <row r="1531" spans="4:16" ht="22.5" customHeight="1" x14ac:dyDescent="0.25">
      <c r="D1531" s="59" t="str">
        <f t="shared" si="74"/>
        <v/>
      </c>
      <c r="O1531" s="4" t="str">
        <f t="shared" si="75"/>
        <v/>
      </c>
      <c r="P1531" s="59" t="str">
        <f t="shared" si="76"/>
        <v/>
      </c>
    </row>
    <row r="1532" spans="4:16" ht="22.5" customHeight="1" x14ac:dyDescent="0.25">
      <c r="D1532" s="59" t="str">
        <f t="shared" si="74"/>
        <v/>
      </c>
      <c r="O1532" s="4" t="str">
        <f t="shared" si="75"/>
        <v/>
      </c>
      <c r="P1532" s="59" t="str">
        <f t="shared" si="76"/>
        <v/>
      </c>
    </row>
    <row r="1533" spans="4:16" ht="22.5" customHeight="1" x14ac:dyDescent="0.25">
      <c r="D1533" s="59" t="str">
        <f t="shared" si="74"/>
        <v/>
      </c>
      <c r="O1533" s="4" t="str">
        <f t="shared" si="75"/>
        <v/>
      </c>
      <c r="P1533" s="59" t="str">
        <f t="shared" si="76"/>
        <v/>
      </c>
    </row>
    <row r="1534" spans="4:16" ht="22.5" customHeight="1" x14ac:dyDescent="0.25">
      <c r="D1534" s="59" t="str">
        <f t="shared" si="74"/>
        <v/>
      </c>
      <c r="O1534" s="4" t="str">
        <f t="shared" si="75"/>
        <v/>
      </c>
      <c r="P1534" s="59" t="str">
        <f t="shared" si="76"/>
        <v/>
      </c>
    </row>
    <row r="1535" spans="4:16" ht="22.5" customHeight="1" x14ac:dyDescent="0.25">
      <c r="D1535" s="59" t="str">
        <f t="shared" si="74"/>
        <v/>
      </c>
      <c r="O1535" s="4" t="str">
        <f t="shared" si="75"/>
        <v/>
      </c>
      <c r="P1535" s="59" t="str">
        <f t="shared" si="76"/>
        <v/>
      </c>
    </row>
    <row r="1536" spans="4:16" ht="22.5" customHeight="1" x14ac:dyDescent="0.25">
      <c r="D1536" s="59" t="str">
        <f t="shared" si="74"/>
        <v/>
      </c>
      <c r="O1536" s="4" t="str">
        <f t="shared" si="75"/>
        <v/>
      </c>
      <c r="P1536" s="59" t="str">
        <f t="shared" si="76"/>
        <v/>
      </c>
    </row>
    <row r="1537" spans="4:16" ht="22.5" customHeight="1" x14ac:dyDescent="0.25">
      <c r="D1537" s="59" t="str">
        <f t="shared" si="74"/>
        <v/>
      </c>
      <c r="O1537" s="4" t="str">
        <f t="shared" si="75"/>
        <v/>
      </c>
      <c r="P1537" s="59" t="str">
        <f t="shared" si="76"/>
        <v/>
      </c>
    </row>
    <row r="1538" spans="4:16" ht="22.5" customHeight="1" x14ac:dyDescent="0.25">
      <c r="D1538" s="59" t="str">
        <f t="shared" si="74"/>
        <v/>
      </c>
      <c r="O1538" s="4" t="str">
        <f t="shared" si="75"/>
        <v/>
      </c>
      <c r="P1538" s="59" t="str">
        <f t="shared" si="76"/>
        <v/>
      </c>
    </row>
    <row r="1539" spans="4:16" ht="22.5" customHeight="1" x14ac:dyDescent="0.25">
      <c r="D1539" s="59" t="str">
        <f t="shared" si="74"/>
        <v/>
      </c>
      <c r="O1539" s="4" t="str">
        <f t="shared" si="75"/>
        <v/>
      </c>
      <c r="P1539" s="59" t="str">
        <f t="shared" si="76"/>
        <v/>
      </c>
    </row>
    <row r="1540" spans="4:16" ht="22.5" customHeight="1" x14ac:dyDescent="0.25">
      <c r="D1540" s="59" t="str">
        <f t="shared" si="74"/>
        <v/>
      </c>
      <c r="O1540" s="4" t="str">
        <f t="shared" si="75"/>
        <v/>
      </c>
      <c r="P1540" s="59" t="str">
        <f t="shared" si="76"/>
        <v/>
      </c>
    </row>
    <row r="1541" spans="4:16" ht="22.5" customHeight="1" x14ac:dyDescent="0.25">
      <c r="D1541" s="59" t="str">
        <f t="shared" si="74"/>
        <v/>
      </c>
      <c r="O1541" s="4" t="str">
        <f t="shared" si="75"/>
        <v/>
      </c>
      <c r="P1541" s="59" t="str">
        <f t="shared" si="76"/>
        <v/>
      </c>
    </row>
    <row r="1542" spans="4:16" ht="22.5" customHeight="1" x14ac:dyDescent="0.25">
      <c r="D1542" s="59" t="str">
        <f t="shared" si="74"/>
        <v/>
      </c>
      <c r="O1542" s="4" t="str">
        <f t="shared" si="75"/>
        <v/>
      </c>
      <c r="P1542" s="59" t="str">
        <f t="shared" si="76"/>
        <v/>
      </c>
    </row>
    <row r="1543" spans="4:16" ht="22.5" customHeight="1" x14ac:dyDescent="0.25">
      <c r="D1543" s="59" t="str">
        <f t="shared" si="74"/>
        <v/>
      </c>
      <c r="O1543" s="4" t="str">
        <f t="shared" si="75"/>
        <v/>
      </c>
      <c r="P1543" s="59" t="str">
        <f t="shared" si="76"/>
        <v/>
      </c>
    </row>
    <row r="1544" spans="4:16" ht="22.5" customHeight="1" x14ac:dyDescent="0.25">
      <c r="D1544" s="59" t="str">
        <f t="shared" si="74"/>
        <v/>
      </c>
      <c r="O1544" s="4" t="str">
        <f t="shared" si="75"/>
        <v/>
      </c>
      <c r="P1544" s="59" t="str">
        <f t="shared" si="76"/>
        <v/>
      </c>
    </row>
    <row r="1545" spans="4:16" ht="22.5" customHeight="1" x14ac:dyDescent="0.25">
      <c r="D1545" s="59" t="str">
        <f t="shared" si="74"/>
        <v/>
      </c>
      <c r="O1545" s="4" t="str">
        <f t="shared" si="75"/>
        <v/>
      </c>
      <c r="P1545" s="59" t="str">
        <f t="shared" si="76"/>
        <v/>
      </c>
    </row>
    <row r="1546" spans="4:16" ht="22.5" customHeight="1" x14ac:dyDescent="0.25">
      <c r="D1546" s="59" t="str">
        <f t="shared" si="74"/>
        <v/>
      </c>
      <c r="O1546" s="4" t="str">
        <f t="shared" si="75"/>
        <v/>
      </c>
      <c r="P1546" s="59" t="str">
        <f t="shared" si="76"/>
        <v/>
      </c>
    </row>
    <row r="1547" spans="4:16" ht="22.5" customHeight="1" x14ac:dyDescent="0.25">
      <c r="D1547" s="59" t="str">
        <f t="shared" si="74"/>
        <v/>
      </c>
      <c r="O1547" s="4" t="str">
        <f t="shared" si="75"/>
        <v/>
      </c>
      <c r="P1547" s="59" t="str">
        <f t="shared" si="76"/>
        <v/>
      </c>
    </row>
    <row r="1548" spans="4:16" ht="22.5" customHeight="1" x14ac:dyDescent="0.25">
      <c r="D1548" s="59" t="str">
        <f t="shared" si="74"/>
        <v/>
      </c>
      <c r="O1548" s="4" t="str">
        <f t="shared" si="75"/>
        <v/>
      </c>
      <c r="P1548" s="59" t="str">
        <f t="shared" si="76"/>
        <v/>
      </c>
    </row>
    <row r="1549" spans="4:16" ht="22.5" customHeight="1" x14ac:dyDescent="0.25">
      <c r="D1549" s="59" t="str">
        <f t="shared" si="74"/>
        <v/>
      </c>
      <c r="O1549" s="4" t="str">
        <f t="shared" si="75"/>
        <v/>
      </c>
      <c r="P1549" s="59" t="str">
        <f t="shared" si="76"/>
        <v/>
      </c>
    </row>
    <row r="1550" spans="4:16" ht="22.5" customHeight="1" x14ac:dyDescent="0.25">
      <c r="D1550" s="59" t="str">
        <f t="shared" si="74"/>
        <v/>
      </c>
      <c r="O1550" s="4" t="str">
        <f t="shared" si="75"/>
        <v/>
      </c>
      <c r="P1550" s="59" t="str">
        <f t="shared" si="76"/>
        <v/>
      </c>
    </row>
    <row r="1551" spans="4:16" ht="22.5" customHeight="1" x14ac:dyDescent="0.25">
      <c r="D1551" s="59" t="str">
        <f t="shared" si="74"/>
        <v/>
      </c>
      <c r="O1551" s="4" t="str">
        <f t="shared" si="75"/>
        <v/>
      </c>
      <c r="P1551" s="59" t="str">
        <f t="shared" si="76"/>
        <v/>
      </c>
    </row>
    <row r="1552" spans="4:16" ht="22.5" customHeight="1" x14ac:dyDescent="0.25">
      <c r="D1552" s="59" t="str">
        <f t="shared" si="74"/>
        <v/>
      </c>
      <c r="O1552" s="4" t="str">
        <f t="shared" si="75"/>
        <v/>
      </c>
      <c r="P1552" s="59" t="str">
        <f t="shared" si="76"/>
        <v/>
      </c>
    </row>
    <row r="1553" spans="4:16" ht="22.5" customHeight="1" x14ac:dyDescent="0.25">
      <c r="D1553" s="59" t="str">
        <f t="shared" si="74"/>
        <v/>
      </c>
      <c r="O1553" s="4" t="str">
        <f t="shared" si="75"/>
        <v/>
      </c>
      <c r="P1553" s="59" t="str">
        <f t="shared" si="76"/>
        <v/>
      </c>
    </row>
    <row r="1554" spans="4:16" ht="22.5" customHeight="1" x14ac:dyDescent="0.25">
      <c r="D1554" s="59" t="str">
        <f t="shared" si="74"/>
        <v/>
      </c>
      <c r="O1554" s="4" t="str">
        <f t="shared" si="75"/>
        <v/>
      </c>
      <c r="P1554" s="59" t="str">
        <f t="shared" si="76"/>
        <v/>
      </c>
    </row>
    <row r="1555" spans="4:16" ht="22.5" customHeight="1" x14ac:dyDescent="0.25">
      <c r="D1555" s="59" t="str">
        <f t="shared" si="74"/>
        <v/>
      </c>
      <c r="O1555" s="4" t="str">
        <f t="shared" si="75"/>
        <v/>
      </c>
      <c r="P1555" s="59" t="str">
        <f t="shared" si="76"/>
        <v/>
      </c>
    </row>
    <row r="1556" spans="4:16" ht="22.5" customHeight="1" x14ac:dyDescent="0.25">
      <c r="D1556" s="59" t="str">
        <f t="shared" si="74"/>
        <v/>
      </c>
      <c r="O1556" s="4" t="str">
        <f t="shared" si="75"/>
        <v/>
      </c>
      <c r="P1556" s="59" t="str">
        <f t="shared" si="76"/>
        <v/>
      </c>
    </row>
    <row r="1557" spans="4:16" ht="22.5" customHeight="1" x14ac:dyDescent="0.25">
      <c r="D1557" s="59" t="str">
        <f t="shared" si="74"/>
        <v/>
      </c>
      <c r="O1557" s="4" t="str">
        <f t="shared" si="75"/>
        <v/>
      </c>
      <c r="P1557" s="59" t="str">
        <f t="shared" si="76"/>
        <v/>
      </c>
    </row>
    <row r="1558" spans="4:16" ht="22.5" customHeight="1" x14ac:dyDescent="0.25">
      <c r="D1558" s="59" t="str">
        <f t="shared" si="74"/>
        <v/>
      </c>
      <c r="O1558" s="4" t="str">
        <f t="shared" si="75"/>
        <v/>
      </c>
      <c r="P1558" s="59" t="str">
        <f t="shared" si="76"/>
        <v/>
      </c>
    </row>
    <row r="1559" spans="4:16" ht="22.5" customHeight="1" x14ac:dyDescent="0.25">
      <c r="D1559" s="59" t="str">
        <f t="shared" si="74"/>
        <v/>
      </c>
      <c r="O1559" s="4" t="str">
        <f t="shared" si="75"/>
        <v/>
      </c>
      <c r="P1559" s="59" t="str">
        <f t="shared" si="76"/>
        <v/>
      </c>
    </row>
    <row r="1560" spans="4:16" ht="22.5" customHeight="1" x14ac:dyDescent="0.25">
      <c r="D1560" s="59" t="str">
        <f t="shared" si="74"/>
        <v/>
      </c>
      <c r="O1560" s="4" t="str">
        <f t="shared" si="75"/>
        <v/>
      </c>
      <c r="P1560" s="59" t="str">
        <f t="shared" si="76"/>
        <v/>
      </c>
    </row>
    <row r="1561" spans="4:16" ht="22.5" customHeight="1" x14ac:dyDescent="0.25">
      <c r="D1561" s="59" t="str">
        <f t="shared" si="74"/>
        <v/>
      </c>
      <c r="O1561" s="4" t="str">
        <f t="shared" si="75"/>
        <v/>
      </c>
      <c r="P1561" s="59" t="str">
        <f t="shared" si="76"/>
        <v/>
      </c>
    </row>
    <row r="1562" spans="4:16" ht="22.5" customHeight="1" x14ac:dyDescent="0.25">
      <c r="D1562" s="59" t="str">
        <f t="shared" si="74"/>
        <v/>
      </c>
      <c r="O1562" s="4" t="str">
        <f t="shared" si="75"/>
        <v/>
      </c>
      <c r="P1562" s="59" t="str">
        <f t="shared" si="76"/>
        <v/>
      </c>
    </row>
    <row r="1563" spans="4:16" ht="22.5" customHeight="1" x14ac:dyDescent="0.25">
      <c r="D1563" s="59" t="str">
        <f t="shared" si="74"/>
        <v/>
      </c>
      <c r="O1563" s="4" t="str">
        <f t="shared" si="75"/>
        <v/>
      </c>
      <c r="P1563" s="59" t="str">
        <f t="shared" si="76"/>
        <v/>
      </c>
    </row>
    <row r="1564" spans="4:16" ht="22.5" customHeight="1" x14ac:dyDescent="0.25">
      <c r="D1564" s="59" t="str">
        <f t="shared" ref="D1564:D1627" si="77">IF(AND(I1564&lt;&gt;"",J1564&lt;&gt;""), I1564*J1564, "")</f>
        <v/>
      </c>
      <c r="O1564" s="4" t="str">
        <f t="shared" ref="O1564:O1627" si="78">IF(OR(D1564="", N1564=""), "", ROUND(D1564 * N1564 / 100, 2))</f>
        <v/>
      </c>
      <c r="P1564" s="59" t="str">
        <f t="shared" ref="P1564:P1627" si="79">IF(D1564="", "", D1564 + O1564)</f>
        <v/>
      </c>
    </row>
    <row r="1565" spans="4:16" ht="22.5" customHeight="1" x14ac:dyDescent="0.25">
      <c r="D1565" s="59" t="str">
        <f t="shared" si="77"/>
        <v/>
      </c>
      <c r="O1565" s="4" t="str">
        <f t="shared" si="78"/>
        <v/>
      </c>
      <c r="P1565" s="59" t="str">
        <f t="shared" si="79"/>
        <v/>
      </c>
    </row>
    <row r="1566" spans="4:16" ht="22.5" customHeight="1" x14ac:dyDescent="0.25">
      <c r="D1566" s="59" t="str">
        <f t="shared" si="77"/>
        <v/>
      </c>
      <c r="O1566" s="4" t="str">
        <f t="shared" si="78"/>
        <v/>
      </c>
      <c r="P1566" s="59" t="str">
        <f t="shared" si="79"/>
        <v/>
      </c>
    </row>
    <row r="1567" spans="4:16" ht="22.5" customHeight="1" x14ac:dyDescent="0.25">
      <c r="D1567" s="59" t="str">
        <f t="shared" si="77"/>
        <v/>
      </c>
      <c r="O1567" s="4" t="str">
        <f t="shared" si="78"/>
        <v/>
      </c>
      <c r="P1567" s="59" t="str">
        <f t="shared" si="79"/>
        <v/>
      </c>
    </row>
    <row r="1568" spans="4:16" ht="22.5" customHeight="1" x14ac:dyDescent="0.25">
      <c r="D1568" s="59" t="str">
        <f t="shared" si="77"/>
        <v/>
      </c>
      <c r="O1568" s="4" t="str">
        <f t="shared" si="78"/>
        <v/>
      </c>
      <c r="P1568" s="59" t="str">
        <f t="shared" si="79"/>
        <v/>
      </c>
    </row>
    <row r="1569" spans="4:16" ht="22.5" customHeight="1" x14ac:dyDescent="0.25">
      <c r="D1569" s="59" t="str">
        <f t="shared" si="77"/>
        <v/>
      </c>
      <c r="O1569" s="4" t="str">
        <f t="shared" si="78"/>
        <v/>
      </c>
      <c r="P1569" s="59" t="str">
        <f t="shared" si="79"/>
        <v/>
      </c>
    </row>
    <row r="1570" spans="4:16" ht="22.5" customHeight="1" x14ac:dyDescent="0.25">
      <c r="D1570" s="59" t="str">
        <f t="shared" si="77"/>
        <v/>
      </c>
      <c r="O1570" s="4" t="str">
        <f t="shared" si="78"/>
        <v/>
      </c>
      <c r="P1570" s="59" t="str">
        <f t="shared" si="79"/>
        <v/>
      </c>
    </row>
    <row r="1571" spans="4:16" ht="22.5" customHeight="1" x14ac:dyDescent="0.25">
      <c r="D1571" s="59" t="str">
        <f t="shared" si="77"/>
        <v/>
      </c>
      <c r="O1571" s="4" t="str">
        <f t="shared" si="78"/>
        <v/>
      </c>
      <c r="P1571" s="59" t="str">
        <f t="shared" si="79"/>
        <v/>
      </c>
    </row>
    <row r="1572" spans="4:16" ht="22.5" customHeight="1" x14ac:dyDescent="0.25">
      <c r="D1572" s="59" t="str">
        <f t="shared" si="77"/>
        <v/>
      </c>
      <c r="O1572" s="4" t="str">
        <f t="shared" si="78"/>
        <v/>
      </c>
      <c r="P1572" s="59" t="str">
        <f t="shared" si="79"/>
        <v/>
      </c>
    </row>
    <row r="1573" spans="4:16" ht="22.5" customHeight="1" x14ac:dyDescent="0.25">
      <c r="D1573" s="59" t="str">
        <f t="shared" si="77"/>
        <v/>
      </c>
      <c r="O1573" s="4" t="str">
        <f t="shared" si="78"/>
        <v/>
      </c>
      <c r="P1573" s="59" t="str">
        <f t="shared" si="79"/>
        <v/>
      </c>
    </row>
    <row r="1574" spans="4:16" ht="22.5" customHeight="1" x14ac:dyDescent="0.25">
      <c r="D1574" s="59" t="str">
        <f t="shared" si="77"/>
        <v/>
      </c>
      <c r="O1574" s="4" t="str">
        <f t="shared" si="78"/>
        <v/>
      </c>
      <c r="P1574" s="59" t="str">
        <f t="shared" si="79"/>
        <v/>
      </c>
    </row>
    <row r="1575" spans="4:16" ht="22.5" customHeight="1" x14ac:dyDescent="0.25">
      <c r="D1575" s="59" t="str">
        <f t="shared" si="77"/>
        <v/>
      </c>
      <c r="O1575" s="4" t="str">
        <f t="shared" si="78"/>
        <v/>
      </c>
      <c r="P1575" s="59" t="str">
        <f t="shared" si="79"/>
        <v/>
      </c>
    </row>
    <row r="1576" spans="4:16" ht="22.5" customHeight="1" x14ac:dyDescent="0.25">
      <c r="D1576" s="59" t="str">
        <f t="shared" si="77"/>
        <v/>
      </c>
      <c r="O1576" s="4" t="str">
        <f t="shared" si="78"/>
        <v/>
      </c>
      <c r="P1576" s="59" t="str">
        <f t="shared" si="79"/>
        <v/>
      </c>
    </row>
    <row r="1577" spans="4:16" ht="22.5" customHeight="1" x14ac:dyDescent="0.25">
      <c r="D1577" s="59" t="str">
        <f t="shared" si="77"/>
        <v/>
      </c>
      <c r="O1577" s="4" t="str">
        <f t="shared" si="78"/>
        <v/>
      </c>
      <c r="P1577" s="59" t="str">
        <f t="shared" si="79"/>
        <v/>
      </c>
    </row>
    <row r="1578" spans="4:16" ht="22.5" customHeight="1" x14ac:dyDescent="0.25">
      <c r="D1578" s="59" t="str">
        <f t="shared" si="77"/>
        <v/>
      </c>
      <c r="O1578" s="4" t="str">
        <f t="shared" si="78"/>
        <v/>
      </c>
      <c r="P1578" s="59" t="str">
        <f t="shared" si="79"/>
        <v/>
      </c>
    </row>
    <row r="1579" spans="4:16" ht="22.5" customHeight="1" x14ac:dyDescent="0.25">
      <c r="D1579" s="59" t="str">
        <f t="shared" si="77"/>
        <v/>
      </c>
      <c r="O1579" s="4" t="str">
        <f t="shared" si="78"/>
        <v/>
      </c>
      <c r="P1579" s="59" t="str">
        <f t="shared" si="79"/>
        <v/>
      </c>
    </row>
    <row r="1580" spans="4:16" ht="22.5" customHeight="1" x14ac:dyDescent="0.25">
      <c r="D1580" s="59" t="str">
        <f t="shared" si="77"/>
        <v/>
      </c>
      <c r="O1580" s="4" t="str">
        <f t="shared" si="78"/>
        <v/>
      </c>
      <c r="P1580" s="59" t="str">
        <f t="shared" si="79"/>
        <v/>
      </c>
    </row>
    <row r="1581" spans="4:16" ht="22.5" customHeight="1" x14ac:dyDescent="0.25">
      <c r="D1581" s="59" t="str">
        <f t="shared" si="77"/>
        <v/>
      </c>
      <c r="O1581" s="4" t="str">
        <f t="shared" si="78"/>
        <v/>
      </c>
      <c r="P1581" s="59" t="str">
        <f t="shared" si="79"/>
        <v/>
      </c>
    </row>
    <row r="1582" spans="4:16" ht="22.5" customHeight="1" x14ac:dyDescent="0.25">
      <c r="D1582" s="59" t="str">
        <f t="shared" si="77"/>
        <v/>
      </c>
      <c r="O1582" s="4" t="str">
        <f t="shared" si="78"/>
        <v/>
      </c>
      <c r="P1582" s="59" t="str">
        <f t="shared" si="79"/>
        <v/>
      </c>
    </row>
    <row r="1583" spans="4:16" ht="22.5" customHeight="1" x14ac:dyDescent="0.25">
      <c r="D1583" s="59" t="str">
        <f t="shared" si="77"/>
        <v/>
      </c>
      <c r="O1583" s="4" t="str">
        <f t="shared" si="78"/>
        <v/>
      </c>
      <c r="P1583" s="59" t="str">
        <f t="shared" si="79"/>
        <v/>
      </c>
    </row>
    <row r="1584" spans="4:16" ht="22.5" customHeight="1" x14ac:dyDescent="0.25">
      <c r="D1584" s="59" t="str">
        <f t="shared" si="77"/>
        <v/>
      </c>
      <c r="O1584" s="4" t="str">
        <f t="shared" si="78"/>
        <v/>
      </c>
      <c r="P1584" s="59" t="str">
        <f t="shared" si="79"/>
        <v/>
      </c>
    </row>
    <row r="1585" spans="4:16" ht="22.5" customHeight="1" x14ac:dyDescent="0.25">
      <c r="D1585" s="59" t="str">
        <f t="shared" si="77"/>
        <v/>
      </c>
      <c r="O1585" s="4" t="str">
        <f t="shared" si="78"/>
        <v/>
      </c>
      <c r="P1585" s="59" t="str">
        <f t="shared" si="79"/>
        <v/>
      </c>
    </row>
    <row r="1586" spans="4:16" ht="22.5" customHeight="1" x14ac:dyDescent="0.25">
      <c r="D1586" s="59" t="str">
        <f t="shared" si="77"/>
        <v/>
      </c>
      <c r="O1586" s="4" t="str">
        <f t="shared" si="78"/>
        <v/>
      </c>
      <c r="P1586" s="59" t="str">
        <f t="shared" si="79"/>
        <v/>
      </c>
    </row>
    <row r="1587" spans="4:16" ht="22.5" customHeight="1" x14ac:dyDescent="0.25">
      <c r="D1587" s="59" t="str">
        <f t="shared" si="77"/>
        <v/>
      </c>
      <c r="O1587" s="4" t="str">
        <f t="shared" si="78"/>
        <v/>
      </c>
      <c r="P1587" s="59" t="str">
        <f t="shared" si="79"/>
        <v/>
      </c>
    </row>
    <row r="1588" spans="4:16" ht="22.5" customHeight="1" x14ac:dyDescent="0.25">
      <c r="D1588" s="59" t="str">
        <f t="shared" si="77"/>
        <v/>
      </c>
      <c r="O1588" s="4" t="str">
        <f t="shared" si="78"/>
        <v/>
      </c>
      <c r="P1588" s="59" t="str">
        <f t="shared" si="79"/>
        <v/>
      </c>
    </row>
    <row r="1589" spans="4:16" ht="22.5" customHeight="1" x14ac:dyDescent="0.25">
      <c r="D1589" s="59" t="str">
        <f t="shared" si="77"/>
        <v/>
      </c>
      <c r="O1589" s="4" t="str">
        <f t="shared" si="78"/>
        <v/>
      </c>
      <c r="P1589" s="59" t="str">
        <f t="shared" si="79"/>
        <v/>
      </c>
    </row>
    <row r="1590" spans="4:16" ht="22.5" customHeight="1" x14ac:dyDescent="0.25">
      <c r="D1590" s="59" t="str">
        <f t="shared" si="77"/>
        <v/>
      </c>
      <c r="O1590" s="4" t="str">
        <f t="shared" si="78"/>
        <v/>
      </c>
      <c r="P1590" s="59" t="str">
        <f t="shared" si="79"/>
        <v/>
      </c>
    </row>
    <row r="1591" spans="4:16" ht="22.5" customHeight="1" x14ac:dyDescent="0.25">
      <c r="D1591" s="59" t="str">
        <f t="shared" si="77"/>
        <v/>
      </c>
      <c r="O1591" s="4" t="str">
        <f t="shared" si="78"/>
        <v/>
      </c>
      <c r="P1591" s="59" t="str">
        <f t="shared" si="79"/>
        <v/>
      </c>
    </row>
    <row r="1592" spans="4:16" ht="22.5" customHeight="1" x14ac:dyDescent="0.25">
      <c r="D1592" s="59" t="str">
        <f t="shared" si="77"/>
        <v/>
      </c>
      <c r="O1592" s="4" t="str">
        <f t="shared" si="78"/>
        <v/>
      </c>
      <c r="P1592" s="59" t="str">
        <f t="shared" si="79"/>
        <v/>
      </c>
    </row>
    <row r="1593" spans="4:16" ht="22.5" customHeight="1" x14ac:dyDescent="0.25">
      <c r="D1593" s="59" t="str">
        <f t="shared" si="77"/>
        <v/>
      </c>
      <c r="O1593" s="4" t="str">
        <f t="shared" si="78"/>
        <v/>
      </c>
      <c r="P1593" s="59" t="str">
        <f t="shared" si="79"/>
        <v/>
      </c>
    </row>
    <row r="1594" spans="4:16" ht="22.5" customHeight="1" x14ac:dyDescent="0.25">
      <c r="D1594" s="59" t="str">
        <f t="shared" si="77"/>
        <v/>
      </c>
      <c r="O1594" s="4" t="str">
        <f t="shared" si="78"/>
        <v/>
      </c>
      <c r="P1594" s="59" t="str">
        <f t="shared" si="79"/>
        <v/>
      </c>
    </row>
    <row r="1595" spans="4:16" ht="22.5" customHeight="1" x14ac:dyDescent="0.25">
      <c r="D1595" s="59" t="str">
        <f t="shared" si="77"/>
        <v/>
      </c>
      <c r="O1595" s="4" t="str">
        <f t="shared" si="78"/>
        <v/>
      </c>
      <c r="P1595" s="59" t="str">
        <f t="shared" si="79"/>
        <v/>
      </c>
    </row>
    <row r="1596" spans="4:16" ht="22.5" customHeight="1" x14ac:dyDescent="0.25">
      <c r="D1596" s="59" t="str">
        <f t="shared" si="77"/>
        <v/>
      </c>
      <c r="O1596" s="4" t="str">
        <f t="shared" si="78"/>
        <v/>
      </c>
      <c r="P1596" s="59" t="str">
        <f t="shared" si="79"/>
        <v/>
      </c>
    </row>
    <row r="1597" spans="4:16" ht="22.5" customHeight="1" x14ac:dyDescent="0.25">
      <c r="D1597" s="59" t="str">
        <f t="shared" si="77"/>
        <v/>
      </c>
      <c r="O1597" s="4" t="str">
        <f t="shared" si="78"/>
        <v/>
      </c>
      <c r="P1597" s="59" t="str">
        <f t="shared" si="79"/>
        <v/>
      </c>
    </row>
    <row r="1598" spans="4:16" ht="22.5" customHeight="1" x14ac:dyDescent="0.25">
      <c r="D1598" s="59" t="str">
        <f t="shared" si="77"/>
        <v/>
      </c>
      <c r="O1598" s="4" t="str">
        <f t="shared" si="78"/>
        <v/>
      </c>
      <c r="P1598" s="59" t="str">
        <f t="shared" si="79"/>
        <v/>
      </c>
    </row>
    <row r="1599" spans="4:16" ht="22.5" customHeight="1" x14ac:dyDescent="0.25">
      <c r="D1599" s="59" t="str">
        <f t="shared" si="77"/>
        <v/>
      </c>
      <c r="O1599" s="4" t="str">
        <f t="shared" si="78"/>
        <v/>
      </c>
      <c r="P1599" s="59" t="str">
        <f t="shared" si="79"/>
        <v/>
      </c>
    </row>
    <row r="1600" spans="4:16" ht="22.5" customHeight="1" x14ac:dyDescent="0.25">
      <c r="D1600" s="59" t="str">
        <f t="shared" si="77"/>
        <v/>
      </c>
      <c r="O1600" s="4" t="str">
        <f t="shared" si="78"/>
        <v/>
      </c>
      <c r="P1600" s="59" t="str">
        <f t="shared" si="79"/>
        <v/>
      </c>
    </row>
    <row r="1601" spans="4:16" ht="22.5" customHeight="1" x14ac:dyDescent="0.25">
      <c r="D1601" s="59" t="str">
        <f t="shared" si="77"/>
        <v/>
      </c>
      <c r="O1601" s="4" t="str">
        <f t="shared" si="78"/>
        <v/>
      </c>
      <c r="P1601" s="59" t="str">
        <f t="shared" si="79"/>
        <v/>
      </c>
    </row>
    <row r="1602" spans="4:16" ht="22.5" customHeight="1" x14ac:dyDescent="0.25">
      <c r="D1602" s="59" t="str">
        <f t="shared" si="77"/>
        <v/>
      </c>
      <c r="O1602" s="4" t="str">
        <f t="shared" si="78"/>
        <v/>
      </c>
      <c r="P1602" s="59" t="str">
        <f t="shared" si="79"/>
        <v/>
      </c>
    </row>
    <row r="1603" spans="4:16" ht="22.5" customHeight="1" x14ac:dyDescent="0.25">
      <c r="D1603" s="59" t="str">
        <f t="shared" si="77"/>
        <v/>
      </c>
      <c r="O1603" s="4" t="str">
        <f t="shared" si="78"/>
        <v/>
      </c>
      <c r="P1603" s="59" t="str">
        <f t="shared" si="79"/>
        <v/>
      </c>
    </row>
    <row r="1604" spans="4:16" ht="22.5" customHeight="1" x14ac:dyDescent="0.25">
      <c r="D1604" s="59" t="str">
        <f t="shared" si="77"/>
        <v/>
      </c>
      <c r="O1604" s="4" t="str">
        <f t="shared" si="78"/>
        <v/>
      </c>
      <c r="P1604" s="59" t="str">
        <f t="shared" si="79"/>
        <v/>
      </c>
    </row>
    <row r="1605" spans="4:16" ht="22.5" customHeight="1" x14ac:dyDescent="0.25">
      <c r="D1605" s="59" t="str">
        <f t="shared" si="77"/>
        <v/>
      </c>
      <c r="O1605" s="4" t="str">
        <f t="shared" si="78"/>
        <v/>
      </c>
      <c r="P1605" s="59" t="str">
        <f t="shared" si="79"/>
        <v/>
      </c>
    </row>
    <row r="1606" spans="4:16" ht="22.5" customHeight="1" x14ac:dyDescent="0.25">
      <c r="D1606" s="59" t="str">
        <f t="shared" si="77"/>
        <v/>
      </c>
      <c r="O1606" s="4" t="str">
        <f t="shared" si="78"/>
        <v/>
      </c>
      <c r="P1606" s="59" t="str">
        <f t="shared" si="79"/>
        <v/>
      </c>
    </row>
    <row r="1607" spans="4:16" ht="22.5" customHeight="1" x14ac:dyDescent="0.25">
      <c r="D1607" s="59" t="str">
        <f t="shared" si="77"/>
        <v/>
      </c>
      <c r="O1607" s="4" t="str">
        <f t="shared" si="78"/>
        <v/>
      </c>
      <c r="P1607" s="59" t="str">
        <f t="shared" si="79"/>
        <v/>
      </c>
    </row>
    <row r="1608" spans="4:16" ht="22.5" customHeight="1" x14ac:dyDescent="0.25">
      <c r="D1608" s="59" t="str">
        <f t="shared" si="77"/>
        <v/>
      </c>
      <c r="O1608" s="4" t="str">
        <f t="shared" si="78"/>
        <v/>
      </c>
      <c r="P1608" s="59" t="str">
        <f t="shared" si="79"/>
        <v/>
      </c>
    </row>
    <row r="1609" spans="4:16" ht="22.5" customHeight="1" x14ac:dyDescent="0.25">
      <c r="D1609" s="59" t="str">
        <f t="shared" si="77"/>
        <v/>
      </c>
      <c r="O1609" s="4" t="str">
        <f t="shared" si="78"/>
        <v/>
      </c>
      <c r="P1609" s="59" t="str">
        <f t="shared" si="79"/>
        <v/>
      </c>
    </row>
    <row r="1610" spans="4:16" ht="22.5" customHeight="1" x14ac:dyDescent="0.25">
      <c r="D1610" s="59" t="str">
        <f t="shared" si="77"/>
        <v/>
      </c>
      <c r="O1610" s="4" t="str">
        <f t="shared" si="78"/>
        <v/>
      </c>
      <c r="P1610" s="59" t="str">
        <f t="shared" si="79"/>
        <v/>
      </c>
    </row>
    <row r="1611" spans="4:16" ht="22.5" customHeight="1" x14ac:dyDescent="0.25">
      <c r="D1611" s="59" t="str">
        <f t="shared" si="77"/>
        <v/>
      </c>
      <c r="O1611" s="4" t="str">
        <f t="shared" si="78"/>
        <v/>
      </c>
      <c r="P1611" s="59" t="str">
        <f t="shared" si="79"/>
        <v/>
      </c>
    </row>
    <row r="1612" spans="4:16" ht="22.5" customHeight="1" x14ac:dyDescent="0.25">
      <c r="D1612" s="59" t="str">
        <f t="shared" si="77"/>
        <v/>
      </c>
      <c r="O1612" s="4" t="str">
        <f t="shared" si="78"/>
        <v/>
      </c>
      <c r="P1612" s="59" t="str">
        <f t="shared" si="79"/>
        <v/>
      </c>
    </row>
    <row r="1613" spans="4:16" ht="22.5" customHeight="1" x14ac:dyDescent="0.25">
      <c r="D1613" s="59" t="str">
        <f t="shared" si="77"/>
        <v/>
      </c>
      <c r="O1613" s="4" t="str">
        <f t="shared" si="78"/>
        <v/>
      </c>
      <c r="P1613" s="59" t="str">
        <f t="shared" si="79"/>
        <v/>
      </c>
    </row>
    <row r="1614" spans="4:16" ht="22.5" customHeight="1" x14ac:dyDescent="0.25">
      <c r="D1614" s="59" t="str">
        <f t="shared" si="77"/>
        <v/>
      </c>
      <c r="O1614" s="4" t="str">
        <f t="shared" si="78"/>
        <v/>
      </c>
      <c r="P1614" s="59" t="str">
        <f t="shared" si="79"/>
        <v/>
      </c>
    </row>
    <row r="1615" spans="4:16" ht="22.5" customHeight="1" x14ac:dyDescent="0.25">
      <c r="D1615" s="59" t="str">
        <f t="shared" si="77"/>
        <v/>
      </c>
      <c r="O1615" s="4" t="str">
        <f t="shared" si="78"/>
        <v/>
      </c>
      <c r="P1615" s="59" t="str">
        <f t="shared" si="79"/>
        <v/>
      </c>
    </row>
    <row r="1616" spans="4:16" ht="22.5" customHeight="1" x14ac:dyDescent="0.25">
      <c r="D1616" s="59" t="str">
        <f t="shared" si="77"/>
        <v/>
      </c>
      <c r="O1616" s="4" t="str">
        <f t="shared" si="78"/>
        <v/>
      </c>
      <c r="P1616" s="59" t="str">
        <f t="shared" si="79"/>
        <v/>
      </c>
    </row>
    <row r="1617" spans="4:16" ht="22.5" customHeight="1" x14ac:dyDescent="0.25">
      <c r="D1617" s="59" t="str">
        <f t="shared" si="77"/>
        <v/>
      </c>
      <c r="O1617" s="4" t="str">
        <f t="shared" si="78"/>
        <v/>
      </c>
      <c r="P1617" s="59" t="str">
        <f t="shared" si="79"/>
        <v/>
      </c>
    </row>
    <row r="1618" spans="4:16" ht="22.5" customHeight="1" x14ac:dyDescent="0.25">
      <c r="D1618" s="59" t="str">
        <f t="shared" si="77"/>
        <v/>
      </c>
      <c r="O1618" s="4" t="str">
        <f t="shared" si="78"/>
        <v/>
      </c>
      <c r="P1618" s="59" t="str">
        <f t="shared" si="79"/>
        <v/>
      </c>
    </row>
    <row r="1619" spans="4:16" ht="22.5" customHeight="1" x14ac:dyDescent="0.25">
      <c r="D1619" s="59" t="str">
        <f t="shared" si="77"/>
        <v/>
      </c>
      <c r="O1619" s="4" t="str">
        <f t="shared" si="78"/>
        <v/>
      </c>
      <c r="P1619" s="59" t="str">
        <f t="shared" si="79"/>
        <v/>
      </c>
    </row>
    <row r="1620" spans="4:16" ht="22.5" customHeight="1" x14ac:dyDescent="0.25">
      <c r="D1620" s="59" t="str">
        <f t="shared" si="77"/>
        <v/>
      </c>
      <c r="O1620" s="4" t="str">
        <f t="shared" si="78"/>
        <v/>
      </c>
      <c r="P1620" s="59" t="str">
        <f t="shared" si="79"/>
        <v/>
      </c>
    </row>
    <row r="1621" spans="4:16" ht="22.5" customHeight="1" x14ac:dyDescent="0.25">
      <c r="D1621" s="59" t="str">
        <f t="shared" si="77"/>
        <v/>
      </c>
      <c r="O1621" s="4" t="str">
        <f t="shared" si="78"/>
        <v/>
      </c>
      <c r="P1621" s="59" t="str">
        <f t="shared" si="79"/>
        <v/>
      </c>
    </row>
    <row r="1622" spans="4:16" ht="22.5" customHeight="1" x14ac:dyDescent="0.25">
      <c r="D1622" s="59" t="str">
        <f t="shared" si="77"/>
        <v/>
      </c>
      <c r="O1622" s="4" t="str">
        <f t="shared" si="78"/>
        <v/>
      </c>
      <c r="P1622" s="59" t="str">
        <f t="shared" si="79"/>
        <v/>
      </c>
    </row>
    <row r="1623" spans="4:16" ht="22.5" customHeight="1" x14ac:dyDescent="0.25">
      <c r="D1623" s="59" t="str">
        <f t="shared" si="77"/>
        <v/>
      </c>
      <c r="O1623" s="4" t="str">
        <f t="shared" si="78"/>
        <v/>
      </c>
      <c r="P1623" s="59" t="str">
        <f t="shared" si="79"/>
        <v/>
      </c>
    </row>
    <row r="1624" spans="4:16" ht="22.5" customHeight="1" x14ac:dyDescent="0.25">
      <c r="D1624" s="59" t="str">
        <f t="shared" si="77"/>
        <v/>
      </c>
      <c r="O1624" s="4" t="str">
        <f t="shared" si="78"/>
        <v/>
      </c>
      <c r="P1624" s="59" t="str">
        <f t="shared" si="79"/>
        <v/>
      </c>
    </row>
    <row r="1625" spans="4:16" ht="22.5" customHeight="1" x14ac:dyDescent="0.25">
      <c r="D1625" s="59" t="str">
        <f t="shared" si="77"/>
        <v/>
      </c>
      <c r="O1625" s="4" t="str">
        <f t="shared" si="78"/>
        <v/>
      </c>
      <c r="P1625" s="59" t="str">
        <f t="shared" si="79"/>
        <v/>
      </c>
    </row>
    <row r="1626" spans="4:16" ht="22.5" customHeight="1" x14ac:dyDescent="0.25">
      <c r="D1626" s="59" t="str">
        <f t="shared" si="77"/>
        <v/>
      </c>
      <c r="O1626" s="4" t="str">
        <f t="shared" si="78"/>
        <v/>
      </c>
      <c r="P1626" s="59" t="str">
        <f t="shared" si="79"/>
        <v/>
      </c>
    </row>
    <row r="1627" spans="4:16" ht="22.5" customHeight="1" x14ac:dyDescent="0.25">
      <c r="D1627" s="59" t="str">
        <f t="shared" si="77"/>
        <v/>
      </c>
      <c r="O1627" s="4" t="str">
        <f t="shared" si="78"/>
        <v/>
      </c>
      <c r="P1627" s="59" t="str">
        <f t="shared" si="79"/>
        <v/>
      </c>
    </row>
    <row r="1628" spans="4:16" ht="22.5" customHeight="1" x14ac:dyDescent="0.25">
      <c r="D1628" s="59" t="str">
        <f t="shared" ref="D1628:D1691" si="80">IF(AND(I1628&lt;&gt;"",J1628&lt;&gt;""), I1628*J1628, "")</f>
        <v/>
      </c>
      <c r="O1628" s="4" t="str">
        <f t="shared" ref="O1628:O1691" si="81">IF(OR(D1628="", N1628=""), "", ROUND(D1628 * N1628 / 100, 2))</f>
        <v/>
      </c>
      <c r="P1628" s="59" t="str">
        <f t="shared" ref="P1628:P1691" si="82">IF(D1628="", "", D1628 + O1628)</f>
        <v/>
      </c>
    </row>
    <row r="1629" spans="4:16" ht="22.5" customHeight="1" x14ac:dyDescent="0.25">
      <c r="D1629" s="59" t="str">
        <f t="shared" si="80"/>
        <v/>
      </c>
      <c r="O1629" s="4" t="str">
        <f t="shared" si="81"/>
        <v/>
      </c>
      <c r="P1629" s="59" t="str">
        <f t="shared" si="82"/>
        <v/>
      </c>
    </row>
    <row r="1630" spans="4:16" ht="22.5" customHeight="1" x14ac:dyDescent="0.25">
      <c r="D1630" s="59" t="str">
        <f t="shared" si="80"/>
        <v/>
      </c>
      <c r="O1630" s="4" t="str">
        <f t="shared" si="81"/>
        <v/>
      </c>
      <c r="P1630" s="59" t="str">
        <f t="shared" si="82"/>
        <v/>
      </c>
    </row>
    <row r="1631" spans="4:16" ht="22.5" customHeight="1" x14ac:dyDescent="0.25">
      <c r="D1631" s="59" t="str">
        <f t="shared" si="80"/>
        <v/>
      </c>
      <c r="O1631" s="4" t="str">
        <f t="shared" si="81"/>
        <v/>
      </c>
      <c r="P1631" s="59" t="str">
        <f t="shared" si="82"/>
        <v/>
      </c>
    </row>
    <row r="1632" spans="4:16" ht="22.5" customHeight="1" x14ac:dyDescent="0.25">
      <c r="D1632" s="59" t="str">
        <f t="shared" si="80"/>
        <v/>
      </c>
      <c r="O1632" s="4" t="str">
        <f t="shared" si="81"/>
        <v/>
      </c>
      <c r="P1632" s="59" t="str">
        <f t="shared" si="82"/>
        <v/>
      </c>
    </row>
    <row r="1633" spans="4:16" ht="22.5" customHeight="1" x14ac:dyDescent="0.25">
      <c r="D1633" s="59" t="str">
        <f t="shared" si="80"/>
        <v/>
      </c>
      <c r="O1633" s="4" t="str">
        <f t="shared" si="81"/>
        <v/>
      </c>
      <c r="P1633" s="59" t="str">
        <f t="shared" si="82"/>
        <v/>
      </c>
    </row>
    <row r="1634" spans="4:16" ht="22.5" customHeight="1" x14ac:dyDescent="0.25">
      <c r="D1634" s="59" t="str">
        <f t="shared" si="80"/>
        <v/>
      </c>
      <c r="O1634" s="4" t="str">
        <f t="shared" si="81"/>
        <v/>
      </c>
      <c r="P1634" s="59" t="str">
        <f t="shared" si="82"/>
        <v/>
      </c>
    </row>
    <row r="1635" spans="4:16" ht="22.5" customHeight="1" x14ac:dyDescent="0.25">
      <c r="D1635" s="59" t="str">
        <f t="shared" si="80"/>
        <v/>
      </c>
      <c r="O1635" s="4" t="str">
        <f t="shared" si="81"/>
        <v/>
      </c>
      <c r="P1635" s="59" t="str">
        <f t="shared" si="82"/>
        <v/>
      </c>
    </row>
    <row r="1636" spans="4:16" ht="22.5" customHeight="1" x14ac:dyDescent="0.25">
      <c r="D1636" s="59" t="str">
        <f t="shared" si="80"/>
        <v/>
      </c>
      <c r="O1636" s="4" t="str">
        <f t="shared" si="81"/>
        <v/>
      </c>
      <c r="P1636" s="59" t="str">
        <f t="shared" si="82"/>
        <v/>
      </c>
    </row>
    <row r="1637" spans="4:16" ht="22.5" customHeight="1" x14ac:dyDescent="0.25">
      <c r="D1637" s="59" t="str">
        <f t="shared" si="80"/>
        <v/>
      </c>
      <c r="O1637" s="4" t="str">
        <f t="shared" si="81"/>
        <v/>
      </c>
      <c r="P1637" s="59" t="str">
        <f t="shared" si="82"/>
        <v/>
      </c>
    </row>
    <row r="1638" spans="4:16" ht="22.5" customHeight="1" x14ac:dyDescent="0.25">
      <c r="D1638" s="59" t="str">
        <f t="shared" si="80"/>
        <v/>
      </c>
      <c r="O1638" s="4" t="str">
        <f t="shared" si="81"/>
        <v/>
      </c>
      <c r="P1638" s="59" t="str">
        <f t="shared" si="82"/>
        <v/>
      </c>
    </row>
    <row r="1639" spans="4:16" ht="22.5" customHeight="1" x14ac:dyDescent="0.25">
      <c r="D1639" s="59" t="str">
        <f t="shared" si="80"/>
        <v/>
      </c>
      <c r="O1639" s="4" t="str">
        <f t="shared" si="81"/>
        <v/>
      </c>
      <c r="P1639" s="59" t="str">
        <f t="shared" si="82"/>
        <v/>
      </c>
    </row>
    <row r="1640" spans="4:16" ht="22.5" customHeight="1" x14ac:dyDescent="0.25">
      <c r="D1640" s="59" t="str">
        <f t="shared" si="80"/>
        <v/>
      </c>
      <c r="O1640" s="4" t="str">
        <f t="shared" si="81"/>
        <v/>
      </c>
      <c r="P1640" s="59" t="str">
        <f t="shared" si="82"/>
        <v/>
      </c>
    </row>
    <row r="1641" spans="4:16" ht="22.5" customHeight="1" x14ac:dyDescent="0.25">
      <c r="D1641" s="59" t="str">
        <f t="shared" si="80"/>
        <v/>
      </c>
      <c r="O1641" s="4" t="str">
        <f t="shared" si="81"/>
        <v/>
      </c>
      <c r="P1641" s="59" t="str">
        <f t="shared" si="82"/>
        <v/>
      </c>
    </row>
    <row r="1642" spans="4:16" ht="22.5" customHeight="1" x14ac:dyDescent="0.25">
      <c r="D1642" s="59" t="str">
        <f t="shared" si="80"/>
        <v/>
      </c>
      <c r="O1642" s="4" t="str">
        <f t="shared" si="81"/>
        <v/>
      </c>
      <c r="P1642" s="59" t="str">
        <f t="shared" si="82"/>
        <v/>
      </c>
    </row>
    <row r="1643" spans="4:16" ht="22.5" customHeight="1" x14ac:dyDescent="0.25">
      <c r="D1643" s="59" t="str">
        <f t="shared" si="80"/>
        <v/>
      </c>
      <c r="O1643" s="4" t="str">
        <f t="shared" si="81"/>
        <v/>
      </c>
      <c r="P1643" s="59" t="str">
        <f t="shared" si="82"/>
        <v/>
      </c>
    </row>
    <row r="1644" spans="4:16" ht="22.5" customHeight="1" x14ac:dyDescent="0.25">
      <c r="D1644" s="59" t="str">
        <f t="shared" si="80"/>
        <v/>
      </c>
      <c r="O1644" s="4" t="str">
        <f t="shared" si="81"/>
        <v/>
      </c>
      <c r="P1644" s="59" t="str">
        <f t="shared" si="82"/>
        <v/>
      </c>
    </row>
    <row r="1645" spans="4:16" ht="22.5" customHeight="1" x14ac:dyDescent="0.25">
      <c r="D1645" s="59" t="str">
        <f t="shared" si="80"/>
        <v/>
      </c>
      <c r="O1645" s="4" t="str">
        <f t="shared" si="81"/>
        <v/>
      </c>
      <c r="P1645" s="59" t="str">
        <f t="shared" si="82"/>
        <v/>
      </c>
    </row>
    <row r="1646" spans="4:16" ht="22.5" customHeight="1" x14ac:dyDescent="0.25">
      <c r="D1646" s="59" t="str">
        <f t="shared" si="80"/>
        <v/>
      </c>
      <c r="O1646" s="4" t="str">
        <f t="shared" si="81"/>
        <v/>
      </c>
      <c r="P1646" s="59" t="str">
        <f t="shared" si="82"/>
        <v/>
      </c>
    </row>
    <row r="1647" spans="4:16" ht="22.5" customHeight="1" x14ac:dyDescent="0.25">
      <c r="D1647" s="59" t="str">
        <f t="shared" si="80"/>
        <v/>
      </c>
      <c r="O1647" s="4" t="str">
        <f t="shared" si="81"/>
        <v/>
      </c>
      <c r="P1647" s="59" t="str">
        <f t="shared" si="82"/>
        <v/>
      </c>
    </row>
    <row r="1648" spans="4:16" ht="22.5" customHeight="1" x14ac:dyDescent="0.25">
      <c r="D1648" s="59" t="str">
        <f t="shared" si="80"/>
        <v/>
      </c>
      <c r="O1648" s="4" t="str">
        <f t="shared" si="81"/>
        <v/>
      </c>
      <c r="P1648" s="59" t="str">
        <f t="shared" si="82"/>
        <v/>
      </c>
    </row>
    <row r="1649" spans="4:16" ht="22.5" customHeight="1" x14ac:dyDescent="0.25">
      <c r="D1649" s="59" t="str">
        <f t="shared" si="80"/>
        <v/>
      </c>
      <c r="O1649" s="4" t="str">
        <f t="shared" si="81"/>
        <v/>
      </c>
      <c r="P1649" s="59" t="str">
        <f t="shared" si="82"/>
        <v/>
      </c>
    </row>
    <row r="1650" spans="4:16" ht="22.5" customHeight="1" x14ac:dyDescent="0.25">
      <c r="D1650" s="59" t="str">
        <f t="shared" si="80"/>
        <v/>
      </c>
      <c r="O1650" s="4" t="str">
        <f t="shared" si="81"/>
        <v/>
      </c>
      <c r="P1650" s="59" t="str">
        <f t="shared" si="82"/>
        <v/>
      </c>
    </row>
    <row r="1651" spans="4:16" ht="22.5" customHeight="1" x14ac:dyDescent="0.25">
      <c r="D1651" s="59" t="str">
        <f t="shared" si="80"/>
        <v/>
      </c>
      <c r="O1651" s="4" t="str">
        <f t="shared" si="81"/>
        <v/>
      </c>
      <c r="P1651" s="59" t="str">
        <f t="shared" si="82"/>
        <v/>
      </c>
    </row>
    <row r="1652" spans="4:16" ht="22.5" customHeight="1" x14ac:dyDescent="0.25">
      <c r="D1652" s="59" t="str">
        <f t="shared" si="80"/>
        <v/>
      </c>
      <c r="O1652" s="4" t="str">
        <f t="shared" si="81"/>
        <v/>
      </c>
      <c r="P1652" s="59" t="str">
        <f t="shared" si="82"/>
        <v/>
      </c>
    </row>
    <row r="1653" spans="4:16" ht="22.5" customHeight="1" x14ac:dyDescent="0.25">
      <c r="D1653" s="59" t="str">
        <f t="shared" si="80"/>
        <v/>
      </c>
      <c r="O1653" s="4" t="str">
        <f t="shared" si="81"/>
        <v/>
      </c>
      <c r="P1653" s="59" t="str">
        <f t="shared" si="82"/>
        <v/>
      </c>
    </row>
    <row r="1654" spans="4:16" ht="22.5" customHeight="1" x14ac:dyDescent="0.25">
      <c r="D1654" s="59" t="str">
        <f t="shared" si="80"/>
        <v/>
      </c>
      <c r="O1654" s="4" t="str">
        <f t="shared" si="81"/>
        <v/>
      </c>
      <c r="P1654" s="59" t="str">
        <f t="shared" si="82"/>
        <v/>
      </c>
    </row>
    <row r="1655" spans="4:16" ht="22.5" customHeight="1" x14ac:dyDescent="0.25">
      <c r="D1655" s="59" t="str">
        <f t="shared" si="80"/>
        <v/>
      </c>
      <c r="O1655" s="4" t="str">
        <f t="shared" si="81"/>
        <v/>
      </c>
      <c r="P1655" s="59" t="str">
        <f t="shared" si="82"/>
        <v/>
      </c>
    </row>
    <row r="1656" spans="4:16" ht="22.5" customHeight="1" x14ac:dyDescent="0.25">
      <c r="D1656" s="59" t="str">
        <f t="shared" si="80"/>
        <v/>
      </c>
      <c r="O1656" s="4" t="str">
        <f t="shared" si="81"/>
        <v/>
      </c>
      <c r="P1656" s="59" t="str">
        <f t="shared" si="82"/>
        <v/>
      </c>
    </row>
    <row r="1657" spans="4:16" ht="22.5" customHeight="1" x14ac:dyDescent="0.25">
      <c r="D1657" s="59" t="str">
        <f t="shared" si="80"/>
        <v/>
      </c>
      <c r="O1657" s="4" t="str">
        <f t="shared" si="81"/>
        <v/>
      </c>
      <c r="P1657" s="59" t="str">
        <f t="shared" si="82"/>
        <v/>
      </c>
    </row>
    <row r="1658" spans="4:16" ht="22.5" customHeight="1" x14ac:dyDescent="0.25">
      <c r="D1658" s="59" t="str">
        <f t="shared" si="80"/>
        <v/>
      </c>
      <c r="O1658" s="4" t="str">
        <f t="shared" si="81"/>
        <v/>
      </c>
      <c r="P1658" s="59" t="str">
        <f t="shared" si="82"/>
        <v/>
      </c>
    </row>
    <row r="1659" spans="4:16" ht="22.5" customHeight="1" x14ac:dyDescent="0.25">
      <c r="D1659" s="59" t="str">
        <f t="shared" si="80"/>
        <v/>
      </c>
      <c r="O1659" s="4" t="str">
        <f t="shared" si="81"/>
        <v/>
      </c>
      <c r="P1659" s="59" t="str">
        <f t="shared" si="82"/>
        <v/>
      </c>
    </row>
    <row r="1660" spans="4:16" ht="22.5" customHeight="1" x14ac:dyDescent="0.25">
      <c r="D1660" s="59" t="str">
        <f t="shared" si="80"/>
        <v/>
      </c>
      <c r="O1660" s="4" t="str">
        <f t="shared" si="81"/>
        <v/>
      </c>
      <c r="P1660" s="59" t="str">
        <f t="shared" si="82"/>
        <v/>
      </c>
    </row>
    <row r="1661" spans="4:16" ht="22.5" customHeight="1" x14ac:dyDescent="0.25">
      <c r="D1661" s="59" t="str">
        <f t="shared" si="80"/>
        <v/>
      </c>
      <c r="O1661" s="4" t="str">
        <f t="shared" si="81"/>
        <v/>
      </c>
      <c r="P1661" s="59" t="str">
        <f t="shared" si="82"/>
        <v/>
      </c>
    </row>
    <row r="1662" spans="4:16" ht="22.5" customHeight="1" x14ac:dyDescent="0.25">
      <c r="D1662" s="59" t="str">
        <f t="shared" si="80"/>
        <v/>
      </c>
      <c r="O1662" s="4" t="str">
        <f t="shared" si="81"/>
        <v/>
      </c>
      <c r="P1662" s="59" t="str">
        <f t="shared" si="82"/>
        <v/>
      </c>
    </row>
    <row r="1663" spans="4:16" ht="22.5" customHeight="1" x14ac:dyDescent="0.25">
      <c r="D1663" s="59" t="str">
        <f t="shared" si="80"/>
        <v/>
      </c>
      <c r="O1663" s="4" t="str">
        <f t="shared" si="81"/>
        <v/>
      </c>
      <c r="P1663" s="59" t="str">
        <f t="shared" si="82"/>
        <v/>
      </c>
    </row>
    <row r="1664" spans="4:16" ht="22.5" customHeight="1" x14ac:dyDescent="0.25">
      <c r="D1664" s="59" t="str">
        <f t="shared" si="80"/>
        <v/>
      </c>
      <c r="O1664" s="4" t="str">
        <f t="shared" si="81"/>
        <v/>
      </c>
      <c r="P1664" s="59" t="str">
        <f t="shared" si="82"/>
        <v/>
      </c>
    </row>
    <row r="1665" spans="4:16" ht="22.5" customHeight="1" x14ac:dyDescent="0.25">
      <c r="D1665" s="59" t="str">
        <f t="shared" si="80"/>
        <v/>
      </c>
      <c r="O1665" s="4" t="str">
        <f t="shared" si="81"/>
        <v/>
      </c>
      <c r="P1665" s="59" t="str">
        <f t="shared" si="82"/>
        <v/>
      </c>
    </row>
    <row r="1666" spans="4:16" ht="22.5" customHeight="1" x14ac:dyDescent="0.25">
      <c r="D1666" s="59" t="str">
        <f t="shared" si="80"/>
        <v/>
      </c>
      <c r="O1666" s="4" t="str">
        <f t="shared" si="81"/>
        <v/>
      </c>
      <c r="P1666" s="59" t="str">
        <f t="shared" si="82"/>
        <v/>
      </c>
    </row>
    <row r="1667" spans="4:16" ht="22.5" customHeight="1" x14ac:dyDescent="0.25">
      <c r="D1667" s="59" t="str">
        <f t="shared" si="80"/>
        <v/>
      </c>
      <c r="O1667" s="4" t="str">
        <f t="shared" si="81"/>
        <v/>
      </c>
      <c r="P1667" s="59" t="str">
        <f t="shared" si="82"/>
        <v/>
      </c>
    </row>
    <row r="1668" spans="4:16" ht="22.5" customHeight="1" x14ac:dyDescent="0.25">
      <c r="D1668" s="59" t="str">
        <f t="shared" si="80"/>
        <v/>
      </c>
      <c r="O1668" s="4" t="str">
        <f t="shared" si="81"/>
        <v/>
      </c>
      <c r="P1668" s="59" t="str">
        <f t="shared" si="82"/>
        <v/>
      </c>
    </row>
    <row r="1669" spans="4:16" ht="22.5" customHeight="1" x14ac:dyDescent="0.25">
      <c r="D1669" s="59" t="str">
        <f t="shared" si="80"/>
        <v/>
      </c>
      <c r="O1669" s="4" t="str">
        <f t="shared" si="81"/>
        <v/>
      </c>
      <c r="P1669" s="59" t="str">
        <f t="shared" si="82"/>
        <v/>
      </c>
    </row>
    <row r="1670" spans="4:16" ht="22.5" customHeight="1" x14ac:dyDescent="0.25">
      <c r="D1670" s="59" t="str">
        <f t="shared" si="80"/>
        <v/>
      </c>
      <c r="O1670" s="4" t="str">
        <f t="shared" si="81"/>
        <v/>
      </c>
      <c r="P1670" s="59" t="str">
        <f t="shared" si="82"/>
        <v/>
      </c>
    </row>
    <row r="1671" spans="4:16" ht="22.5" customHeight="1" x14ac:dyDescent="0.25">
      <c r="D1671" s="59" t="str">
        <f t="shared" si="80"/>
        <v/>
      </c>
      <c r="O1671" s="4" t="str">
        <f t="shared" si="81"/>
        <v/>
      </c>
      <c r="P1671" s="59" t="str">
        <f t="shared" si="82"/>
        <v/>
      </c>
    </row>
    <row r="1672" spans="4:16" ht="22.5" customHeight="1" x14ac:dyDescent="0.25">
      <c r="D1672" s="59" t="str">
        <f t="shared" si="80"/>
        <v/>
      </c>
      <c r="O1672" s="4" t="str">
        <f t="shared" si="81"/>
        <v/>
      </c>
      <c r="P1672" s="59" t="str">
        <f t="shared" si="82"/>
        <v/>
      </c>
    </row>
    <row r="1673" spans="4:16" ht="22.5" customHeight="1" x14ac:dyDescent="0.25">
      <c r="D1673" s="59" t="str">
        <f t="shared" si="80"/>
        <v/>
      </c>
      <c r="O1673" s="4" t="str">
        <f t="shared" si="81"/>
        <v/>
      </c>
      <c r="P1673" s="59" t="str">
        <f t="shared" si="82"/>
        <v/>
      </c>
    </row>
    <row r="1674" spans="4:16" ht="22.5" customHeight="1" x14ac:dyDescent="0.25">
      <c r="D1674" s="59" t="str">
        <f t="shared" si="80"/>
        <v/>
      </c>
      <c r="O1674" s="4" t="str">
        <f t="shared" si="81"/>
        <v/>
      </c>
      <c r="P1674" s="59" t="str">
        <f t="shared" si="82"/>
        <v/>
      </c>
    </row>
    <row r="1675" spans="4:16" ht="22.5" customHeight="1" x14ac:dyDescent="0.25">
      <c r="D1675" s="59" t="str">
        <f t="shared" si="80"/>
        <v/>
      </c>
      <c r="O1675" s="4" t="str">
        <f t="shared" si="81"/>
        <v/>
      </c>
      <c r="P1675" s="59" t="str">
        <f t="shared" si="82"/>
        <v/>
      </c>
    </row>
    <row r="1676" spans="4:16" ht="22.5" customHeight="1" x14ac:dyDescent="0.25">
      <c r="D1676" s="59" t="str">
        <f t="shared" si="80"/>
        <v/>
      </c>
      <c r="O1676" s="4" t="str">
        <f t="shared" si="81"/>
        <v/>
      </c>
      <c r="P1676" s="59" t="str">
        <f t="shared" si="82"/>
        <v/>
      </c>
    </row>
    <row r="1677" spans="4:16" ht="22.5" customHeight="1" x14ac:dyDescent="0.25">
      <c r="D1677" s="59" t="str">
        <f t="shared" si="80"/>
        <v/>
      </c>
      <c r="O1677" s="4" t="str">
        <f t="shared" si="81"/>
        <v/>
      </c>
      <c r="P1677" s="59" t="str">
        <f t="shared" si="82"/>
        <v/>
      </c>
    </row>
    <row r="1678" spans="4:16" ht="22.5" customHeight="1" x14ac:dyDescent="0.25">
      <c r="D1678" s="59" t="str">
        <f t="shared" si="80"/>
        <v/>
      </c>
      <c r="O1678" s="4" t="str">
        <f t="shared" si="81"/>
        <v/>
      </c>
      <c r="P1678" s="59" t="str">
        <f t="shared" si="82"/>
        <v/>
      </c>
    </row>
    <row r="1679" spans="4:16" ht="22.5" customHeight="1" x14ac:dyDescent="0.25">
      <c r="D1679" s="59" t="str">
        <f t="shared" si="80"/>
        <v/>
      </c>
      <c r="O1679" s="4" t="str">
        <f t="shared" si="81"/>
        <v/>
      </c>
      <c r="P1679" s="59" t="str">
        <f t="shared" si="82"/>
        <v/>
      </c>
    </row>
    <row r="1680" spans="4:16" ht="22.5" customHeight="1" x14ac:dyDescent="0.25">
      <c r="D1680" s="59" t="str">
        <f t="shared" si="80"/>
        <v/>
      </c>
      <c r="O1680" s="4" t="str">
        <f t="shared" si="81"/>
        <v/>
      </c>
      <c r="P1680" s="59" t="str">
        <f t="shared" si="82"/>
        <v/>
      </c>
    </row>
    <row r="1681" spans="4:16" ht="22.5" customHeight="1" x14ac:dyDescent="0.25">
      <c r="D1681" s="59" t="str">
        <f t="shared" si="80"/>
        <v/>
      </c>
      <c r="O1681" s="4" t="str">
        <f t="shared" si="81"/>
        <v/>
      </c>
      <c r="P1681" s="59" t="str">
        <f t="shared" si="82"/>
        <v/>
      </c>
    </row>
    <row r="1682" spans="4:16" ht="22.5" customHeight="1" x14ac:dyDescent="0.25">
      <c r="D1682" s="59" t="str">
        <f t="shared" si="80"/>
        <v/>
      </c>
      <c r="O1682" s="4" t="str">
        <f t="shared" si="81"/>
        <v/>
      </c>
      <c r="P1682" s="59" t="str">
        <f t="shared" si="82"/>
        <v/>
      </c>
    </row>
    <row r="1683" spans="4:16" ht="22.5" customHeight="1" x14ac:dyDescent="0.25">
      <c r="D1683" s="59" t="str">
        <f t="shared" si="80"/>
        <v/>
      </c>
      <c r="O1683" s="4" t="str">
        <f t="shared" si="81"/>
        <v/>
      </c>
      <c r="P1683" s="59" t="str">
        <f t="shared" si="82"/>
        <v/>
      </c>
    </row>
    <row r="1684" spans="4:16" ht="22.5" customHeight="1" x14ac:dyDescent="0.25">
      <c r="D1684" s="59" t="str">
        <f t="shared" si="80"/>
        <v/>
      </c>
      <c r="O1684" s="4" t="str">
        <f t="shared" si="81"/>
        <v/>
      </c>
      <c r="P1684" s="59" t="str">
        <f t="shared" si="82"/>
        <v/>
      </c>
    </row>
    <row r="1685" spans="4:16" ht="22.5" customHeight="1" x14ac:dyDescent="0.25">
      <c r="D1685" s="59" t="str">
        <f t="shared" si="80"/>
        <v/>
      </c>
      <c r="O1685" s="4" t="str">
        <f t="shared" si="81"/>
        <v/>
      </c>
      <c r="P1685" s="59" t="str">
        <f t="shared" si="82"/>
        <v/>
      </c>
    </row>
    <row r="1686" spans="4:16" ht="22.5" customHeight="1" x14ac:dyDescent="0.25">
      <c r="D1686" s="59" t="str">
        <f t="shared" si="80"/>
        <v/>
      </c>
      <c r="O1686" s="4" t="str">
        <f t="shared" si="81"/>
        <v/>
      </c>
      <c r="P1686" s="59" t="str">
        <f t="shared" si="82"/>
        <v/>
      </c>
    </row>
    <row r="1687" spans="4:16" ht="22.5" customHeight="1" x14ac:dyDescent="0.25">
      <c r="D1687" s="59" t="str">
        <f t="shared" si="80"/>
        <v/>
      </c>
      <c r="O1687" s="4" t="str">
        <f t="shared" si="81"/>
        <v/>
      </c>
      <c r="P1687" s="59" t="str">
        <f t="shared" si="82"/>
        <v/>
      </c>
    </row>
    <row r="1688" spans="4:16" ht="22.5" customHeight="1" x14ac:dyDescent="0.25">
      <c r="D1688" s="59" t="str">
        <f t="shared" si="80"/>
        <v/>
      </c>
      <c r="O1688" s="4" t="str">
        <f t="shared" si="81"/>
        <v/>
      </c>
      <c r="P1688" s="59" t="str">
        <f t="shared" si="82"/>
        <v/>
      </c>
    </row>
    <row r="1689" spans="4:16" ht="22.5" customHeight="1" x14ac:dyDescent="0.25">
      <c r="D1689" s="59" t="str">
        <f t="shared" si="80"/>
        <v/>
      </c>
      <c r="O1689" s="4" t="str">
        <f t="shared" si="81"/>
        <v/>
      </c>
      <c r="P1689" s="59" t="str">
        <f t="shared" si="82"/>
        <v/>
      </c>
    </row>
    <row r="1690" spans="4:16" ht="22.5" customHeight="1" x14ac:dyDescent="0.25">
      <c r="D1690" s="59" t="str">
        <f t="shared" si="80"/>
        <v/>
      </c>
      <c r="O1690" s="4" t="str">
        <f t="shared" si="81"/>
        <v/>
      </c>
      <c r="P1690" s="59" t="str">
        <f t="shared" si="82"/>
        <v/>
      </c>
    </row>
    <row r="1691" spans="4:16" ht="22.5" customHeight="1" x14ac:dyDescent="0.25">
      <c r="D1691" s="59" t="str">
        <f t="shared" si="80"/>
        <v/>
      </c>
      <c r="O1691" s="4" t="str">
        <f t="shared" si="81"/>
        <v/>
      </c>
      <c r="P1691" s="59" t="str">
        <f t="shared" si="82"/>
        <v/>
      </c>
    </row>
    <row r="1692" spans="4:16" ht="22.5" customHeight="1" x14ac:dyDescent="0.25">
      <c r="D1692" s="59" t="str">
        <f t="shared" ref="D1692:D1755" si="83">IF(AND(I1692&lt;&gt;"",J1692&lt;&gt;""), I1692*J1692, "")</f>
        <v/>
      </c>
      <c r="O1692" s="4" t="str">
        <f t="shared" ref="O1692:O1755" si="84">IF(OR(D1692="", N1692=""), "", ROUND(D1692 * N1692 / 100, 2))</f>
        <v/>
      </c>
      <c r="P1692" s="59" t="str">
        <f t="shared" ref="P1692:P1755" si="85">IF(D1692="", "", D1692 + O1692)</f>
        <v/>
      </c>
    </row>
    <row r="1693" spans="4:16" ht="22.5" customHeight="1" x14ac:dyDescent="0.25">
      <c r="D1693" s="59" t="str">
        <f t="shared" si="83"/>
        <v/>
      </c>
      <c r="O1693" s="4" t="str">
        <f t="shared" si="84"/>
        <v/>
      </c>
      <c r="P1693" s="59" t="str">
        <f t="shared" si="85"/>
        <v/>
      </c>
    </row>
    <row r="1694" spans="4:16" ht="22.5" customHeight="1" x14ac:dyDescent="0.25">
      <c r="D1694" s="59" t="str">
        <f t="shared" si="83"/>
        <v/>
      </c>
      <c r="O1694" s="4" t="str">
        <f t="shared" si="84"/>
        <v/>
      </c>
      <c r="P1694" s="59" t="str">
        <f t="shared" si="85"/>
        <v/>
      </c>
    </row>
    <row r="1695" spans="4:16" ht="22.5" customHeight="1" x14ac:dyDescent="0.25">
      <c r="D1695" s="59" t="str">
        <f t="shared" si="83"/>
        <v/>
      </c>
      <c r="O1695" s="4" t="str">
        <f t="shared" si="84"/>
        <v/>
      </c>
      <c r="P1695" s="59" t="str">
        <f t="shared" si="85"/>
        <v/>
      </c>
    </row>
    <row r="1696" spans="4:16" ht="22.5" customHeight="1" x14ac:dyDescent="0.25">
      <c r="D1696" s="59" t="str">
        <f t="shared" si="83"/>
        <v/>
      </c>
      <c r="O1696" s="4" t="str">
        <f t="shared" si="84"/>
        <v/>
      </c>
      <c r="P1696" s="59" t="str">
        <f t="shared" si="85"/>
        <v/>
      </c>
    </row>
    <row r="1697" spans="4:16" ht="22.5" customHeight="1" x14ac:dyDescent="0.25">
      <c r="D1697" s="59" t="str">
        <f t="shared" si="83"/>
        <v/>
      </c>
      <c r="O1697" s="4" t="str">
        <f t="shared" si="84"/>
        <v/>
      </c>
      <c r="P1697" s="59" t="str">
        <f t="shared" si="85"/>
        <v/>
      </c>
    </row>
    <row r="1698" spans="4:16" ht="22.5" customHeight="1" x14ac:dyDescent="0.25">
      <c r="D1698" s="59" t="str">
        <f t="shared" si="83"/>
        <v/>
      </c>
      <c r="O1698" s="4" t="str">
        <f t="shared" si="84"/>
        <v/>
      </c>
      <c r="P1698" s="59" t="str">
        <f t="shared" si="85"/>
        <v/>
      </c>
    </row>
    <row r="1699" spans="4:16" ht="22.5" customHeight="1" x14ac:dyDescent="0.25">
      <c r="D1699" s="59" t="str">
        <f t="shared" si="83"/>
        <v/>
      </c>
      <c r="O1699" s="4" t="str">
        <f t="shared" si="84"/>
        <v/>
      </c>
      <c r="P1699" s="59" t="str">
        <f t="shared" si="85"/>
        <v/>
      </c>
    </row>
    <row r="1700" spans="4:16" ht="22.5" customHeight="1" x14ac:dyDescent="0.25">
      <c r="D1700" s="59" t="str">
        <f t="shared" si="83"/>
        <v/>
      </c>
      <c r="O1700" s="4" t="str">
        <f t="shared" si="84"/>
        <v/>
      </c>
      <c r="P1700" s="59" t="str">
        <f t="shared" si="85"/>
        <v/>
      </c>
    </row>
    <row r="1701" spans="4:16" ht="22.5" customHeight="1" x14ac:dyDescent="0.25">
      <c r="D1701" s="59" t="str">
        <f t="shared" si="83"/>
        <v/>
      </c>
      <c r="O1701" s="4" t="str">
        <f t="shared" si="84"/>
        <v/>
      </c>
      <c r="P1701" s="59" t="str">
        <f t="shared" si="85"/>
        <v/>
      </c>
    </row>
    <row r="1702" spans="4:16" ht="22.5" customHeight="1" x14ac:dyDescent="0.25">
      <c r="D1702" s="59" t="str">
        <f t="shared" si="83"/>
        <v/>
      </c>
      <c r="O1702" s="4" t="str">
        <f t="shared" si="84"/>
        <v/>
      </c>
      <c r="P1702" s="59" t="str">
        <f t="shared" si="85"/>
        <v/>
      </c>
    </row>
    <row r="1703" spans="4:16" ht="22.5" customHeight="1" x14ac:dyDescent="0.25">
      <c r="D1703" s="59" t="str">
        <f t="shared" si="83"/>
        <v/>
      </c>
      <c r="O1703" s="4" t="str">
        <f t="shared" si="84"/>
        <v/>
      </c>
      <c r="P1703" s="59" t="str">
        <f t="shared" si="85"/>
        <v/>
      </c>
    </row>
    <row r="1704" spans="4:16" ht="22.5" customHeight="1" x14ac:dyDescent="0.25">
      <c r="D1704" s="59" t="str">
        <f t="shared" si="83"/>
        <v/>
      </c>
      <c r="O1704" s="4" t="str">
        <f t="shared" si="84"/>
        <v/>
      </c>
      <c r="P1704" s="59" t="str">
        <f t="shared" si="85"/>
        <v/>
      </c>
    </row>
    <row r="1705" spans="4:16" ht="22.5" customHeight="1" x14ac:dyDescent="0.25">
      <c r="D1705" s="59" t="str">
        <f t="shared" si="83"/>
        <v/>
      </c>
      <c r="O1705" s="4" t="str">
        <f t="shared" si="84"/>
        <v/>
      </c>
      <c r="P1705" s="59" t="str">
        <f t="shared" si="85"/>
        <v/>
      </c>
    </row>
    <row r="1706" spans="4:16" ht="22.5" customHeight="1" x14ac:dyDescent="0.25">
      <c r="D1706" s="59" t="str">
        <f t="shared" si="83"/>
        <v/>
      </c>
      <c r="O1706" s="4" t="str">
        <f t="shared" si="84"/>
        <v/>
      </c>
      <c r="P1706" s="59" t="str">
        <f t="shared" si="85"/>
        <v/>
      </c>
    </row>
    <row r="1707" spans="4:16" ht="22.5" customHeight="1" x14ac:dyDescent="0.25">
      <c r="D1707" s="59" t="str">
        <f t="shared" si="83"/>
        <v/>
      </c>
      <c r="O1707" s="4" t="str">
        <f t="shared" si="84"/>
        <v/>
      </c>
      <c r="P1707" s="59" t="str">
        <f t="shared" si="85"/>
        <v/>
      </c>
    </row>
    <row r="1708" spans="4:16" ht="22.5" customHeight="1" x14ac:dyDescent="0.25">
      <c r="D1708" s="59" t="str">
        <f t="shared" si="83"/>
        <v/>
      </c>
      <c r="O1708" s="4" t="str">
        <f t="shared" si="84"/>
        <v/>
      </c>
      <c r="P1708" s="59" t="str">
        <f t="shared" si="85"/>
        <v/>
      </c>
    </row>
    <row r="1709" spans="4:16" ht="22.5" customHeight="1" x14ac:dyDescent="0.25">
      <c r="D1709" s="59" t="str">
        <f t="shared" si="83"/>
        <v/>
      </c>
      <c r="O1709" s="4" t="str">
        <f t="shared" si="84"/>
        <v/>
      </c>
      <c r="P1709" s="59" t="str">
        <f t="shared" si="85"/>
        <v/>
      </c>
    </row>
    <row r="1710" spans="4:16" ht="22.5" customHeight="1" x14ac:dyDescent="0.25">
      <c r="D1710" s="59" t="str">
        <f t="shared" si="83"/>
        <v/>
      </c>
      <c r="O1710" s="4" t="str">
        <f t="shared" si="84"/>
        <v/>
      </c>
      <c r="P1710" s="59" t="str">
        <f t="shared" si="85"/>
        <v/>
      </c>
    </row>
    <row r="1711" spans="4:16" ht="22.5" customHeight="1" x14ac:dyDescent="0.25">
      <c r="D1711" s="59" t="str">
        <f t="shared" si="83"/>
        <v/>
      </c>
      <c r="O1711" s="4" t="str">
        <f t="shared" si="84"/>
        <v/>
      </c>
      <c r="P1711" s="59" t="str">
        <f t="shared" si="85"/>
        <v/>
      </c>
    </row>
    <row r="1712" spans="4:16" ht="22.5" customHeight="1" x14ac:dyDescent="0.25">
      <c r="D1712" s="59" t="str">
        <f t="shared" si="83"/>
        <v/>
      </c>
      <c r="O1712" s="4" t="str">
        <f t="shared" si="84"/>
        <v/>
      </c>
      <c r="P1712" s="59" t="str">
        <f t="shared" si="85"/>
        <v/>
      </c>
    </row>
    <row r="1713" spans="4:16" ht="22.5" customHeight="1" x14ac:dyDescent="0.25">
      <c r="D1713" s="59" t="str">
        <f t="shared" si="83"/>
        <v/>
      </c>
      <c r="O1713" s="4" t="str">
        <f t="shared" si="84"/>
        <v/>
      </c>
      <c r="P1713" s="59" t="str">
        <f t="shared" si="85"/>
        <v/>
      </c>
    </row>
    <row r="1714" spans="4:16" ht="22.5" customHeight="1" x14ac:dyDescent="0.25">
      <c r="D1714" s="59" t="str">
        <f t="shared" si="83"/>
        <v/>
      </c>
      <c r="O1714" s="4" t="str">
        <f t="shared" si="84"/>
        <v/>
      </c>
      <c r="P1714" s="59" t="str">
        <f t="shared" si="85"/>
        <v/>
      </c>
    </row>
    <row r="1715" spans="4:16" ht="22.5" customHeight="1" x14ac:dyDescent="0.25">
      <c r="D1715" s="59" t="str">
        <f t="shared" si="83"/>
        <v/>
      </c>
      <c r="O1715" s="4" t="str">
        <f t="shared" si="84"/>
        <v/>
      </c>
      <c r="P1715" s="59" t="str">
        <f t="shared" si="85"/>
        <v/>
      </c>
    </row>
    <row r="1716" spans="4:16" ht="22.5" customHeight="1" x14ac:dyDescent="0.25">
      <c r="D1716" s="59" t="str">
        <f t="shared" si="83"/>
        <v/>
      </c>
      <c r="O1716" s="4" t="str">
        <f t="shared" si="84"/>
        <v/>
      </c>
      <c r="P1716" s="59" t="str">
        <f t="shared" si="85"/>
        <v/>
      </c>
    </row>
    <row r="1717" spans="4:16" ht="22.5" customHeight="1" x14ac:dyDescent="0.25">
      <c r="D1717" s="59" t="str">
        <f t="shared" si="83"/>
        <v/>
      </c>
      <c r="O1717" s="4" t="str">
        <f t="shared" si="84"/>
        <v/>
      </c>
      <c r="P1717" s="59" t="str">
        <f t="shared" si="85"/>
        <v/>
      </c>
    </row>
    <row r="1718" spans="4:16" ht="22.5" customHeight="1" x14ac:dyDescent="0.25">
      <c r="D1718" s="59" t="str">
        <f t="shared" si="83"/>
        <v/>
      </c>
      <c r="O1718" s="4" t="str">
        <f t="shared" si="84"/>
        <v/>
      </c>
      <c r="P1718" s="59" t="str">
        <f t="shared" si="85"/>
        <v/>
      </c>
    </row>
    <row r="1719" spans="4:16" ht="22.5" customHeight="1" x14ac:dyDescent="0.25">
      <c r="D1719" s="59" t="str">
        <f t="shared" si="83"/>
        <v/>
      </c>
      <c r="O1719" s="4" t="str">
        <f t="shared" si="84"/>
        <v/>
      </c>
      <c r="P1719" s="59" t="str">
        <f t="shared" si="85"/>
        <v/>
      </c>
    </row>
    <row r="1720" spans="4:16" ht="22.5" customHeight="1" x14ac:dyDescent="0.25">
      <c r="D1720" s="59" t="str">
        <f t="shared" si="83"/>
        <v/>
      </c>
      <c r="O1720" s="4" t="str">
        <f t="shared" si="84"/>
        <v/>
      </c>
      <c r="P1720" s="59" t="str">
        <f t="shared" si="85"/>
        <v/>
      </c>
    </row>
    <row r="1721" spans="4:16" ht="22.5" customHeight="1" x14ac:dyDescent="0.25">
      <c r="D1721" s="59" t="str">
        <f t="shared" si="83"/>
        <v/>
      </c>
      <c r="O1721" s="4" t="str">
        <f t="shared" si="84"/>
        <v/>
      </c>
      <c r="P1721" s="59" t="str">
        <f t="shared" si="85"/>
        <v/>
      </c>
    </row>
    <row r="1722" spans="4:16" ht="22.5" customHeight="1" x14ac:dyDescent="0.25">
      <c r="D1722" s="59" t="str">
        <f t="shared" si="83"/>
        <v/>
      </c>
      <c r="O1722" s="4" t="str">
        <f t="shared" si="84"/>
        <v/>
      </c>
      <c r="P1722" s="59" t="str">
        <f t="shared" si="85"/>
        <v/>
      </c>
    </row>
    <row r="1723" spans="4:16" ht="22.5" customHeight="1" x14ac:dyDescent="0.25">
      <c r="D1723" s="59" t="str">
        <f t="shared" si="83"/>
        <v/>
      </c>
      <c r="O1723" s="4" t="str">
        <f t="shared" si="84"/>
        <v/>
      </c>
      <c r="P1723" s="59" t="str">
        <f t="shared" si="85"/>
        <v/>
      </c>
    </row>
    <row r="1724" spans="4:16" ht="22.5" customHeight="1" x14ac:dyDescent="0.25">
      <c r="D1724" s="59" t="str">
        <f t="shared" si="83"/>
        <v/>
      </c>
      <c r="O1724" s="4" t="str">
        <f t="shared" si="84"/>
        <v/>
      </c>
      <c r="P1724" s="59" t="str">
        <f t="shared" si="85"/>
        <v/>
      </c>
    </row>
    <row r="1725" spans="4:16" ht="22.5" customHeight="1" x14ac:dyDescent="0.25">
      <c r="D1725" s="59" t="str">
        <f t="shared" si="83"/>
        <v/>
      </c>
      <c r="O1725" s="4" t="str">
        <f t="shared" si="84"/>
        <v/>
      </c>
      <c r="P1725" s="59" t="str">
        <f t="shared" si="85"/>
        <v/>
      </c>
    </row>
    <row r="1726" spans="4:16" ht="22.5" customHeight="1" x14ac:dyDescent="0.25">
      <c r="D1726" s="59" t="str">
        <f t="shared" si="83"/>
        <v/>
      </c>
      <c r="O1726" s="4" t="str">
        <f t="shared" si="84"/>
        <v/>
      </c>
      <c r="P1726" s="59" t="str">
        <f t="shared" si="85"/>
        <v/>
      </c>
    </row>
    <row r="1727" spans="4:16" ht="22.5" customHeight="1" x14ac:dyDescent="0.25">
      <c r="D1727" s="59" t="str">
        <f t="shared" si="83"/>
        <v/>
      </c>
      <c r="O1727" s="4" t="str">
        <f t="shared" si="84"/>
        <v/>
      </c>
      <c r="P1727" s="59" t="str">
        <f t="shared" si="85"/>
        <v/>
      </c>
    </row>
    <row r="1728" spans="4:16" ht="22.5" customHeight="1" x14ac:dyDescent="0.25">
      <c r="D1728" s="59" t="str">
        <f t="shared" si="83"/>
        <v/>
      </c>
      <c r="O1728" s="4" t="str">
        <f t="shared" si="84"/>
        <v/>
      </c>
      <c r="P1728" s="59" t="str">
        <f t="shared" si="85"/>
        <v/>
      </c>
    </row>
    <row r="1729" spans="4:16" ht="22.5" customHeight="1" x14ac:dyDescent="0.25">
      <c r="D1729" s="59" t="str">
        <f t="shared" si="83"/>
        <v/>
      </c>
      <c r="O1729" s="4" t="str">
        <f t="shared" si="84"/>
        <v/>
      </c>
      <c r="P1729" s="59" t="str">
        <f t="shared" si="85"/>
        <v/>
      </c>
    </row>
    <row r="1730" spans="4:16" ht="22.5" customHeight="1" x14ac:dyDescent="0.25">
      <c r="D1730" s="59" t="str">
        <f t="shared" si="83"/>
        <v/>
      </c>
      <c r="O1730" s="4" t="str">
        <f t="shared" si="84"/>
        <v/>
      </c>
      <c r="P1730" s="59" t="str">
        <f t="shared" si="85"/>
        <v/>
      </c>
    </row>
    <row r="1731" spans="4:16" ht="22.5" customHeight="1" x14ac:dyDescent="0.25">
      <c r="D1731" s="59" t="str">
        <f t="shared" si="83"/>
        <v/>
      </c>
      <c r="O1731" s="4" t="str">
        <f t="shared" si="84"/>
        <v/>
      </c>
      <c r="P1731" s="59" t="str">
        <f t="shared" si="85"/>
        <v/>
      </c>
    </row>
    <row r="1732" spans="4:16" ht="22.5" customHeight="1" x14ac:dyDescent="0.25">
      <c r="D1732" s="59" t="str">
        <f t="shared" si="83"/>
        <v/>
      </c>
      <c r="O1732" s="4" t="str">
        <f t="shared" si="84"/>
        <v/>
      </c>
      <c r="P1732" s="59" t="str">
        <f t="shared" si="85"/>
        <v/>
      </c>
    </row>
    <row r="1733" spans="4:16" ht="22.5" customHeight="1" x14ac:dyDescent="0.25">
      <c r="D1733" s="59" t="str">
        <f t="shared" si="83"/>
        <v/>
      </c>
      <c r="O1733" s="4" t="str">
        <f t="shared" si="84"/>
        <v/>
      </c>
      <c r="P1733" s="59" t="str">
        <f t="shared" si="85"/>
        <v/>
      </c>
    </row>
    <row r="1734" spans="4:16" ht="22.5" customHeight="1" x14ac:dyDescent="0.25">
      <c r="D1734" s="59" t="str">
        <f t="shared" si="83"/>
        <v/>
      </c>
      <c r="O1734" s="4" t="str">
        <f t="shared" si="84"/>
        <v/>
      </c>
      <c r="P1734" s="59" t="str">
        <f t="shared" si="85"/>
        <v/>
      </c>
    </row>
    <row r="1735" spans="4:16" ht="22.5" customHeight="1" x14ac:dyDescent="0.25">
      <c r="D1735" s="59" t="str">
        <f t="shared" si="83"/>
        <v/>
      </c>
      <c r="O1735" s="4" t="str">
        <f t="shared" si="84"/>
        <v/>
      </c>
      <c r="P1735" s="59" t="str">
        <f t="shared" si="85"/>
        <v/>
      </c>
    </row>
    <row r="1736" spans="4:16" ht="22.5" customHeight="1" x14ac:dyDescent="0.25">
      <c r="D1736" s="59" t="str">
        <f t="shared" si="83"/>
        <v/>
      </c>
      <c r="O1736" s="4" t="str">
        <f t="shared" si="84"/>
        <v/>
      </c>
      <c r="P1736" s="59" t="str">
        <f t="shared" si="85"/>
        <v/>
      </c>
    </row>
    <row r="1737" spans="4:16" ht="22.5" customHeight="1" x14ac:dyDescent="0.25">
      <c r="D1737" s="59" t="str">
        <f t="shared" si="83"/>
        <v/>
      </c>
      <c r="O1737" s="4" t="str">
        <f t="shared" si="84"/>
        <v/>
      </c>
      <c r="P1737" s="59" t="str">
        <f t="shared" si="85"/>
        <v/>
      </c>
    </row>
    <row r="1738" spans="4:16" ht="22.5" customHeight="1" x14ac:dyDescent="0.25">
      <c r="D1738" s="59" t="str">
        <f t="shared" si="83"/>
        <v/>
      </c>
      <c r="O1738" s="4" t="str">
        <f t="shared" si="84"/>
        <v/>
      </c>
      <c r="P1738" s="59" t="str">
        <f t="shared" si="85"/>
        <v/>
      </c>
    </row>
    <row r="1739" spans="4:16" ht="22.5" customHeight="1" x14ac:dyDescent="0.25">
      <c r="D1739" s="59" t="str">
        <f t="shared" si="83"/>
        <v/>
      </c>
      <c r="O1739" s="4" t="str">
        <f t="shared" si="84"/>
        <v/>
      </c>
      <c r="P1739" s="59" t="str">
        <f t="shared" si="85"/>
        <v/>
      </c>
    </row>
    <row r="1740" spans="4:16" ht="22.5" customHeight="1" x14ac:dyDescent="0.25">
      <c r="D1740" s="59" t="str">
        <f t="shared" si="83"/>
        <v/>
      </c>
      <c r="O1740" s="4" t="str">
        <f t="shared" si="84"/>
        <v/>
      </c>
      <c r="P1740" s="59" t="str">
        <f t="shared" si="85"/>
        <v/>
      </c>
    </row>
    <row r="1741" spans="4:16" ht="22.5" customHeight="1" x14ac:dyDescent="0.25">
      <c r="D1741" s="59" t="str">
        <f t="shared" si="83"/>
        <v/>
      </c>
      <c r="O1741" s="4" t="str">
        <f t="shared" si="84"/>
        <v/>
      </c>
      <c r="P1741" s="59" t="str">
        <f t="shared" si="85"/>
        <v/>
      </c>
    </row>
    <row r="1742" spans="4:16" ht="22.5" customHeight="1" x14ac:dyDescent="0.25">
      <c r="D1742" s="59" t="str">
        <f t="shared" si="83"/>
        <v/>
      </c>
      <c r="O1742" s="4" t="str">
        <f t="shared" si="84"/>
        <v/>
      </c>
      <c r="P1742" s="59" t="str">
        <f t="shared" si="85"/>
        <v/>
      </c>
    </row>
    <row r="1743" spans="4:16" ht="22.5" customHeight="1" x14ac:dyDescent="0.25">
      <c r="D1743" s="59" t="str">
        <f t="shared" si="83"/>
        <v/>
      </c>
      <c r="O1743" s="4" t="str">
        <f t="shared" si="84"/>
        <v/>
      </c>
      <c r="P1743" s="59" t="str">
        <f t="shared" si="85"/>
        <v/>
      </c>
    </row>
    <row r="1744" spans="4:16" ht="22.5" customHeight="1" x14ac:dyDescent="0.25">
      <c r="D1744" s="59" t="str">
        <f t="shared" si="83"/>
        <v/>
      </c>
      <c r="O1744" s="4" t="str">
        <f t="shared" si="84"/>
        <v/>
      </c>
      <c r="P1744" s="59" t="str">
        <f t="shared" si="85"/>
        <v/>
      </c>
    </row>
    <row r="1745" spans="4:16" ht="22.5" customHeight="1" x14ac:dyDescent="0.25">
      <c r="D1745" s="59" t="str">
        <f t="shared" si="83"/>
        <v/>
      </c>
      <c r="O1745" s="4" t="str">
        <f t="shared" si="84"/>
        <v/>
      </c>
      <c r="P1745" s="59" t="str">
        <f t="shared" si="85"/>
        <v/>
      </c>
    </row>
    <row r="1746" spans="4:16" ht="22.5" customHeight="1" x14ac:dyDescent="0.25">
      <c r="D1746" s="59" t="str">
        <f t="shared" si="83"/>
        <v/>
      </c>
      <c r="O1746" s="4" t="str">
        <f t="shared" si="84"/>
        <v/>
      </c>
      <c r="P1746" s="59" t="str">
        <f t="shared" si="85"/>
        <v/>
      </c>
    </row>
    <row r="1747" spans="4:16" ht="22.5" customHeight="1" x14ac:dyDescent="0.25">
      <c r="D1747" s="59" t="str">
        <f t="shared" si="83"/>
        <v/>
      </c>
      <c r="O1747" s="4" t="str">
        <f t="shared" si="84"/>
        <v/>
      </c>
      <c r="P1747" s="59" t="str">
        <f t="shared" si="85"/>
        <v/>
      </c>
    </row>
    <row r="1748" spans="4:16" ht="22.5" customHeight="1" x14ac:dyDescent="0.25">
      <c r="D1748" s="59" t="str">
        <f t="shared" si="83"/>
        <v/>
      </c>
      <c r="O1748" s="4" t="str">
        <f t="shared" si="84"/>
        <v/>
      </c>
      <c r="P1748" s="59" t="str">
        <f t="shared" si="85"/>
        <v/>
      </c>
    </row>
    <row r="1749" spans="4:16" ht="22.5" customHeight="1" x14ac:dyDescent="0.25">
      <c r="D1749" s="59" t="str">
        <f t="shared" si="83"/>
        <v/>
      </c>
      <c r="O1749" s="4" t="str">
        <f t="shared" si="84"/>
        <v/>
      </c>
      <c r="P1749" s="59" t="str">
        <f t="shared" si="85"/>
        <v/>
      </c>
    </row>
    <row r="1750" spans="4:16" ht="22.5" customHeight="1" x14ac:dyDescent="0.25">
      <c r="D1750" s="59" t="str">
        <f t="shared" si="83"/>
        <v/>
      </c>
      <c r="O1750" s="4" t="str">
        <f t="shared" si="84"/>
        <v/>
      </c>
      <c r="P1750" s="59" t="str">
        <f t="shared" si="85"/>
        <v/>
      </c>
    </row>
    <row r="1751" spans="4:16" ht="22.5" customHeight="1" x14ac:dyDescent="0.25">
      <c r="D1751" s="59" t="str">
        <f t="shared" si="83"/>
        <v/>
      </c>
      <c r="O1751" s="4" t="str">
        <f t="shared" si="84"/>
        <v/>
      </c>
      <c r="P1751" s="59" t="str">
        <f t="shared" si="85"/>
        <v/>
      </c>
    </row>
    <row r="1752" spans="4:16" ht="22.5" customHeight="1" x14ac:dyDescent="0.25">
      <c r="D1752" s="59" t="str">
        <f t="shared" si="83"/>
        <v/>
      </c>
      <c r="O1752" s="4" t="str">
        <f t="shared" si="84"/>
        <v/>
      </c>
      <c r="P1752" s="59" t="str">
        <f t="shared" si="85"/>
        <v/>
      </c>
    </row>
    <row r="1753" spans="4:16" ht="22.5" customHeight="1" x14ac:dyDescent="0.25">
      <c r="D1753" s="59" t="str">
        <f t="shared" si="83"/>
        <v/>
      </c>
      <c r="O1753" s="4" t="str">
        <f t="shared" si="84"/>
        <v/>
      </c>
      <c r="P1753" s="59" t="str">
        <f t="shared" si="85"/>
        <v/>
      </c>
    </row>
    <row r="1754" spans="4:16" ht="22.5" customHeight="1" x14ac:dyDescent="0.25">
      <c r="D1754" s="59" t="str">
        <f t="shared" si="83"/>
        <v/>
      </c>
      <c r="O1754" s="4" t="str">
        <f t="shared" si="84"/>
        <v/>
      </c>
      <c r="P1754" s="59" t="str">
        <f t="shared" si="85"/>
        <v/>
      </c>
    </row>
    <row r="1755" spans="4:16" ht="22.5" customHeight="1" x14ac:dyDescent="0.25">
      <c r="D1755" s="59" t="str">
        <f t="shared" si="83"/>
        <v/>
      </c>
      <c r="O1755" s="4" t="str">
        <f t="shared" si="84"/>
        <v/>
      </c>
      <c r="P1755" s="59" t="str">
        <f t="shared" si="85"/>
        <v/>
      </c>
    </row>
    <row r="1756" spans="4:16" ht="22.5" customHeight="1" x14ac:dyDescent="0.25">
      <c r="D1756" s="59" t="str">
        <f t="shared" ref="D1756:D1819" si="86">IF(AND(I1756&lt;&gt;"",J1756&lt;&gt;""), I1756*J1756, "")</f>
        <v/>
      </c>
      <c r="O1756" s="4" t="str">
        <f t="shared" ref="O1756:O1819" si="87">IF(OR(D1756="", N1756=""), "", ROUND(D1756 * N1756 / 100, 2))</f>
        <v/>
      </c>
      <c r="P1756" s="59" t="str">
        <f t="shared" ref="P1756:P1819" si="88">IF(D1756="", "", D1756 + O1756)</f>
        <v/>
      </c>
    </row>
    <row r="1757" spans="4:16" ht="22.5" customHeight="1" x14ac:dyDescent="0.25">
      <c r="D1757" s="59" t="str">
        <f t="shared" si="86"/>
        <v/>
      </c>
      <c r="O1757" s="4" t="str">
        <f t="shared" si="87"/>
        <v/>
      </c>
      <c r="P1757" s="59" t="str">
        <f t="shared" si="88"/>
        <v/>
      </c>
    </row>
    <row r="1758" spans="4:16" ht="22.5" customHeight="1" x14ac:dyDescent="0.25">
      <c r="D1758" s="59" t="str">
        <f t="shared" si="86"/>
        <v/>
      </c>
      <c r="O1758" s="4" t="str">
        <f t="shared" si="87"/>
        <v/>
      </c>
      <c r="P1758" s="59" t="str">
        <f t="shared" si="88"/>
        <v/>
      </c>
    </row>
    <row r="1759" spans="4:16" ht="22.5" customHeight="1" x14ac:dyDescent="0.25">
      <c r="D1759" s="59" t="str">
        <f t="shared" si="86"/>
        <v/>
      </c>
      <c r="O1759" s="4" t="str">
        <f t="shared" si="87"/>
        <v/>
      </c>
      <c r="P1759" s="59" t="str">
        <f t="shared" si="88"/>
        <v/>
      </c>
    </row>
    <row r="1760" spans="4:16" ht="22.5" customHeight="1" x14ac:dyDescent="0.25">
      <c r="D1760" s="59" t="str">
        <f t="shared" si="86"/>
        <v/>
      </c>
      <c r="O1760" s="4" t="str">
        <f t="shared" si="87"/>
        <v/>
      </c>
      <c r="P1760" s="59" t="str">
        <f t="shared" si="88"/>
        <v/>
      </c>
    </row>
    <row r="1761" spans="4:16" ht="22.5" customHeight="1" x14ac:dyDescent="0.25">
      <c r="D1761" s="59" t="str">
        <f t="shared" si="86"/>
        <v/>
      </c>
      <c r="O1761" s="4" t="str">
        <f t="shared" si="87"/>
        <v/>
      </c>
      <c r="P1761" s="59" t="str">
        <f t="shared" si="88"/>
        <v/>
      </c>
    </row>
    <row r="1762" spans="4:16" ht="22.5" customHeight="1" x14ac:dyDescent="0.25">
      <c r="D1762" s="59" t="str">
        <f t="shared" si="86"/>
        <v/>
      </c>
      <c r="O1762" s="4" t="str">
        <f t="shared" si="87"/>
        <v/>
      </c>
      <c r="P1762" s="59" t="str">
        <f t="shared" si="88"/>
        <v/>
      </c>
    </row>
    <row r="1763" spans="4:16" ht="22.5" customHeight="1" x14ac:dyDescent="0.25">
      <c r="D1763" s="59" t="str">
        <f t="shared" si="86"/>
        <v/>
      </c>
      <c r="O1763" s="4" t="str">
        <f t="shared" si="87"/>
        <v/>
      </c>
      <c r="P1763" s="59" t="str">
        <f t="shared" si="88"/>
        <v/>
      </c>
    </row>
    <row r="1764" spans="4:16" ht="22.5" customHeight="1" x14ac:dyDescent="0.25">
      <c r="D1764" s="59" t="str">
        <f t="shared" si="86"/>
        <v/>
      </c>
      <c r="O1764" s="4" t="str">
        <f t="shared" si="87"/>
        <v/>
      </c>
      <c r="P1764" s="59" t="str">
        <f t="shared" si="88"/>
        <v/>
      </c>
    </row>
    <row r="1765" spans="4:16" ht="22.5" customHeight="1" x14ac:dyDescent="0.25">
      <c r="D1765" s="59" t="str">
        <f t="shared" si="86"/>
        <v/>
      </c>
      <c r="O1765" s="4" t="str">
        <f t="shared" si="87"/>
        <v/>
      </c>
      <c r="P1765" s="59" t="str">
        <f t="shared" si="88"/>
        <v/>
      </c>
    </row>
    <row r="1766" spans="4:16" ht="22.5" customHeight="1" x14ac:dyDescent="0.25">
      <c r="D1766" s="59" t="str">
        <f t="shared" si="86"/>
        <v/>
      </c>
      <c r="O1766" s="4" t="str">
        <f t="shared" si="87"/>
        <v/>
      </c>
      <c r="P1766" s="59" t="str">
        <f t="shared" si="88"/>
        <v/>
      </c>
    </row>
    <row r="1767" spans="4:16" ht="22.5" customHeight="1" x14ac:dyDescent="0.25">
      <c r="D1767" s="59" t="str">
        <f t="shared" si="86"/>
        <v/>
      </c>
      <c r="O1767" s="4" t="str">
        <f t="shared" si="87"/>
        <v/>
      </c>
      <c r="P1767" s="59" t="str">
        <f t="shared" si="88"/>
        <v/>
      </c>
    </row>
    <row r="1768" spans="4:16" ht="22.5" customHeight="1" x14ac:dyDescent="0.25">
      <c r="D1768" s="59" t="str">
        <f t="shared" si="86"/>
        <v/>
      </c>
      <c r="O1768" s="4" t="str">
        <f t="shared" si="87"/>
        <v/>
      </c>
      <c r="P1768" s="59" t="str">
        <f t="shared" si="88"/>
        <v/>
      </c>
    </row>
    <row r="1769" spans="4:16" ht="22.5" customHeight="1" x14ac:dyDescent="0.25">
      <c r="D1769" s="59" t="str">
        <f t="shared" si="86"/>
        <v/>
      </c>
      <c r="O1769" s="4" t="str">
        <f t="shared" si="87"/>
        <v/>
      </c>
      <c r="P1769" s="59" t="str">
        <f t="shared" si="88"/>
        <v/>
      </c>
    </row>
    <row r="1770" spans="4:16" ht="22.5" customHeight="1" x14ac:dyDescent="0.25">
      <c r="D1770" s="59" t="str">
        <f t="shared" si="86"/>
        <v/>
      </c>
      <c r="O1770" s="4" t="str">
        <f t="shared" si="87"/>
        <v/>
      </c>
      <c r="P1770" s="59" t="str">
        <f t="shared" si="88"/>
        <v/>
      </c>
    </row>
    <row r="1771" spans="4:16" ht="22.5" customHeight="1" x14ac:dyDescent="0.25">
      <c r="D1771" s="59" t="str">
        <f t="shared" si="86"/>
        <v/>
      </c>
      <c r="O1771" s="4" t="str">
        <f t="shared" si="87"/>
        <v/>
      </c>
      <c r="P1771" s="59" t="str">
        <f t="shared" si="88"/>
        <v/>
      </c>
    </row>
    <row r="1772" spans="4:16" ht="22.5" customHeight="1" x14ac:dyDescent="0.25">
      <c r="D1772" s="59" t="str">
        <f t="shared" si="86"/>
        <v/>
      </c>
      <c r="O1772" s="4" t="str">
        <f t="shared" si="87"/>
        <v/>
      </c>
      <c r="P1772" s="59" t="str">
        <f t="shared" si="88"/>
        <v/>
      </c>
    </row>
    <row r="1773" spans="4:16" ht="22.5" customHeight="1" x14ac:dyDescent="0.25">
      <c r="D1773" s="59" t="str">
        <f t="shared" si="86"/>
        <v/>
      </c>
      <c r="O1773" s="4" t="str">
        <f t="shared" si="87"/>
        <v/>
      </c>
      <c r="P1773" s="59" t="str">
        <f t="shared" si="88"/>
        <v/>
      </c>
    </row>
    <row r="1774" spans="4:16" ht="22.5" customHeight="1" x14ac:dyDescent="0.25">
      <c r="D1774" s="59" t="str">
        <f t="shared" si="86"/>
        <v/>
      </c>
      <c r="O1774" s="4" t="str">
        <f t="shared" si="87"/>
        <v/>
      </c>
      <c r="P1774" s="59" t="str">
        <f t="shared" si="88"/>
        <v/>
      </c>
    </row>
    <row r="1775" spans="4:16" ht="22.5" customHeight="1" x14ac:dyDescent="0.25">
      <c r="D1775" s="59" t="str">
        <f t="shared" si="86"/>
        <v/>
      </c>
      <c r="O1775" s="4" t="str">
        <f t="shared" si="87"/>
        <v/>
      </c>
      <c r="P1775" s="59" t="str">
        <f t="shared" si="88"/>
        <v/>
      </c>
    </row>
    <row r="1776" spans="4:16" ht="22.5" customHeight="1" x14ac:dyDescent="0.25">
      <c r="D1776" s="59" t="str">
        <f t="shared" si="86"/>
        <v/>
      </c>
      <c r="O1776" s="4" t="str">
        <f t="shared" si="87"/>
        <v/>
      </c>
      <c r="P1776" s="59" t="str">
        <f t="shared" si="88"/>
        <v/>
      </c>
    </row>
    <row r="1777" spans="4:16" ht="22.5" customHeight="1" x14ac:dyDescent="0.25">
      <c r="D1777" s="59" t="str">
        <f t="shared" si="86"/>
        <v/>
      </c>
      <c r="O1777" s="4" t="str">
        <f t="shared" si="87"/>
        <v/>
      </c>
      <c r="P1777" s="59" t="str">
        <f t="shared" si="88"/>
        <v/>
      </c>
    </row>
    <row r="1778" spans="4:16" ht="22.5" customHeight="1" x14ac:dyDescent="0.25">
      <c r="D1778" s="59" t="str">
        <f t="shared" si="86"/>
        <v/>
      </c>
      <c r="O1778" s="4" t="str">
        <f t="shared" si="87"/>
        <v/>
      </c>
      <c r="P1778" s="59" t="str">
        <f t="shared" si="88"/>
        <v/>
      </c>
    </row>
    <row r="1779" spans="4:16" ht="22.5" customHeight="1" x14ac:dyDescent="0.25">
      <c r="D1779" s="59" t="str">
        <f t="shared" si="86"/>
        <v/>
      </c>
      <c r="O1779" s="4" t="str">
        <f t="shared" si="87"/>
        <v/>
      </c>
      <c r="P1779" s="59" t="str">
        <f t="shared" si="88"/>
        <v/>
      </c>
    </row>
    <row r="1780" spans="4:16" ht="22.5" customHeight="1" x14ac:dyDescent="0.25">
      <c r="D1780" s="59" t="str">
        <f t="shared" si="86"/>
        <v/>
      </c>
      <c r="O1780" s="4" t="str">
        <f t="shared" si="87"/>
        <v/>
      </c>
      <c r="P1780" s="59" t="str">
        <f t="shared" si="88"/>
        <v/>
      </c>
    </row>
    <row r="1781" spans="4:16" ht="22.5" customHeight="1" x14ac:dyDescent="0.25">
      <c r="D1781" s="59" t="str">
        <f t="shared" si="86"/>
        <v/>
      </c>
      <c r="O1781" s="4" t="str">
        <f t="shared" si="87"/>
        <v/>
      </c>
      <c r="P1781" s="59" t="str">
        <f t="shared" si="88"/>
        <v/>
      </c>
    </row>
    <row r="1782" spans="4:16" ht="22.5" customHeight="1" x14ac:dyDescent="0.25">
      <c r="D1782" s="59" t="str">
        <f t="shared" si="86"/>
        <v/>
      </c>
      <c r="O1782" s="4" t="str">
        <f t="shared" si="87"/>
        <v/>
      </c>
      <c r="P1782" s="59" t="str">
        <f t="shared" si="88"/>
        <v/>
      </c>
    </row>
    <row r="1783" spans="4:16" ht="22.5" customHeight="1" x14ac:dyDescent="0.25">
      <c r="D1783" s="59" t="str">
        <f t="shared" si="86"/>
        <v/>
      </c>
      <c r="O1783" s="4" t="str">
        <f t="shared" si="87"/>
        <v/>
      </c>
      <c r="P1783" s="59" t="str">
        <f t="shared" si="88"/>
        <v/>
      </c>
    </row>
    <row r="1784" spans="4:16" ht="22.5" customHeight="1" x14ac:dyDescent="0.25">
      <c r="D1784" s="59" t="str">
        <f t="shared" si="86"/>
        <v/>
      </c>
      <c r="O1784" s="4" t="str">
        <f t="shared" si="87"/>
        <v/>
      </c>
      <c r="P1784" s="59" t="str">
        <f t="shared" si="88"/>
        <v/>
      </c>
    </row>
    <row r="1785" spans="4:16" ht="22.5" customHeight="1" x14ac:dyDescent="0.25">
      <c r="D1785" s="59" t="str">
        <f t="shared" si="86"/>
        <v/>
      </c>
      <c r="O1785" s="4" t="str">
        <f t="shared" si="87"/>
        <v/>
      </c>
      <c r="P1785" s="59" t="str">
        <f t="shared" si="88"/>
        <v/>
      </c>
    </row>
    <row r="1786" spans="4:16" ht="22.5" customHeight="1" x14ac:dyDescent="0.25">
      <c r="D1786" s="59" t="str">
        <f t="shared" si="86"/>
        <v/>
      </c>
      <c r="O1786" s="4" t="str">
        <f t="shared" si="87"/>
        <v/>
      </c>
      <c r="P1786" s="59" t="str">
        <f t="shared" si="88"/>
        <v/>
      </c>
    </row>
    <row r="1787" spans="4:16" ht="22.5" customHeight="1" x14ac:dyDescent="0.25">
      <c r="D1787" s="59" t="str">
        <f t="shared" si="86"/>
        <v/>
      </c>
      <c r="O1787" s="4" t="str">
        <f t="shared" si="87"/>
        <v/>
      </c>
      <c r="P1787" s="59" t="str">
        <f t="shared" si="88"/>
        <v/>
      </c>
    </row>
    <row r="1788" spans="4:16" ht="22.5" customHeight="1" x14ac:dyDescent="0.25">
      <c r="D1788" s="59" t="str">
        <f t="shared" si="86"/>
        <v/>
      </c>
      <c r="O1788" s="4" t="str">
        <f t="shared" si="87"/>
        <v/>
      </c>
      <c r="P1788" s="59" t="str">
        <f t="shared" si="88"/>
        <v/>
      </c>
    </row>
    <row r="1789" spans="4:16" ht="22.5" customHeight="1" x14ac:dyDescent="0.25">
      <c r="D1789" s="59" t="str">
        <f t="shared" si="86"/>
        <v/>
      </c>
      <c r="O1789" s="4" t="str">
        <f t="shared" si="87"/>
        <v/>
      </c>
      <c r="P1789" s="59" t="str">
        <f t="shared" si="88"/>
        <v/>
      </c>
    </row>
    <row r="1790" spans="4:16" ht="22.5" customHeight="1" x14ac:dyDescent="0.25">
      <c r="D1790" s="59" t="str">
        <f t="shared" si="86"/>
        <v/>
      </c>
      <c r="O1790" s="4" t="str">
        <f t="shared" si="87"/>
        <v/>
      </c>
      <c r="P1790" s="59" t="str">
        <f t="shared" si="88"/>
        <v/>
      </c>
    </row>
    <row r="1791" spans="4:16" ht="22.5" customHeight="1" x14ac:dyDescent="0.25">
      <c r="D1791" s="59" t="str">
        <f t="shared" si="86"/>
        <v/>
      </c>
      <c r="O1791" s="4" t="str">
        <f t="shared" si="87"/>
        <v/>
      </c>
      <c r="P1791" s="59" t="str">
        <f t="shared" si="88"/>
        <v/>
      </c>
    </row>
    <row r="1792" spans="4:16" ht="22.5" customHeight="1" x14ac:dyDescent="0.25">
      <c r="D1792" s="59" t="str">
        <f t="shared" si="86"/>
        <v/>
      </c>
      <c r="O1792" s="4" t="str">
        <f t="shared" si="87"/>
        <v/>
      </c>
      <c r="P1792" s="59" t="str">
        <f t="shared" si="88"/>
        <v/>
      </c>
    </row>
    <row r="1793" spans="4:16" ht="22.5" customHeight="1" x14ac:dyDescent="0.25">
      <c r="D1793" s="59" t="str">
        <f t="shared" si="86"/>
        <v/>
      </c>
      <c r="O1793" s="4" t="str">
        <f t="shared" si="87"/>
        <v/>
      </c>
      <c r="P1793" s="59" t="str">
        <f t="shared" si="88"/>
        <v/>
      </c>
    </row>
    <row r="1794" spans="4:16" ht="22.5" customHeight="1" x14ac:dyDescent="0.25">
      <c r="D1794" s="59" t="str">
        <f t="shared" si="86"/>
        <v/>
      </c>
      <c r="O1794" s="4" t="str">
        <f t="shared" si="87"/>
        <v/>
      </c>
      <c r="P1794" s="59" t="str">
        <f t="shared" si="88"/>
        <v/>
      </c>
    </row>
    <row r="1795" spans="4:16" ht="22.5" customHeight="1" x14ac:dyDescent="0.25">
      <c r="D1795" s="59" t="str">
        <f t="shared" si="86"/>
        <v/>
      </c>
      <c r="O1795" s="4" t="str">
        <f t="shared" si="87"/>
        <v/>
      </c>
      <c r="P1795" s="59" t="str">
        <f t="shared" si="88"/>
        <v/>
      </c>
    </row>
    <row r="1796" spans="4:16" ht="22.5" customHeight="1" x14ac:dyDescent="0.25">
      <c r="D1796" s="59" t="str">
        <f t="shared" si="86"/>
        <v/>
      </c>
      <c r="O1796" s="4" t="str">
        <f t="shared" si="87"/>
        <v/>
      </c>
      <c r="P1796" s="59" t="str">
        <f t="shared" si="88"/>
        <v/>
      </c>
    </row>
    <row r="1797" spans="4:16" ht="22.5" customHeight="1" x14ac:dyDescent="0.25">
      <c r="D1797" s="59" t="str">
        <f t="shared" si="86"/>
        <v/>
      </c>
      <c r="O1797" s="4" t="str">
        <f t="shared" si="87"/>
        <v/>
      </c>
      <c r="P1797" s="59" t="str">
        <f t="shared" si="88"/>
        <v/>
      </c>
    </row>
    <row r="1798" spans="4:16" ht="22.5" customHeight="1" x14ac:dyDescent="0.25">
      <c r="D1798" s="59" t="str">
        <f t="shared" si="86"/>
        <v/>
      </c>
      <c r="O1798" s="4" t="str">
        <f t="shared" si="87"/>
        <v/>
      </c>
      <c r="P1798" s="59" t="str">
        <f t="shared" si="88"/>
        <v/>
      </c>
    </row>
    <row r="1799" spans="4:16" ht="22.5" customHeight="1" x14ac:dyDescent="0.25">
      <c r="D1799" s="59" t="str">
        <f t="shared" si="86"/>
        <v/>
      </c>
      <c r="O1799" s="4" t="str">
        <f t="shared" si="87"/>
        <v/>
      </c>
      <c r="P1799" s="59" t="str">
        <f t="shared" si="88"/>
        <v/>
      </c>
    </row>
    <row r="1800" spans="4:16" ht="22.5" customHeight="1" x14ac:dyDescent="0.25">
      <c r="D1800" s="59" t="str">
        <f t="shared" si="86"/>
        <v/>
      </c>
      <c r="O1800" s="4" t="str">
        <f t="shared" si="87"/>
        <v/>
      </c>
      <c r="P1800" s="59" t="str">
        <f t="shared" si="88"/>
        <v/>
      </c>
    </row>
    <row r="1801" spans="4:16" ht="22.5" customHeight="1" x14ac:dyDescent="0.25">
      <c r="D1801" s="59" t="str">
        <f t="shared" si="86"/>
        <v/>
      </c>
      <c r="O1801" s="4" t="str">
        <f t="shared" si="87"/>
        <v/>
      </c>
      <c r="P1801" s="59" t="str">
        <f t="shared" si="88"/>
        <v/>
      </c>
    </row>
    <row r="1802" spans="4:16" ht="22.5" customHeight="1" x14ac:dyDescent="0.25">
      <c r="D1802" s="59" t="str">
        <f t="shared" si="86"/>
        <v/>
      </c>
      <c r="O1802" s="4" t="str">
        <f t="shared" si="87"/>
        <v/>
      </c>
      <c r="P1802" s="59" t="str">
        <f t="shared" si="88"/>
        <v/>
      </c>
    </row>
    <row r="1803" spans="4:16" ht="22.5" customHeight="1" x14ac:dyDescent="0.25">
      <c r="D1803" s="59" t="str">
        <f t="shared" si="86"/>
        <v/>
      </c>
      <c r="O1803" s="4" t="str">
        <f t="shared" si="87"/>
        <v/>
      </c>
      <c r="P1803" s="59" t="str">
        <f t="shared" si="88"/>
        <v/>
      </c>
    </row>
    <row r="1804" spans="4:16" ht="22.5" customHeight="1" x14ac:dyDescent="0.25">
      <c r="D1804" s="59" t="str">
        <f t="shared" si="86"/>
        <v/>
      </c>
      <c r="O1804" s="4" t="str">
        <f t="shared" si="87"/>
        <v/>
      </c>
      <c r="P1804" s="59" t="str">
        <f t="shared" si="88"/>
        <v/>
      </c>
    </row>
    <row r="1805" spans="4:16" ht="22.5" customHeight="1" x14ac:dyDescent="0.25">
      <c r="D1805" s="59" t="str">
        <f t="shared" si="86"/>
        <v/>
      </c>
      <c r="O1805" s="4" t="str">
        <f t="shared" si="87"/>
        <v/>
      </c>
      <c r="P1805" s="59" t="str">
        <f t="shared" si="88"/>
        <v/>
      </c>
    </row>
    <row r="1806" spans="4:16" ht="22.5" customHeight="1" x14ac:dyDescent="0.25">
      <c r="D1806" s="59" t="str">
        <f t="shared" si="86"/>
        <v/>
      </c>
      <c r="O1806" s="4" t="str">
        <f t="shared" si="87"/>
        <v/>
      </c>
      <c r="P1806" s="59" t="str">
        <f t="shared" si="88"/>
        <v/>
      </c>
    </row>
    <row r="1807" spans="4:16" ht="22.5" customHeight="1" x14ac:dyDescent="0.25">
      <c r="D1807" s="59" t="str">
        <f t="shared" si="86"/>
        <v/>
      </c>
      <c r="O1807" s="4" t="str">
        <f t="shared" si="87"/>
        <v/>
      </c>
      <c r="P1807" s="59" t="str">
        <f t="shared" si="88"/>
        <v/>
      </c>
    </row>
    <row r="1808" spans="4:16" ht="22.5" customHeight="1" x14ac:dyDescent="0.25">
      <c r="D1808" s="59" t="str">
        <f t="shared" si="86"/>
        <v/>
      </c>
      <c r="O1808" s="4" t="str">
        <f t="shared" si="87"/>
        <v/>
      </c>
      <c r="P1808" s="59" t="str">
        <f t="shared" si="88"/>
        <v/>
      </c>
    </row>
    <row r="1809" spans="4:16" ht="22.5" customHeight="1" x14ac:dyDescent="0.25">
      <c r="D1809" s="59" t="str">
        <f t="shared" si="86"/>
        <v/>
      </c>
      <c r="O1809" s="4" t="str">
        <f t="shared" si="87"/>
        <v/>
      </c>
      <c r="P1809" s="59" t="str">
        <f t="shared" si="88"/>
        <v/>
      </c>
    </row>
    <row r="1810" spans="4:16" ht="22.5" customHeight="1" x14ac:dyDescent="0.25">
      <c r="D1810" s="59" t="str">
        <f t="shared" si="86"/>
        <v/>
      </c>
      <c r="O1810" s="4" t="str">
        <f t="shared" si="87"/>
        <v/>
      </c>
      <c r="P1810" s="59" t="str">
        <f t="shared" si="88"/>
        <v/>
      </c>
    </row>
    <row r="1811" spans="4:16" ht="22.5" customHeight="1" x14ac:dyDescent="0.25">
      <c r="D1811" s="59" t="str">
        <f t="shared" si="86"/>
        <v/>
      </c>
      <c r="O1811" s="4" t="str">
        <f t="shared" si="87"/>
        <v/>
      </c>
      <c r="P1811" s="59" t="str">
        <f t="shared" si="88"/>
        <v/>
      </c>
    </row>
    <row r="1812" spans="4:16" ht="22.5" customHeight="1" x14ac:dyDescent="0.25">
      <c r="D1812" s="59" t="str">
        <f t="shared" si="86"/>
        <v/>
      </c>
      <c r="O1812" s="4" t="str">
        <f t="shared" si="87"/>
        <v/>
      </c>
      <c r="P1812" s="59" t="str">
        <f t="shared" si="88"/>
        <v/>
      </c>
    </row>
    <row r="1813" spans="4:16" ht="22.5" customHeight="1" x14ac:dyDescent="0.25">
      <c r="D1813" s="59" t="str">
        <f t="shared" si="86"/>
        <v/>
      </c>
      <c r="O1813" s="4" t="str">
        <f t="shared" si="87"/>
        <v/>
      </c>
      <c r="P1813" s="59" t="str">
        <f t="shared" si="88"/>
        <v/>
      </c>
    </row>
    <row r="1814" spans="4:16" ht="22.5" customHeight="1" x14ac:dyDescent="0.25">
      <c r="D1814" s="59" t="str">
        <f t="shared" si="86"/>
        <v/>
      </c>
      <c r="O1814" s="4" t="str">
        <f t="shared" si="87"/>
        <v/>
      </c>
      <c r="P1814" s="59" t="str">
        <f t="shared" si="88"/>
        <v/>
      </c>
    </row>
    <row r="1815" spans="4:16" ht="22.5" customHeight="1" x14ac:dyDescent="0.25">
      <c r="D1815" s="59" t="str">
        <f t="shared" si="86"/>
        <v/>
      </c>
      <c r="O1815" s="4" t="str">
        <f t="shared" si="87"/>
        <v/>
      </c>
      <c r="P1815" s="59" t="str">
        <f t="shared" si="88"/>
        <v/>
      </c>
    </row>
    <row r="1816" spans="4:16" ht="22.5" customHeight="1" x14ac:dyDescent="0.25">
      <c r="D1816" s="59" t="str">
        <f t="shared" si="86"/>
        <v/>
      </c>
      <c r="O1816" s="4" t="str">
        <f t="shared" si="87"/>
        <v/>
      </c>
      <c r="P1816" s="59" t="str">
        <f t="shared" si="88"/>
        <v/>
      </c>
    </row>
    <row r="1817" spans="4:16" ht="22.5" customHeight="1" x14ac:dyDescent="0.25">
      <c r="D1817" s="59" t="str">
        <f t="shared" si="86"/>
        <v/>
      </c>
      <c r="O1817" s="4" t="str">
        <f t="shared" si="87"/>
        <v/>
      </c>
      <c r="P1817" s="59" t="str">
        <f t="shared" si="88"/>
        <v/>
      </c>
    </row>
    <row r="1818" spans="4:16" ht="22.5" customHeight="1" x14ac:dyDescent="0.25">
      <c r="D1818" s="59" t="str">
        <f t="shared" si="86"/>
        <v/>
      </c>
      <c r="O1818" s="4" t="str">
        <f t="shared" si="87"/>
        <v/>
      </c>
      <c r="P1818" s="59" t="str">
        <f t="shared" si="88"/>
        <v/>
      </c>
    </row>
    <row r="1819" spans="4:16" ht="22.5" customHeight="1" x14ac:dyDescent="0.25">
      <c r="D1819" s="59" t="str">
        <f t="shared" si="86"/>
        <v/>
      </c>
      <c r="O1819" s="4" t="str">
        <f t="shared" si="87"/>
        <v/>
      </c>
      <c r="P1819" s="59" t="str">
        <f t="shared" si="88"/>
        <v/>
      </c>
    </row>
    <row r="1820" spans="4:16" ht="22.5" customHeight="1" x14ac:dyDescent="0.25">
      <c r="D1820" s="59" t="str">
        <f t="shared" ref="D1820:D1883" si="89">IF(AND(I1820&lt;&gt;"",J1820&lt;&gt;""), I1820*J1820, "")</f>
        <v/>
      </c>
      <c r="O1820" s="4" t="str">
        <f t="shared" ref="O1820:O1883" si="90">IF(OR(D1820="", N1820=""), "", ROUND(D1820 * N1820 / 100, 2))</f>
        <v/>
      </c>
      <c r="P1820" s="59" t="str">
        <f t="shared" ref="P1820:P1883" si="91">IF(D1820="", "", D1820 + O1820)</f>
        <v/>
      </c>
    </row>
    <row r="1821" spans="4:16" ht="22.5" customHeight="1" x14ac:dyDescent="0.25">
      <c r="D1821" s="59" t="str">
        <f t="shared" si="89"/>
        <v/>
      </c>
      <c r="O1821" s="4" t="str">
        <f t="shared" si="90"/>
        <v/>
      </c>
      <c r="P1821" s="59" t="str">
        <f t="shared" si="91"/>
        <v/>
      </c>
    </row>
    <row r="1822" spans="4:16" ht="22.5" customHeight="1" x14ac:dyDescent="0.25">
      <c r="D1822" s="59" t="str">
        <f t="shared" si="89"/>
        <v/>
      </c>
      <c r="O1822" s="4" t="str">
        <f t="shared" si="90"/>
        <v/>
      </c>
      <c r="P1822" s="59" t="str">
        <f t="shared" si="91"/>
        <v/>
      </c>
    </row>
    <row r="1823" spans="4:16" ht="22.5" customHeight="1" x14ac:dyDescent="0.25">
      <c r="D1823" s="59" t="str">
        <f t="shared" si="89"/>
        <v/>
      </c>
      <c r="O1823" s="4" t="str">
        <f t="shared" si="90"/>
        <v/>
      </c>
      <c r="P1823" s="59" t="str">
        <f t="shared" si="91"/>
        <v/>
      </c>
    </row>
    <row r="1824" spans="4:16" ht="22.5" customHeight="1" x14ac:dyDescent="0.25">
      <c r="D1824" s="59" t="str">
        <f t="shared" si="89"/>
        <v/>
      </c>
      <c r="O1824" s="4" t="str">
        <f t="shared" si="90"/>
        <v/>
      </c>
      <c r="P1824" s="59" t="str">
        <f t="shared" si="91"/>
        <v/>
      </c>
    </row>
    <row r="1825" spans="4:16" ht="22.5" customHeight="1" x14ac:dyDescent="0.25">
      <c r="D1825" s="59" t="str">
        <f t="shared" si="89"/>
        <v/>
      </c>
      <c r="O1825" s="4" t="str">
        <f t="shared" si="90"/>
        <v/>
      </c>
      <c r="P1825" s="59" t="str">
        <f t="shared" si="91"/>
        <v/>
      </c>
    </row>
    <row r="1826" spans="4:16" ht="22.5" customHeight="1" x14ac:dyDescent="0.25">
      <c r="D1826" s="59" t="str">
        <f t="shared" si="89"/>
        <v/>
      </c>
      <c r="O1826" s="4" t="str">
        <f t="shared" si="90"/>
        <v/>
      </c>
      <c r="P1826" s="59" t="str">
        <f t="shared" si="91"/>
        <v/>
      </c>
    </row>
    <row r="1827" spans="4:16" ht="22.5" customHeight="1" x14ac:dyDescent="0.25">
      <c r="D1827" s="59" t="str">
        <f t="shared" si="89"/>
        <v/>
      </c>
      <c r="O1827" s="4" t="str">
        <f t="shared" si="90"/>
        <v/>
      </c>
      <c r="P1827" s="59" t="str">
        <f t="shared" si="91"/>
        <v/>
      </c>
    </row>
    <row r="1828" spans="4:16" ht="22.5" customHeight="1" x14ac:dyDescent="0.25">
      <c r="D1828" s="59" t="str">
        <f t="shared" si="89"/>
        <v/>
      </c>
      <c r="O1828" s="4" t="str">
        <f t="shared" si="90"/>
        <v/>
      </c>
      <c r="P1828" s="59" t="str">
        <f t="shared" si="91"/>
        <v/>
      </c>
    </row>
    <row r="1829" spans="4:16" ht="22.5" customHeight="1" x14ac:dyDescent="0.25">
      <c r="D1829" s="59" t="str">
        <f t="shared" si="89"/>
        <v/>
      </c>
      <c r="O1829" s="4" t="str">
        <f t="shared" si="90"/>
        <v/>
      </c>
      <c r="P1829" s="59" t="str">
        <f t="shared" si="91"/>
        <v/>
      </c>
    </row>
    <row r="1830" spans="4:16" ht="22.5" customHeight="1" x14ac:dyDescent="0.25">
      <c r="D1830" s="59" t="str">
        <f t="shared" si="89"/>
        <v/>
      </c>
      <c r="O1830" s="4" t="str">
        <f t="shared" si="90"/>
        <v/>
      </c>
      <c r="P1830" s="59" t="str">
        <f t="shared" si="91"/>
        <v/>
      </c>
    </row>
    <row r="1831" spans="4:16" ht="22.5" customHeight="1" x14ac:dyDescent="0.25">
      <c r="D1831" s="59" t="str">
        <f t="shared" si="89"/>
        <v/>
      </c>
      <c r="O1831" s="4" t="str">
        <f t="shared" si="90"/>
        <v/>
      </c>
      <c r="P1831" s="59" t="str">
        <f t="shared" si="91"/>
        <v/>
      </c>
    </row>
    <row r="1832" spans="4:16" ht="22.5" customHeight="1" x14ac:dyDescent="0.25">
      <c r="D1832" s="59" t="str">
        <f t="shared" si="89"/>
        <v/>
      </c>
      <c r="O1832" s="4" t="str">
        <f t="shared" si="90"/>
        <v/>
      </c>
      <c r="P1832" s="59" t="str">
        <f t="shared" si="91"/>
        <v/>
      </c>
    </row>
    <row r="1833" spans="4:16" ht="22.5" customHeight="1" x14ac:dyDescent="0.25">
      <c r="D1833" s="59" t="str">
        <f t="shared" si="89"/>
        <v/>
      </c>
      <c r="O1833" s="4" t="str">
        <f t="shared" si="90"/>
        <v/>
      </c>
      <c r="P1833" s="59" t="str">
        <f t="shared" si="91"/>
        <v/>
      </c>
    </row>
    <row r="1834" spans="4:16" ht="22.5" customHeight="1" x14ac:dyDescent="0.25">
      <c r="D1834" s="59" t="str">
        <f t="shared" si="89"/>
        <v/>
      </c>
      <c r="O1834" s="4" t="str">
        <f t="shared" si="90"/>
        <v/>
      </c>
      <c r="P1834" s="59" t="str">
        <f t="shared" si="91"/>
        <v/>
      </c>
    </row>
    <row r="1835" spans="4:16" ht="22.5" customHeight="1" x14ac:dyDescent="0.25">
      <c r="D1835" s="59" t="str">
        <f t="shared" si="89"/>
        <v/>
      </c>
      <c r="O1835" s="4" t="str">
        <f t="shared" si="90"/>
        <v/>
      </c>
      <c r="P1835" s="59" t="str">
        <f t="shared" si="91"/>
        <v/>
      </c>
    </row>
    <row r="1836" spans="4:16" ht="22.5" customHeight="1" x14ac:dyDescent="0.25">
      <c r="D1836" s="59" t="str">
        <f t="shared" si="89"/>
        <v/>
      </c>
      <c r="O1836" s="4" t="str">
        <f t="shared" si="90"/>
        <v/>
      </c>
      <c r="P1836" s="59" t="str">
        <f t="shared" si="91"/>
        <v/>
      </c>
    </row>
    <row r="1837" spans="4:16" ht="22.5" customHeight="1" x14ac:dyDescent="0.25">
      <c r="D1837" s="59" t="str">
        <f t="shared" si="89"/>
        <v/>
      </c>
      <c r="O1837" s="4" t="str">
        <f t="shared" si="90"/>
        <v/>
      </c>
      <c r="P1837" s="59" t="str">
        <f t="shared" si="91"/>
        <v/>
      </c>
    </row>
    <row r="1838" spans="4:16" ht="22.5" customHeight="1" x14ac:dyDescent="0.25">
      <c r="D1838" s="59" t="str">
        <f t="shared" si="89"/>
        <v/>
      </c>
      <c r="O1838" s="4" t="str">
        <f t="shared" si="90"/>
        <v/>
      </c>
      <c r="P1838" s="59" t="str">
        <f t="shared" si="91"/>
        <v/>
      </c>
    </row>
    <row r="1839" spans="4:16" ht="22.5" customHeight="1" x14ac:dyDescent="0.25">
      <c r="D1839" s="59" t="str">
        <f t="shared" si="89"/>
        <v/>
      </c>
      <c r="O1839" s="4" t="str">
        <f t="shared" si="90"/>
        <v/>
      </c>
      <c r="P1839" s="59" t="str">
        <f t="shared" si="91"/>
        <v/>
      </c>
    </row>
    <row r="1840" spans="4:16" ht="22.5" customHeight="1" x14ac:dyDescent="0.25">
      <c r="D1840" s="59" t="str">
        <f t="shared" si="89"/>
        <v/>
      </c>
      <c r="O1840" s="4" t="str">
        <f t="shared" si="90"/>
        <v/>
      </c>
      <c r="P1840" s="59" t="str">
        <f t="shared" si="91"/>
        <v/>
      </c>
    </row>
    <row r="1841" spans="4:16" ht="22.5" customHeight="1" x14ac:dyDescent="0.25">
      <c r="D1841" s="59" t="str">
        <f t="shared" si="89"/>
        <v/>
      </c>
      <c r="O1841" s="4" t="str">
        <f t="shared" si="90"/>
        <v/>
      </c>
      <c r="P1841" s="59" t="str">
        <f t="shared" si="91"/>
        <v/>
      </c>
    </row>
    <row r="1842" spans="4:16" ht="22.5" customHeight="1" x14ac:dyDescent="0.25">
      <c r="D1842" s="59" t="str">
        <f t="shared" si="89"/>
        <v/>
      </c>
      <c r="O1842" s="4" t="str">
        <f t="shared" si="90"/>
        <v/>
      </c>
      <c r="P1842" s="59" t="str">
        <f t="shared" si="91"/>
        <v/>
      </c>
    </row>
    <row r="1843" spans="4:16" ht="22.5" customHeight="1" x14ac:dyDescent="0.25">
      <c r="D1843" s="59" t="str">
        <f t="shared" si="89"/>
        <v/>
      </c>
      <c r="O1843" s="4" t="str">
        <f t="shared" si="90"/>
        <v/>
      </c>
      <c r="P1843" s="59" t="str">
        <f t="shared" si="91"/>
        <v/>
      </c>
    </row>
    <row r="1844" spans="4:16" ht="22.5" customHeight="1" x14ac:dyDescent="0.25">
      <c r="D1844" s="59" t="str">
        <f t="shared" si="89"/>
        <v/>
      </c>
      <c r="O1844" s="4" t="str">
        <f t="shared" si="90"/>
        <v/>
      </c>
      <c r="P1844" s="59" t="str">
        <f t="shared" si="91"/>
        <v/>
      </c>
    </row>
    <row r="1845" spans="4:16" ht="22.5" customHeight="1" x14ac:dyDescent="0.25">
      <c r="D1845" s="59" t="str">
        <f t="shared" si="89"/>
        <v/>
      </c>
      <c r="O1845" s="4" t="str">
        <f t="shared" si="90"/>
        <v/>
      </c>
      <c r="P1845" s="59" t="str">
        <f t="shared" si="91"/>
        <v/>
      </c>
    </row>
    <row r="1846" spans="4:16" ht="22.5" customHeight="1" x14ac:dyDescent="0.25">
      <c r="D1846" s="59" t="str">
        <f t="shared" si="89"/>
        <v/>
      </c>
      <c r="O1846" s="4" t="str">
        <f t="shared" si="90"/>
        <v/>
      </c>
      <c r="P1846" s="59" t="str">
        <f t="shared" si="91"/>
        <v/>
      </c>
    </row>
    <row r="1847" spans="4:16" ht="22.5" customHeight="1" x14ac:dyDescent="0.25">
      <c r="D1847" s="59" t="str">
        <f t="shared" si="89"/>
        <v/>
      </c>
      <c r="O1847" s="4" t="str">
        <f t="shared" si="90"/>
        <v/>
      </c>
      <c r="P1847" s="59" t="str">
        <f t="shared" si="91"/>
        <v/>
      </c>
    </row>
    <row r="1848" spans="4:16" ht="22.5" customHeight="1" x14ac:dyDescent="0.25">
      <c r="D1848" s="59" t="str">
        <f t="shared" si="89"/>
        <v/>
      </c>
      <c r="O1848" s="4" t="str">
        <f t="shared" si="90"/>
        <v/>
      </c>
      <c r="P1848" s="59" t="str">
        <f t="shared" si="91"/>
        <v/>
      </c>
    </row>
    <row r="1849" spans="4:16" ht="22.5" customHeight="1" x14ac:dyDescent="0.25">
      <c r="D1849" s="59" t="str">
        <f t="shared" si="89"/>
        <v/>
      </c>
      <c r="O1849" s="4" t="str">
        <f t="shared" si="90"/>
        <v/>
      </c>
      <c r="P1849" s="59" t="str">
        <f t="shared" si="91"/>
        <v/>
      </c>
    </row>
    <row r="1850" spans="4:16" ht="22.5" customHeight="1" x14ac:dyDescent="0.25">
      <c r="D1850" s="59" t="str">
        <f t="shared" si="89"/>
        <v/>
      </c>
      <c r="O1850" s="4" t="str">
        <f t="shared" si="90"/>
        <v/>
      </c>
      <c r="P1850" s="59" t="str">
        <f t="shared" si="91"/>
        <v/>
      </c>
    </row>
    <row r="1851" spans="4:16" ht="22.5" customHeight="1" x14ac:dyDescent="0.25">
      <c r="D1851" s="59" t="str">
        <f t="shared" si="89"/>
        <v/>
      </c>
      <c r="O1851" s="4" t="str">
        <f t="shared" si="90"/>
        <v/>
      </c>
      <c r="P1851" s="59" t="str">
        <f t="shared" si="91"/>
        <v/>
      </c>
    </row>
    <row r="1852" spans="4:16" ht="22.5" customHeight="1" x14ac:dyDescent="0.25">
      <c r="D1852" s="59" t="str">
        <f t="shared" si="89"/>
        <v/>
      </c>
      <c r="O1852" s="4" t="str">
        <f t="shared" si="90"/>
        <v/>
      </c>
      <c r="P1852" s="59" t="str">
        <f t="shared" si="91"/>
        <v/>
      </c>
    </row>
    <row r="1853" spans="4:16" ht="22.5" customHeight="1" x14ac:dyDescent="0.25">
      <c r="D1853" s="59" t="str">
        <f t="shared" si="89"/>
        <v/>
      </c>
      <c r="O1853" s="4" t="str">
        <f t="shared" si="90"/>
        <v/>
      </c>
      <c r="P1853" s="59" t="str">
        <f t="shared" si="91"/>
        <v/>
      </c>
    </row>
    <row r="1854" spans="4:16" ht="22.5" customHeight="1" x14ac:dyDescent="0.25">
      <c r="D1854" s="59" t="str">
        <f t="shared" si="89"/>
        <v/>
      </c>
      <c r="O1854" s="4" t="str">
        <f t="shared" si="90"/>
        <v/>
      </c>
      <c r="P1854" s="59" t="str">
        <f t="shared" si="91"/>
        <v/>
      </c>
    </row>
    <row r="1855" spans="4:16" ht="22.5" customHeight="1" x14ac:dyDescent="0.25">
      <c r="D1855" s="59" t="str">
        <f t="shared" si="89"/>
        <v/>
      </c>
      <c r="O1855" s="4" t="str">
        <f t="shared" si="90"/>
        <v/>
      </c>
      <c r="P1855" s="59" t="str">
        <f t="shared" si="91"/>
        <v/>
      </c>
    </row>
    <row r="1856" spans="4:16" ht="22.5" customHeight="1" x14ac:dyDescent="0.25">
      <c r="D1856" s="59" t="str">
        <f t="shared" si="89"/>
        <v/>
      </c>
      <c r="O1856" s="4" t="str">
        <f t="shared" si="90"/>
        <v/>
      </c>
      <c r="P1856" s="59" t="str">
        <f t="shared" si="91"/>
        <v/>
      </c>
    </row>
    <row r="1857" spans="4:16" ht="22.5" customHeight="1" x14ac:dyDescent="0.25">
      <c r="D1857" s="59" t="str">
        <f t="shared" si="89"/>
        <v/>
      </c>
      <c r="O1857" s="4" t="str">
        <f t="shared" si="90"/>
        <v/>
      </c>
      <c r="P1857" s="59" t="str">
        <f t="shared" si="91"/>
        <v/>
      </c>
    </row>
    <row r="1858" spans="4:16" ht="22.5" customHeight="1" x14ac:dyDescent="0.25">
      <c r="D1858" s="59" t="str">
        <f t="shared" si="89"/>
        <v/>
      </c>
      <c r="O1858" s="4" t="str">
        <f t="shared" si="90"/>
        <v/>
      </c>
      <c r="P1858" s="59" t="str">
        <f t="shared" si="91"/>
        <v/>
      </c>
    </row>
    <row r="1859" spans="4:16" ht="22.5" customHeight="1" x14ac:dyDescent="0.25">
      <c r="D1859" s="59" t="str">
        <f t="shared" si="89"/>
        <v/>
      </c>
      <c r="O1859" s="4" t="str">
        <f t="shared" si="90"/>
        <v/>
      </c>
      <c r="P1859" s="59" t="str">
        <f t="shared" si="91"/>
        <v/>
      </c>
    </row>
    <row r="1860" spans="4:16" ht="22.5" customHeight="1" x14ac:dyDescent="0.25">
      <c r="D1860" s="59" t="str">
        <f t="shared" si="89"/>
        <v/>
      </c>
      <c r="O1860" s="4" t="str">
        <f t="shared" si="90"/>
        <v/>
      </c>
      <c r="P1860" s="59" t="str">
        <f t="shared" si="91"/>
        <v/>
      </c>
    </row>
    <row r="1861" spans="4:16" ht="22.5" customHeight="1" x14ac:dyDescent="0.25">
      <c r="D1861" s="59" t="str">
        <f t="shared" si="89"/>
        <v/>
      </c>
      <c r="O1861" s="4" t="str">
        <f t="shared" si="90"/>
        <v/>
      </c>
      <c r="P1861" s="59" t="str">
        <f t="shared" si="91"/>
        <v/>
      </c>
    </row>
    <row r="1862" spans="4:16" ht="22.5" customHeight="1" x14ac:dyDescent="0.25">
      <c r="D1862" s="59" t="str">
        <f t="shared" si="89"/>
        <v/>
      </c>
      <c r="O1862" s="4" t="str">
        <f t="shared" si="90"/>
        <v/>
      </c>
      <c r="P1862" s="59" t="str">
        <f t="shared" si="91"/>
        <v/>
      </c>
    </row>
    <row r="1863" spans="4:16" ht="22.5" customHeight="1" x14ac:dyDescent="0.25">
      <c r="D1863" s="59" t="str">
        <f t="shared" si="89"/>
        <v/>
      </c>
      <c r="O1863" s="4" t="str">
        <f t="shared" si="90"/>
        <v/>
      </c>
      <c r="P1863" s="59" t="str">
        <f t="shared" si="91"/>
        <v/>
      </c>
    </row>
    <row r="1864" spans="4:16" ht="22.5" customHeight="1" x14ac:dyDescent="0.25">
      <c r="D1864" s="59" t="str">
        <f t="shared" si="89"/>
        <v/>
      </c>
      <c r="O1864" s="4" t="str">
        <f t="shared" si="90"/>
        <v/>
      </c>
      <c r="P1864" s="59" t="str">
        <f t="shared" si="91"/>
        <v/>
      </c>
    </row>
    <row r="1865" spans="4:16" ht="22.5" customHeight="1" x14ac:dyDescent="0.25">
      <c r="D1865" s="59" t="str">
        <f t="shared" si="89"/>
        <v/>
      </c>
      <c r="O1865" s="4" t="str">
        <f t="shared" si="90"/>
        <v/>
      </c>
      <c r="P1865" s="59" t="str">
        <f t="shared" si="91"/>
        <v/>
      </c>
    </row>
    <row r="1866" spans="4:16" ht="22.5" customHeight="1" x14ac:dyDescent="0.25">
      <c r="D1866" s="59" t="str">
        <f t="shared" si="89"/>
        <v/>
      </c>
      <c r="O1866" s="4" t="str">
        <f t="shared" si="90"/>
        <v/>
      </c>
      <c r="P1866" s="59" t="str">
        <f t="shared" si="91"/>
        <v/>
      </c>
    </row>
    <row r="1867" spans="4:16" ht="22.5" customHeight="1" x14ac:dyDescent="0.25">
      <c r="D1867" s="59" t="str">
        <f t="shared" si="89"/>
        <v/>
      </c>
      <c r="O1867" s="4" t="str">
        <f t="shared" si="90"/>
        <v/>
      </c>
      <c r="P1867" s="59" t="str">
        <f t="shared" si="91"/>
        <v/>
      </c>
    </row>
    <row r="1868" spans="4:16" ht="22.5" customHeight="1" x14ac:dyDescent="0.25">
      <c r="D1868" s="59" t="str">
        <f t="shared" si="89"/>
        <v/>
      </c>
      <c r="O1868" s="4" t="str">
        <f t="shared" si="90"/>
        <v/>
      </c>
      <c r="P1868" s="59" t="str">
        <f t="shared" si="91"/>
        <v/>
      </c>
    </row>
    <row r="1869" spans="4:16" ht="22.5" customHeight="1" x14ac:dyDescent="0.25">
      <c r="D1869" s="59" t="str">
        <f t="shared" si="89"/>
        <v/>
      </c>
      <c r="O1869" s="4" t="str">
        <f t="shared" si="90"/>
        <v/>
      </c>
      <c r="P1869" s="59" t="str">
        <f t="shared" si="91"/>
        <v/>
      </c>
    </row>
    <row r="1870" spans="4:16" ht="22.5" customHeight="1" x14ac:dyDescent="0.25">
      <c r="D1870" s="59" t="str">
        <f t="shared" si="89"/>
        <v/>
      </c>
      <c r="O1870" s="4" t="str">
        <f t="shared" si="90"/>
        <v/>
      </c>
      <c r="P1870" s="59" t="str">
        <f t="shared" si="91"/>
        <v/>
      </c>
    </row>
    <row r="1871" spans="4:16" ht="22.5" customHeight="1" x14ac:dyDescent="0.25">
      <c r="D1871" s="59" t="str">
        <f t="shared" si="89"/>
        <v/>
      </c>
      <c r="O1871" s="4" t="str">
        <f t="shared" si="90"/>
        <v/>
      </c>
      <c r="P1871" s="59" t="str">
        <f t="shared" si="91"/>
        <v/>
      </c>
    </row>
    <row r="1872" spans="4:16" ht="22.5" customHeight="1" x14ac:dyDescent="0.25">
      <c r="D1872" s="59" t="str">
        <f t="shared" si="89"/>
        <v/>
      </c>
      <c r="O1872" s="4" t="str">
        <f t="shared" si="90"/>
        <v/>
      </c>
      <c r="P1872" s="59" t="str">
        <f t="shared" si="91"/>
        <v/>
      </c>
    </row>
    <row r="1873" spans="4:16" ht="22.5" customHeight="1" x14ac:dyDescent="0.25">
      <c r="D1873" s="59" t="str">
        <f t="shared" si="89"/>
        <v/>
      </c>
      <c r="O1873" s="4" t="str">
        <f t="shared" si="90"/>
        <v/>
      </c>
      <c r="P1873" s="59" t="str">
        <f t="shared" si="91"/>
        <v/>
      </c>
    </row>
    <row r="1874" spans="4:16" ht="22.5" customHeight="1" x14ac:dyDescent="0.25">
      <c r="D1874" s="59" t="str">
        <f t="shared" si="89"/>
        <v/>
      </c>
      <c r="O1874" s="4" t="str">
        <f t="shared" si="90"/>
        <v/>
      </c>
      <c r="P1874" s="59" t="str">
        <f t="shared" si="91"/>
        <v/>
      </c>
    </row>
    <row r="1875" spans="4:16" ht="22.5" customHeight="1" x14ac:dyDescent="0.25">
      <c r="D1875" s="59" t="str">
        <f t="shared" si="89"/>
        <v/>
      </c>
      <c r="O1875" s="4" t="str">
        <f t="shared" si="90"/>
        <v/>
      </c>
      <c r="P1875" s="59" t="str">
        <f t="shared" si="91"/>
        <v/>
      </c>
    </row>
    <row r="1876" spans="4:16" ht="22.5" customHeight="1" x14ac:dyDescent="0.25">
      <c r="D1876" s="59" t="str">
        <f t="shared" si="89"/>
        <v/>
      </c>
      <c r="O1876" s="4" t="str">
        <f t="shared" si="90"/>
        <v/>
      </c>
      <c r="P1876" s="59" t="str">
        <f t="shared" si="91"/>
        <v/>
      </c>
    </row>
    <row r="1877" spans="4:16" ht="22.5" customHeight="1" x14ac:dyDescent="0.25">
      <c r="D1877" s="59" t="str">
        <f t="shared" si="89"/>
        <v/>
      </c>
      <c r="O1877" s="4" t="str">
        <f t="shared" si="90"/>
        <v/>
      </c>
      <c r="P1877" s="59" t="str">
        <f t="shared" si="91"/>
        <v/>
      </c>
    </row>
    <row r="1878" spans="4:16" ht="22.5" customHeight="1" x14ac:dyDescent="0.25">
      <c r="D1878" s="59" t="str">
        <f t="shared" si="89"/>
        <v/>
      </c>
      <c r="O1878" s="4" t="str">
        <f t="shared" si="90"/>
        <v/>
      </c>
      <c r="P1878" s="59" t="str">
        <f t="shared" si="91"/>
        <v/>
      </c>
    </row>
    <row r="1879" spans="4:16" ht="22.5" customHeight="1" x14ac:dyDescent="0.25">
      <c r="D1879" s="59" t="str">
        <f t="shared" si="89"/>
        <v/>
      </c>
      <c r="O1879" s="4" t="str">
        <f t="shared" si="90"/>
        <v/>
      </c>
      <c r="P1879" s="59" t="str">
        <f t="shared" si="91"/>
        <v/>
      </c>
    </row>
    <row r="1880" spans="4:16" ht="22.5" customHeight="1" x14ac:dyDescent="0.25">
      <c r="D1880" s="59" t="str">
        <f t="shared" si="89"/>
        <v/>
      </c>
      <c r="O1880" s="4" t="str">
        <f t="shared" si="90"/>
        <v/>
      </c>
      <c r="P1880" s="59" t="str">
        <f t="shared" si="91"/>
        <v/>
      </c>
    </row>
    <row r="1881" spans="4:16" ht="22.5" customHeight="1" x14ac:dyDescent="0.25">
      <c r="D1881" s="59" t="str">
        <f t="shared" si="89"/>
        <v/>
      </c>
      <c r="O1881" s="4" t="str">
        <f t="shared" si="90"/>
        <v/>
      </c>
      <c r="P1881" s="59" t="str">
        <f t="shared" si="91"/>
        <v/>
      </c>
    </row>
    <row r="1882" spans="4:16" ht="22.5" customHeight="1" x14ac:dyDescent="0.25">
      <c r="D1882" s="59" t="str">
        <f t="shared" si="89"/>
        <v/>
      </c>
      <c r="O1882" s="4" t="str">
        <f t="shared" si="90"/>
        <v/>
      </c>
      <c r="P1882" s="59" t="str">
        <f t="shared" si="91"/>
        <v/>
      </c>
    </row>
    <row r="1883" spans="4:16" ht="22.5" customHeight="1" x14ac:dyDescent="0.25">
      <c r="D1883" s="59" t="str">
        <f t="shared" si="89"/>
        <v/>
      </c>
      <c r="O1883" s="4" t="str">
        <f t="shared" si="90"/>
        <v/>
      </c>
      <c r="P1883" s="59" t="str">
        <f t="shared" si="91"/>
        <v/>
      </c>
    </row>
    <row r="1884" spans="4:16" ht="22.5" customHeight="1" x14ac:dyDescent="0.25">
      <c r="D1884" s="59" t="str">
        <f t="shared" ref="D1884:D1947" si="92">IF(AND(I1884&lt;&gt;"",J1884&lt;&gt;""), I1884*J1884, "")</f>
        <v/>
      </c>
      <c r="O1884" s="4" t="str">
        <f t="shared" ref="O1884:O1947" si="93">IF(OR(D1884="", N1884=""), "", ROUND(D1884 * N1884 / 100, 2))</f>
        <v/>
      </c>
      <c r="P1884" s="59" t="str">
        <f t="shared" ref="P1884:P1947" si="94">IF(D1884="", "", D1884 + O1884)</f>
        <v/>
      </c>
    </row>
    <row r="1885" spans="4:16" ht="22.5" customHeight="1" x14ac:dyDescent="0.25">
      <c r="D1885" s="59" t="str">
        <f t="shared" si="92"/>
        <v/>
      </c>
      <c r="O1885" s="4" t="str">
        <f t="shared" si="93"/>
        <v/>
      </c>
      <c r="P1885" s="59" t="str">
        <f t="shared" si="94"/>
        <v/>
      </c>
    </row>
    <row r="1886" spans="4:16" ht="22.5" customHeight="1" x14ac:dyDescent="0.25">
      <c r="D1886" s="59" t="str">
        <f t="shared" si="92"/>
        <v/>
      </c>
      <c r="O1886" s="4" t="str">
        <f t="shared" si="93"/>
        <v/>
      </c>
      <c r="P1886" s="59" t="str">
        <f t="shared" si="94"/>
        <v/>
      </c>
    </row>
    <row r="1887" spans="4:16" ht="22.5" customHeight="1" x14ac:dyDescent="0.25">
      <c r="D1887" s="59" t="str">
        <f t="shared" si="92"/>
        <v/>
      </c>
      <c r="O1887" s="4" t="str">
        <f t="shared" si="93"/>
        <v/>
      </c>
      <c r="P1887" s="59" t="str">
        <f t="shared" si="94"/>
        <v/>
      </c>
    </row>
    <row r="1888" spans="4:16" ht="22.5" customHeight="1" x14ac:dyDescent="0.25">
      <c r="D1888" s="59" t="str">
        <f t="shared" si="92"/>
        <v/>
      </c>
      <c r="O1888" s="4" t="str">
        <f t="shared" si="93"/>
        <v/>
      </c>
      <c r="P1888" s="59" t="str">
        <f t="shared" si="94"/>
        <v/>
      </c>
    </row>
    <row r="1889" spans="4:16" ht="22.5" customHeight="1" x14ac:dyDescent="0.25">
      <c r="D1889" s="59" t="str">
        <f t="shared" si="92"/>
        <v/>
      </c>
      <c r="O1889" s="4" t="str">
        <f t="shared" si="93"/>
        <v/>
      </c>
      <c r="P1889" s="59" t="str">
        <f t="shared" si="94"/>
        <v/>
      </c>
    </row>
    <row r="1890" spans="4:16" ht="22.5" customHeight="1" x14ac:dyDescent="0.25">
      <c r="D1890" s="59" t="str">
        <f t="shared" si="92"/>
        <v/>
      </c>
      <c r="O1890" s="4" t="str">
        <f t="shared" si="93"/>
        <v/>
      </c>
      <c r="P1890" s="59" t="str">
        <f t="shared" si="94"/>
        <v/>
      </c>
    </row>
    <row r="1891" spans="4:16" ht="22.5" customHeight="1" x14ac:dyDescent="0.25">
      <c r="D1891" s="59" t="str">
        <f t="shared" si="92"/>
        <v/>
      </c>
      <c r="O1891" s="4" t="str">
        <f t="shared" si="93"/>
        <v/>
      </c>
      <c r="P1891" s="59" t="str">
        <f t="shared" si="94"/>
        <v/>
      </c>
    </row>
    <row r="1892" spans="4:16" ht="22.5" customHeight="1" x14ac:dyDescent="0.25">
      <c r="D1892" s="59" t="str">
        <f t="shared" si="92"/>
        <v/>
      </c>
      <c r="O1892" s="4" t="str">
        <f t="shared" si="93"/>
        <v/>
      </c>
      <c r="P1892" s="59" t="str">
        <f t="shared" si="94"/>
        <v/>
      </c>
    </row>
    <row r="1893" spans="4:16" ht="22.5" customHeight="1" x14ac:dyDescent="0.25">
      <c r="D1893" s="59" t="str">
        <f t="shared" si="92"/>
        <v/>
      </c>
      <c r="O1893" s="4" t="str">
        <f t="shared" si="93"/>
        <v/>
      </c>
      <c r="P1893" s="59" t="str">
        <f t="shared" si="94"/>
        <v/>
      </c>
    </row>
    <row r="1894" spans="4:16" ht="22.5" customHeight="1" x14ac:dyDescent="0.25">
      <c r="D1894" s="59" t="str">
        <f t="shared" si="92"/>
        <v/>
      </c>
      <c r="O1894" s="4" t="str">
        <f t="shared" si="93"/>
        <v/>
      </c>
      <c r="P1894" s="59" t="str">
        <f t="shared" si="94"/>
        <v/>
      </c>
    </row>
    <row r="1895" spans="4:16" ht="22.5" customHeight="1" x14ac:dyDescent="0.25">
      <c r="D1895" s="59" t="str">
        <f t="shared" si="92"/>
        <v/>
      </c>
      <c r="O1895" s="4" t="str">
        <f t="shared" si="93"/>
        <v/>
      </c>
      <c r="P1895" s="59" t="str">
        <f t="shared" si="94"/>
        <v/>
      </c>
    </row>
    <row r="1896" spans="4:16" ht="22.5" customHeight="1" x14ac:dyDescent="0.25">
      <c r="D1896" s="59" t="str">
        <f t="shared" si="92"/>
        <v/>
      </c>
      <c r="O1896" s="4" t="str">
        <f t="shared" si="93"/>
        <v/>
      </c>
      <c r="P1896" s="59" t="str">
        <f t="shared" si="94"/>
        <v/>
      </c>
    </row>
    <row r="1897" spans="4:16" ht="22.5" customHeight="1" x14ac:dyDescent="0.25">
      <c r="D1897" s="59" t="str">
        <f t="shared" si="92"/>
        <v/>
      </c>
      <c r="O1897" s="4" t="str">
        <f t="shared" si="93"/>
        <v/>
      </c>
      <c r="P1897" s="59" t="str">
        <f t="shared" si="94"/>
        <v/>
      </c>
    </row>
    <row r="1898" spans="4:16" ht="22.5" customHeight="1" x14ac:dyDescent="0.25">
      <c r="D1898" s="59" t="str">
        <f t="shared" si="92"/>
        <v/>
      </c>
      <c r="O1898" s="4" t="str">
        <f t="shared" si="93"/>
        <v/>
      </c>
      <c r="P1898" s="59" t="str">
        <f t="shared" si="94"/>
        <v/>
      </c>
    </row>
    <row r="1899" spans="4:16" ht="22.5" customHeight="1" x14ac:dyDescent="0.25">
      <c r="D1899" s="59" t="str">
        <f t="shared" si="92"/>
        <v/>
      </c>
      <c r="O1899" s="4" t="str">
        <f t="shared" si="93"/>
        <v/>
      </c>
      <c r="P1899" s="59" t="str">
        <f t="shared" si="94"/>
        <v/>
      </c>
    </row>
    <row r="1900" spans="4:16" ht="22.5" customHeight="1" x14ac:dyDescent="0.25">
      <c r="D1900" s="59" t="str">
        <f t="shared" si="92"/>
        <v/>
      </c>
      <c r="O1900" s="4" t="str">
        <f t="shared" si="93"/>
        <v/>
      </c>
      <c r="P1900" s="59" t="str">
        <f t="shared" si="94"/>
        <v/>
      </c>
    </row>
    <row r="1901" spans="4:16" ht="22.5" customHeight="1" x14ac:dyDescent="0.25">
      <c r="D1901" s="59" t="str">
        <f t="shared" si="92"/>
        <v/>
      </c>
      <c r="O1901" s="4" t="str">
        <f t="shared" si="93"/>
        <v/>
      </c>
      <c r="P1901" s="59" t="str">
        <f t="shared" si="94"/>
        <v/>
      </c>
    </row>
    <row r="1902" spans="4:16" ht="22.5" customHeight="1" x14ac:dyDescent="0.25">
      <c r="D1902" s="59" t="str">
        <f t="shared" si="92"/>
        <v/>
      </c>
      <c r="O1902" s="4" t="str">
        <f t="shared" si="93"/>
        <v/>
      </c>
      <c r="P1902" s="59" t="str">
        <f t="shared" si="94"/>
        <v/>
      </c>
    </row>
    <row r="1903" spans="4:16" ht="22.5" customHeight="1" x14ac:dyDescent="0.25">
      <c r="D1903" s="59" t="str">
        <f t="shared" si="92"/>
        <v/>
      </c>
      <c r="O1903" s="4" t="str">
        <f t="shared" si="93"/>
        <v/>
      </c>
      <c r="P1903" s="59" t="str">
        <f t="shared" si="94"/>
        <v/>
      </c>
    </row>
    <row r="1904" spans="4:16" ht="22.5" customHeight="1" x14ac:dyDescent="0.25">
      <c r="D1904" s="59" t="str">
        <f t="shared" si="92"/>
        <v/>
      </c>
      <c r="O1904" s="4" t="str">
        <f t="shared" si="93"/>
        <v/>
      </c>
      <c r="P1904" s="59" t="str">
        <f t="shared" si="94"/>
        <v/>
      </c>
    </row>
    <row r="1905" spans="4:16" ht="22.5" customHeight="1" x14ac:dyDescent="0.25">
      <c r="D1905" s="59" t="str">
        <f t="shared" si="92"/>
        <v/>
      </c>
      <c r="O1905" s="4" t="str">
        <f t="shared" si="93"/>
        <v/>
      </c>
      <c r="P1905" s="59" t="str">
        <f t="shared" si="94"/>
        <v/>
      </c>
    </row>
    <row r="1906" spans="4:16" ht="22.5" customHeight="1" x14ac:dyDescent="0.25">
      <c r="D1906" s="59" t="str">
        <f t="shared" si="92"/>
        <v/>
      </c>
      <c r="O1906" s="4" t="str">
        <f t="shared" si="93"/>
        <v/>
      </c>
      <c r="P1906" s="59" t="str">
        <f t="shared" si="94"/>
        <v/>
      </c>
    </row>
    <row r="1907" spans="4:16" ht="22.5" customHeight="1" x14ac:dyDescent="0.25">
      <c r="D1907" s="59" t="str">
        <f t="shared" si="92"/>
        <v/>
      </c>
      <c r="O1907" s="4" t="str">
        <f t="shared" si="93"/>
        <v/>
      </c>
      <c r="P1907" s="59" t="str">
        <f t="shared" si="94"/>
        <v/>
      </c>
    </row>
    <row r="1908" spans="4:16" ht="22.5" customHeight="1" x14ac:dyDescent="0.25">
      <c r="D1908" s="59" t="str">
        <f t="shared" si="92"/>
        <v/>
      </c>
      <c r="O1908" s="4" t="str">
        <f t="shared" si="93"/>
        <v/>
      </c>
      <c r="P1908" s="59" t="str">
        <f t="shared" si="94"/>
        <v/>
      </c>
    </row>
    <row r="1909" spans="4:16" ht="22.5" customHeight="1" x14ac:dyDescent="0.25">
      <c r="D1909" s="59" t="str">
        <f t="shared" si="92"/>
        <v/>
      </c>
      <c r="O1909" s="4" t="str">
        <f t="shared" si="93"/>
        <v/>
      </c>
      <c r="P1909" s="59" t="str">
        <f t="shared" si="94"/>
        <v/>
      </c>
    </row>
    <row r="1910" spans="4:16" ht="22.5" customHeight="1" x14ac:dyDescent="0.25">
      <c r="D1910" s="59" t="str">
        <f t="shared" si="92"/>
        <v/>
      </c>
      <c r="O1910" s="4" t="str">
        <f t="shared" si="93"/>
        <v/>
      </c>
      <c r="P1910" s="59" t="str">
        <f t="shared" si="94"/>
        <v/>
      </c>
    </row>
    <row r="1911" spans="4:16" ht="22.5" customHeight="1" x14ac:dyDescent="0.25">
      <c r="D1911" s="59" t="str">
        <f t="shared" si="92"/>
        <v/>
      </c>
      <c r="O1911" s="4" t="str">
        <f t="shared" si="93"/>
        <v/>
      </c>
      <c r="P1911" s="59" t="str">
        <f t="shared" si="94"/>
        <v/>
      </c>
    </row>
    <row r="1912" spans="4:16" ht="22.5" customHeight="1" x14ac:dyDescent="0.25">
      <c r="D1912" s="59" t="str">
        <f t="shared" si="92"/>
        <v/>
      </c>
      <c r="O1912" s="4" t="str">
        <f t="shared" si="93"/>
        <v/>
      </c>
      <c r="P1912" s="59" t="str">
        <f t="shared" si="94"/>
        <v/>
      </c>
    </row>
    <row r="1913" spans="4:16" ht="22.5" customHeight="1" x14ac:dyDescent="0.25">
      <c r="D1913" s="59" t="str">
        <f t="shared" si="92"/>
        <v/>
      </c>
      <c r="O1913" s="4" t="str">
        <f t="shared" si="93"/>
        <v/>
      </c>
      <c r="P1913" s="59" t="str">
        <f t="shared" si="94"/>
        <v/>
      </c>
    </row>
    <row r="1914" spans="4:16" ht="22.5" customHeight="1" x14ac:dyDescent="0.25">
      <c r="D1914" s="59" t="str">
        <f t="shared" si="92"/>
        <v/>
      </c>
      <c r="O1914" s="4" t="str">
        <f t="shared" si="93"/>
        <v/>
      </c>
      <c r="P1914" s="59" t="str">
        <f t="shared" si="94"/>
        <v/>
      </c>
    </row>
    <row r="1915" spans="4:16" ht="22.5" customHeight="1" x14ac:dyDescent="0.25">
      <c r="D1915" s="59" t="str">
        <f t="shared" si="92"/>
        <v/>
      </c>
      <c r="O1915" s="4" t="str">
        <f t="shared" si="93"/>
        <v/>
      </c>
      <c r="P1915" s="59" t="str">
        <f t="shared" si="94"/>
        <v/>
      </c>
    </row>
    <row r="1916" spans="4:16" ht="22.5" customHeight="1" x14ac:dyDescent="0.25">
      <c r="D1916" s="59" t="str">
        <f t="shared" si="92"/>
        <v/>
      </c>
      <c r="O1916" s="4" t="str">
        <f t="shared" si="93"/>
        <v/>
      </c>
      <c r="P1916" s="59" t="str">
        <f t="shared" si="94"/>
        <v/>
      </c>
    </row>
    <row r="1917" spans="4:16" ht="22.5" customHeight="1" x14ac:dyDescent="0.25">
      <c r="D1917" s="59" t="str">
        <f t="shared" si="92"/>
        <v/>
      </c>
      <c r="O1917" s="4" t="str">
        <f t="shared" si="93"/>
        <v/>
      </c>
      <c r="P1917" s="59" t="str">
        <f t="shared" si="94"/>
        <v/>
      </c>
    </row>
    <row r="1918" spans="4:16" ht="22.5" customHeight="1" x14ac:dyDescent="0.25">
      <c r="D1918" s="59" t="str">
        <f t="shared" si="92"/>
        <v/>
      </c>
      <c r="O1918" s="4" t="str">
        <f t="shared" si="93"/>
        <v/>
      </c>
      <c r="P1918" s="59" t="str">
        <f t="shared" si="94"/>
        <v/>
      </c>
    </row>
    <row r="1919" spans="4:16" ht="22.5" customHeight="1" x14ac:dyDescent="0.25">
      <c r="D1919" s="59" t="str">
        <f t="shared" si="92"/>
        <v/>
      </c>
      <c r="O1919" s="4" t="str">
        <f t="shared" si="93"/>
        <v/>
      </c>
      <c r="P1919" s="59" t="str">
        <f t="shared" si="94"/>
        <v/>
      </c>
    </row>
    <row r="1920" spans="4:16" ht="22.5" customHeight="1" x14ac:dyDescent="0.25">
      <c r="D1920" s="59" t="str">
        <f t="shared" si="92"/>
        <v/>
      </c>
      <c r="O1920" s="4" t="str">
        <f t="shared" si="93"/>
        <v/>
      </c>
      <c r="P1920" s="59" t="str">
        <f t="shared" si="94"/>
        <v/>
      </c>
    </row>
    <row r="1921" spans="4:16" ht="22.5" customHeight="1" x14ac:dyDescent="0.25">
      <c r="D1921" s="59" t="str">
        <f t="shared" si="92"/>
        <v/>
      </c>
      <c r="O1921" s="4" t="str">
        <f t="shared" si="93"/>
        <v/>
      </c>
      <c r="P1921" s="59" t="str">
        <f t="shared" si="94"/>
        <v/>
      </c>
    </row>
    <row r="1922" spans="4:16" ht="22.5" customHeight="1" x14ac:dyDescent="0.25">
      <c r="D1922" s="59" t="str">
        <f t="shared" si="92"/>
        <v/>
      </c>
      <c r="O1922" s="4" t="str">
        <f t="shared" si="93"/>
        <v/>
      </c>
      <c r="P1922" s="59" t="str">
        <f t="shared" si="94"/>
        <v/>
      </c>
    </row>
    <row r="1923" spans="4:16" ht="22.5" customHeight="1" x14ac:dyDescent="0.25">
      <c r="D1923" s="59" t="str">
        <f t="shared" si="92"/>
        <v/>
      </c>
      <c r="O1923" s="4" t="str">
        <f t="shared" si="93"/>
        <v/>
      </c>
      <c r="P1923" s="59" t="str">
        <f t="shared" si="94"/>
        <v/>
      </c>
    </row>
    <row r="1924" spans="4:16" ht="22.5" customHeight="1" x14ac:dyDescent="0.25">
      <c r="D1924" s="59" t="str">
        <f t="shared" si="92"/>
        <v/>
      </c>
      <c r="O1924" s="4" t="str">
        <f t="shared" si="93"/>
        <v/>
      </c>
      <c r="P1924" s="59" t="str">
        <f t="shared" si="94"/>
        <v/>
      </c>
    </row>
    <row r="1925" spans="4:16" ht="22.5" customHeight="1" x14ac:dyDescent="0.25">
      <c r="D1925" s="59" t="str">
        <f t="shared" si="92"/>
        <v/>
      </c>
      <c r="O1925" s="4" t="str">
        <f t="shared" si="93"/>
        <v/>
      </c>
      <c r="P1925" s="59" t="str">
        <f t="shared" si="94"/>
        <v/>
      </c>
    </row>
    <row r="1926" spans="4:16" ht="22.5" customHeight="1" x14ac:dyDescent="0.25">
      <c r="D1926" s="59" t="str">
        <f t="shared" si="92"/>
        <v/>
      </c>
      <c r="O1926" s="4" t="str">
        <f t="shared" si="93"/>
        <v/>
      </c>
      <c r="P1926" s="59" t="str">
        <f t="shared" si="94"/>
        <v/>
      </c>
    </row>
    <row r="1927" spans="4:16" ht="22.5" customHeight="1" x14ac:dyDescent="0.25">
      <c r="D1927" s="59" t="str">
        <f t="shared" si="92"/>
        <v/>
      </c>
      <c r="O1927" s="4" t="str">
        <f t="shared" si="93"/>
        <v/>
      </c>
      <c r="P1927" s="59" t="str">
        <f t="shared" si="94"/>
        <v/>
      </c>
    </row>
    <row r="1928" spans="4:16" ht="22.5" customHeight="1" x14ac:dyDescent="0.25">
      <c r="D1928" s="59" t="str">
        <f t="shared" si="92"/>
        <v/>
      </c>
      <c r="O1928" s="4" t="str">
        <f t="shared" si="93"/>
        <v/>
      </c>
      <c r="P1928" s="59" t="str">
        <f t="shared" si="94"/>
        <v/>
      </c>
    </row>
    <row r="1929" spans="4:16" ht="22.5" customHeight="1" x14ac:dyDescent="0.25">
      <c r="D1929" s="59" t="str">
        <f t="shared" si="92"/>
        <v/>
      </c>
      <c r="O1929" s="4" t="str">
        <f t="shared" si="93"/>
        <v/>
      </c>
      <c r="P1929" s="59" t="str">
        <f t="shared" si="94"/>
        <v/>
      </c>
    </row>
    <row r="1930" spans="4:16" ht="22.5" customHeight="1" x14ac:dyDescent="0.25">
      <c r="D1930" s="59" t="str">
        <f t="shared" si="92"/>
        <v/>
      </c>
      <c r="O1930" s="4" t="str">
        <f t="shared" si="93"/>
        <v/>
      </c>
      <c r="P1930" s="59" t="str">
        <f t="shared" si="94"/>
        <v/>
      </c>
    </row>
    <row r="1931" spans="4:16" ht="22.5" customHeight="1" x14ac:dyDescent="0.25">
      <c r="D1931" s="59" t="str">
        <f t="shared" si="92"/>
        <v/>
      </c>
      <c r="O1931" s="4" t="str">
        <f t="shared" si="93"/>
        <v/>
      </c>
      <c r="P1931" s="59" t="str">
        <f t="shared" si="94"/>
        <v/>
      </c>
    </row>
    <row r="1932" spans="4:16" ht="22.5" customHeight="1" x14ac:dyDescent="0.25">
      <c r="D1932" s="59" t="str">
        <f t="shared" si="92"/>
        <v/>
      </c>
      <c r="O1932" s="4" t="str">
        <f t="shared" si="93"/>
        <v/>
      </c>
      <c r="P1932" s="59" t="str">
        <f t="shared" si="94"/>
        <v/>
      </c>
    </row>
    <row r="1933" spans="4:16" ht="22.5" customHeight="1" x14ac:dyDescent="0.25">
      <c r="D1933" s="59" t="str">
        <f t="shared" si="92"/>
        <v/>
      </c>
      <c r="O1933" s="4" t="str">
        <f t="shared" si="93"/>
        <v/>
      </c>
      <c r="P1933" s="59" t="str">
        <f t="shared" si="94"/>
        <v/>
      </c>
    </row>
    <row r="1934" spans="4:16" ht="22.5" customHeight="1" x14ac:dyDescent="0.25">
      <c r="D1934" s="59" t="str">
        <f t="shared" si="92"/>
        <v/>
      </c>
      <c r="O1934" s="4" t="str">
        <f t="shared" si="93"/>
        <v/>
      </c>
      <c r="P1934" s="59" t="str">
        <f t="shared" si="94"/>
        <v/>
      </c>
    </row>
    <row r="1935" spans="4:16" ht="22.5" customHeight="1" x14ac:dyDescent="0.25">
      <c r="D1935" s="59" t="str">
        <f t="shared" si="92"/>
        <v/>
      </c>
      <c r="O1935" s="4" t="str">
        <f t="shared" si="93"/>
        <v/>
      </c>
      <c r="P1935" s="59" t="str">
        <f t="shared" si="94"/>
        <v/>
      </c>
    </row>
    <row r="1936" spans="4:16" ht="22.5" customHeight="1" x14ac:dyDescent="0.25">
      <c r="D1936" s="59" t="str">
        <f t="shared" si="92"/>
        <v/>
      </c>
      <c r="O1936" s="4" t="str">
        <f t="shared" si="93"/>
        <v/>
      </c>
      <c r="P1936" s="59" t="str">
        <f t="shared" si="94"/>
        <v/>
      </c>
    </row>
    <row r="1937" spans="4:16" ht="22.5" customHeight="1" x14ac:dyDescent="0.25">
      <c r="D1937" s="59" t="str">
        <f t="shared" si="92"/>
        <v/>
      </c>
      <c r="O1937" s="4" t="str">
        <f t="shared" si="93"/>
        <v/>
      </c>
      <c r="P1937" s="59" t="str">
        <f t="shared" si="94"/>
        <v/>
      </c>
    </row>
    <row r="1938" spans="4:16" ht="22.5" customHeight="1" x14ac:dyDescent="0.25">
      <c r="D1938" s="59" t="str">
        <f t="shared" si="92"/>
        <v/>
      </c>
      <c r="O1938" s="4" t="str">
        <f t="shared" si="93"/>
        <v/>
      </c>
      <c r="P1938" s="59" t="str">
        <f t="shared" si="94"/>
        <v/>
      </c>
    </row>
    <row r="1939" spans="4:16" ht="22.5" customHeight="1" x14ac:dyDescent="0.25">
      <c r="D1939" s="59" t="str">
        <f t="shared" si="92"/>
        <v/>
      </c>
      <c r="O1939" s="4" t="str">
        <f t="shared" si="93"/>
        <v/>
      </c>
      <c r="P1939" s="59" t="str">
        <f t="shared" si="94"/>
        <v/>
      </c>
    </row>
    <row r="1940" spans="4:16" ht="22.5" customHeight="1" x14ac:dyDescent="0.25">
      <c r="D1940" s="59" t="str">
        <f t="shared" si="92"/>
        <v/>
      </c>
      <c r="O1940" s="4" t="str">
        <f t="shared" si="93"/>
        <v/>
      </c>
      <c r="P1940" s="59" t="str">
        <f t="shared" si="94"/>
        <v/>
      </c>
    </row>
    <row r="1941" spans="4:16" ht="22.5" customHeight="1" x14ac:dyDescent="0.25">
      <c r="D1941" s="59" t="str">
        <f t="shared" si="92"/>
        <v/>
      </c>
      <c r="O1941" s="4" t="str">
        <f t="shared" si="93"/>
        <v/>
      </c>
      <c r="P1941" s="59" t="str">
        <f t="shared" si="94"/>
        <v/>
      </c>
    </row>
    <row r="1942" spans="4:16" ht="22.5" customHeight="1" x14ac:dyDescent="0.25">
      <c r="D1942" s="59" t="str">
        <f t="shared" si="92"/>
        <v/>
      </c>
      <c r="O1942" s="4" t="str">
        <f t="shared" si="93"/>
        <v/>
      </c>
      <c r="P1942" s="59" t="str">
        <f t="shared" si="94"/>
        <v/>
      </c>
    </row>
    <row r="1943" spans="4:16" ht="22.5" customHeight="1" x14ac:dyDescent="0.25">
      <c r="D1943" s="59" t="str">
        <f t="shared" si="92"/>
        <v/>
      </c>
      <c r="O1943" s="4" t="str">
        <f t="shared" si="93"/>
        <v/>
      </c>
      <c r="P1943" s="59" t="str">
        <f t="shared" si="94"/>
        <v/>
      </c>
    </row>
    <row r="1944" spans="4:16" ht="22.5" customHeight="1" x14ac:dyDescent="0.25">
      <c r="D1944" s="59" t="str">
        <f t="shared" si="92"/>
        <v/>
      </c>
      <c r="O1944" s="4" t="str">
        <f t="shared" si="93"/>
        <v/>
      </c>
      <c r="P1944" s="59" t="str">
        <f t="shared" si="94"/>
        <v/>
      </c>
    </row>
    <row r="1945" spans="4:16" ht="22.5" customHeight="1" x14ac:dyDescent="0.25">
      <c r="D1945" s="59" t="str">
        <f t="shared" si="92"/>
        <v/>
      </c>
      <c r="O1945" s="4" t="str">
        <f t="shared" si="93"/>
        <v/>
      </c>
      <c r="P1945" s="59" t="str">
        <f t="shared" si="94"/>
        <v/>
      </c>
    </row>
    <row r="1946" spans="4:16" ht="22.5" customHeight="1" x14ac:dyDescent="0.25">
      <c r="D1946" s="59" t="str">
        <f t="shared" si="92"/>
        <v/>
      </c>
      <c r="O1946" s="4" t="str">
        <f t="shared" si="93"/>
        <v/>
      </c>
      <c r="P1946" s="59" t="str">
        <f t="shared" si="94"/>
        <v/>
      </c>
    </row>
    <row r="1947" spans="4:16" ht="22.5" customHeight="1" x14ac:dyDescent="0.25">
      <c r="D1947" s="59" t="str">
        <f t="shared" si="92"/>
        <v/>
      </c>
      <c r="O1947" s="4" t="str">
        <f t="shared" si="93"/>
        <v/>
      </c>
      <c r="P1947" s="59" t="str">
        <f t="shared" si="94"/>
        <v/>
      </c>
    </row>
    <row r="1948" spans="4:16" ht="22.5" customHeight="1" x14ac:dyDescent="0.25">
      <c r="D1948" s="59" t="str">
        <f t="shared" ref="D1948:D2011" si="95">IF(AND(I1948&lt;&gt;"",J1948&lt;&gt;""), I1948*J1948, "")</f>
        <v/>
      </c>
      <c r="O1948" s="4" t="str">
        <f t="shared" ref="O1948:O2011" si="96">IF(OR(D1948="", N1948=""), "", ROUND(D1948 * N1948 / 100, 2))</f>
        <v/>
      </c>
      <c r="P1948" s="59" t="str">
        <f t="shared" ref="P1948:P2011" si="97">IF(D1948="", "", D1948 + O1948)</f>
        <v/>
      </c>
    </row>
    <row r="1949" spans="4:16" ht="22.5" customHeight="1" x14ac:dyDescent="0.25">
      <c r="D1949" s="59" t="str">
        <f t="shared" si="95"/>
        <v/>
      </c>
      <c r="O1949" s="4" t="str">
        <f t="shared" si="96"/>
        <v/>
      </c>
      <c r="P1949" s="59" t="str">
        <f t="shared" si="97"/>
        <v/>
      </c>
    </row>
    <row r="1950" spans="4:16" ht="22.5" customHeight="1" x14ac:dyDescent="0.25">
      <c r="D1950" s="59" t="str">
        <f t="shared" si="95"/>
        <v/>
      </c>
      <c r="O1950" s="4" t="str">
        <f t="shared" si="96"/>
        <v/>
      </c>
      <c r="P1950" s="59" t="str">
        <f t="shared" si="97"/>
        <v/>
      </c>
    </row>
    <row r="1951" spans="4:16" ht="22.5" customHeight="1" x14ac:dyDescent="0.25">
      <c r="D1951" s="59" t="str">
        <f t="shared" si="95"/>
        <v/>
      </c>
      <c r="O1951" s="4" t="str">
        <f t="shared" si="96"/>
        <v/>
      </c>
      <c r="P1951" s="59" t="str">
        <f t="shared" si="97"/>
        <v/>
      </c>
    </row>
    <row r="1952" spans="4:16" ht="22.5" customHeight="1" x14ac:dyDescent="0.25">
      <c r="D1952" s="59" t="str">
        <f t="shared" si="95"/>
        <v/>
      </c>
      <c r="O1952" s="4" t="str">
        <f t="shared" si="96"/>
        <v/>
      </c>
      <c r="P1952" s="59" t="str">
        <f t="shared" si="97"/>
        <v/>
      </c>
    </row>
    <row r="1953" spans="4:16" ht="22.5" customHeight="1" x14ac:dyDescent="0.25">
      <c r="D1953" s="59" t="str">
        <f t="shared" si="95"/>
        <v/>
      </c>
      <c r="O1953" s="4" t="str">
        <f t="shared" si="96"/>
        <v/>
      </c>
      <c r="P1953" s="59" t="str">
        <f t="shared" si="97"/>
        <v/>
      </c>
    </row>
    <row r="1954" spans="4:16" ht="22.5" customHeight="1" x14ac:dyDescent="0.25">
      <c r="D1954" s="59" t="str">
        <f t="shared" si="95"/>
        <v/>
      </c>
      <c r="O1954" s="4" t="str">
        <f t="shared" si="96"/>
        <v/>
      </c>
      <c r="P1954" s="59" t="str">
        <f t="shared" si="97"/>
        <v/>
      </c>
    </row>
    <row r="1955" spans="4:16" ht="22.5" customHeight="1" x14ac:dyDescent="0.25">
      <c r="D1955" s="59" t="str">
        <f t="shared" si="95"/>
        <v/>
      </c>
      <c r="O1955" s="4" t="str">
        <f t="shared" si="96"/>
        <v/>
      </c>
      <c r="P1955" s="59" t="str">
        <f t="shared" si="97"/>
        <v/>
      </c>
    </row>
    <row r="1956" spans="4:16" ht="22.5" customHeight="1" x14ac:dyDescent="0.25">
      <c r="D1956" s="59" t="str">
        <f t="shared" si="95"/>
        <v/>
      </c>
      <c r="O1956" s="4" t="str">
        <f t="shared" si="96"/>
        <v/>
      </c>
      <c r="P1956" s="59" t="str">
        <f t="shared" si="97"/>
        <v/>
      </c>
    </row>
    <row r="1957" spans="4:16" ht="22.5" customHeight="1" x14ac:dyDescent="0.25">
      <c r="D1957" s="59" t="str">
        <f t="shared" si="95"/>
        <v/>
      </c>
      <c r="O1957" s="4" t="str">
        <f t="shared" si="96"/>
        <v/>
      </c>
      <c r="P1957" s="59" t="str">
        <f t="shared" si="97"/>
        <v/>
      </c>
    </row>
    <row r="1958" spans="4:16" ht="22.5" customHeight="1" x14ac:dyDescent="0.25">
      <c r="D1958" s="59" t="str">
        <f t="shared" si="95"/>
        <v/>
      </c>
      <c r="O1958" s="4" t="str">
        <f t="shared" si="96"/>
        <v/>
      </c>
      <c r="P1958" s="59" t="str">
        <f t="shared" si="97"/>
        <v/>
      </c>
    </row>
    <row r="1959" spans="4:16" ht="22.5" customHeight="1" x14ac:dyDescent="0.25">
      <c r="D1959" s="59" t="str">
        <f t="shared" si="95"/>
        <v/>
      </c>
      <c r="O1959" s="4" t="str">
        <f t="shared" si="96"/>
        <v/>
      </c>
      <c r="P1959" s="59" t="str">
        <f t="shared" si="97"/>
        <v/>
      </c>
    </row>
    <row r="1960" spans="4:16" ht="22.5" customHeight="1" x14ac:dyDescent="0.25">
      <c r="D1960" s="59" t="str">
        <f t="shared" si="95"/>
        <v/>
      </c>
      <c r="O1960" s="4" t="str">
        <f t="shared" si="96"/>
        <v/>
      </c>
      <c r="P1960" s="59" t="str">
        <f t="shared" si="97"/>
        <v/>
      </c>
    </row>
    <row r="1961" spans="4:16" ht="22.5" customHeight="1" x14ac:dyDescent="0.25">
      <c r="D1961" s="59" t="str">
        <f t="shared" si="95"/>
        <v/>
      </c>
      <c r="O1961" s="4" t="str">
        <f t="shared" si="96"/>
        <v/>
      </c>
      <c r="P1961" s="59" t="str">
        <f t="shared" si="97"/>
        <v/>
      </c>
    </row>
    <row r="1962" spans="4:16" ht="22.5" customHeight="1" x14ac:dyDescent="0.25">
      <c r="D1962" s="59" t="str">
        <f t="shared" si="95"/>
        <v/>
      </c>
      <c r="O1962" s="4" t="str">
        <f t="shared" si="96"/>
        <v/>
      </c>
      <c r="P1962" s="59" t="str">
        <f t="shared" si="97"/>
        <v/>
      </c>
    </row>
    <row r="1963" spans="4:16" ht="22.5" customHeight="1" x14ac:dyDescent="0.25">
      <c r="D1963" s="59" t="str">
        <f t="shared" si="95"/>
        <v/>
      </c>
      <c r="O1963" s="4" t="str">
        <f t="shared" si="96"/>
        <v/>
      </c>
      <c r="P1963" s="59" t="str">
        <f t="shared" si="97"/>
        <v/>
      </c>
    </row>
    <row r="1964" spans="4:16" ht="22.5" customHeight="1" x14ac:dyDescent="0.25">
      <c r="D1964" s="59" t="str">
        <f t="shared" si="95"/>
        <v/>
      </c>
      <c r="O1964" s="4" t="str">
        <f t="shared" si="96"/>
        <v/>
      </c>
      <c r="P1964" s="59" t="str">
        <f t="shared" si="97"/>
        <v/>
      </c>
    </row>
    <row r="1965" spans="4:16" ht="22.5" customHeight="1" x14ac:dyDescent="0.25">
      <c r="D1965" s="59" t="str">
        <f t="shared" si="95"/>
        <v/>
      </c>
      <c r="O1965" s="4" t="str">
        <f t="shared" si="96"/>
        <v/>
      </c>
      <c r="P1965" s="59" t="str">
        <f t="shared" si="97"/>
        <v/>
      </c>
    </row>
    <row r="1966" spans="4:16" ht="22.5" customHeight="1" x14ac:dyDescent="0.25">
      <c r="D1966" s="59" t="str">
        <f t="shared" si="95"/>
        <v/>
      </c>
      <c r="O1966" s="4" t="str">
        <f t="shared" si="96"/>
        <v/>
      </c>
      <c r="P1966" s="59" t="str">
        <f t="shared" si="97"/>
        <v/>
      </c>
    </row>
    <row r="1967" spans="4:16" ht="22.5" customHeight="1" x14ac:dyDescent="0.25">
      <c r="D1967" s="59" t="str">
        <f t="shared" si="95"/>
        <v/>
      </c>
      <c r="O1967" s="4" t="str">
        <f t="shared" si="96"/>
        <v/>
      </c>
      <c r="P1967" s="59" t="str">
        <f t="shared" si="97"/>
        <v/>
      </c>
    </row>
    <row r="1968" spans="4:16" ht="22.5" customHeight="1" x14ac:dyDescent="0.25">
      <c r="D1968" s="59" t="str">
        <f t="shared" si="95"/>
        <v/>
      </c>
      <c r="O1968" s="4" t="str">
        <f t="shared" si="96"/>
        <v/>
      </c>
      <c r="P1968" s="59" t="str">
        <f t="shared" si="97"/>
        <v/>
      </c>
    </row>
    <row r="1969" spans="4:16" ht="22.5" customHeight="1" x14ac:dyDescent="0.25">
      <c r="D1969" s="59" t="str">
        <f t="shared" si="95"/>
        <v/>
      </c>
      <c r="O1969" s="4" t="str">
        <f t="shared" si="96"/>
        <v/>
      </c>
      <c r="P1969" s="59" t="str">
        <f t="shared" si="97"/>
        <v/>
      </c>
    </row>
    <row r="1970" spans="4:16" ht="22.5" customHeight="1" x14ac:dyDescent="0.25">
      <c r="D1970" s="59" t="str">
        <f t="shared" si="95"/>
        <v/>
      </c>
      <c r="O1970" s="4" t="str">
        <f t="shared" si="96"/>
        <v/>
      </c>
      <c r="P1970" s="59" t="str">
        <f t="shared" si="97"/>
        <v/>
      </c>
    </row>
    <row r="1971" spans="4:16" ht="22.5" customHeight="1" x14ac:dyDescent="0.25">
      <c r="D1971" s="59" t="str">
        <f t="shared" si="95"/>
        <v/>
      </c>
      <c r="O1971" s="4" t="str">
        <f t="shared" si="96"/>
        <v/>
      </c>
      <c r="P1971" s="59" t="str">
        <f t="shared" si="97"/>
        <v/>
      </c>
    </row>
    <row r="1972" spans="4:16" ht="22.5" customHeight="1" x14ac:dyDescent="0.25">
      <c r="D1972" s="59" t="str">
        <f t="shared" si="95"/>
        <v/>
      </c>
      <c r="O1972" s="4" t="str">
        <f t="shared" si="96"/>
        <v/>
      </c>
      <c r="P1972" s="59" t="str">
        <f t="shared" si="97"/>
        <v/>
      </c>
    </row>
    <row r="1973" spans="4:16" ht="22.5" customHeight="1" x14ac:dyDescent="0.25">
      <c r="D1973" s="59" t="str">
        <f t="shared" si="95"/>
        <v/>
      </c>
      <c r="O1973" s="4" t="str">
        <f t="shared" si="96"/>
        <v/>
      </c>
      <c r="P1973" s="59" t="str">
        <f t="shared" si="97"/>
        <v/>
      </c>
    </row>
    <row r="1974" spans="4:16" ht="22.5" customHeight="1" x14ac:dyDescent="0.25">
      <c r="D1974" s="59" t="str">
        <f t="shared" si="95"/>
        <v/>
      </c>
      <c r="O1974" s="4" t="str">
        <f t="shared" si="96"/>
        <v/>
      </c>
      <c r="P1974" s="59" t="str">
        <f t="shared" si="97"/>
        <v/>
      </c>
    </row>
    <row r="1975" spans="4:16" ht="22.5" customHeight="1" x14ac:dyDescent="0.25">
      <c r="D1975" s="59" t="str">
        <f t="shared" si="95"/>
        <v/>
      </c>
      <c r="O1975" s="4" t="str">
        <f t="shared" si="96"/>
        <v/>
      </c>
      <c r="P1975" s="59" t="str">
        <f t="shared" si="97"/>
        <v/>
      </c>
    </row>
    <row r="1976" spans="4:16" ht="22.5" customHeight="1" x14ac:dyDescent="0.25">
      <c r="D1976" s="59" t="str">
        <f t="shared" si="95"/>
        <v/>
      </c>
      <c r="O1976" s="4" t="str">
        <f t="shared" si="96"/>
        <v/>
      </c>
      <c r="P1976" s="59" t="str">
        <f t="shared" si="97"/>
        <v/>
      </c>
    </row>
    <row r="1977" spans="4:16" ht="22.5" customHeight="1" x14ac:dyDescent="0.25">
      <c r="D1977" s="59" t="str">
        <f t="shared" si="95"/>
        <v/>
      </c>
      <c r="O1977" s="4" t="str">
        <f t="shared" si="96"/>
        <v/>
      </c>
      <c r="P1977" s="59" t="str">
        <f t="shared" si="97"/>
        <v/>
      </c>
    </row>
    <row r="1978" spans="4:16" ht="22.5" customHeight="1" x14ac:dyDescent="0.25">
      <c r="D1978" s="59" t="str">
        <f t="shared" si="95"/>
        <v/>
      </c>
      <c r="O1978" s="4" t="str">
        <f t="shared" si="96"/>
        <v/>
      </c>
      <c r="P1978" s="59" t="str">
        <f t="shared" si="97"/>
        <v/>
      </c>
    </row>
    <row r="1979" spans="4:16" ht="22.5" customHeight="1" x14ac:dyDescent="0.25">
      <c r="D1979" s="59" t="str">
        <f t="shared" si="95"/>
        <v/>
      </c>
      <c r="O1979" s="4" t="str">
        <f t="shared" si="96"/>
        <v/>
      </c>
      <c r="P1979" s="59" t="str">
        <f t="shared" si="97"/>
        <v/>
      </c>
    </row>
    <row r="1980" spans="4:16" ht="22.5" customHeight="1" x14ac:dyDescent="0.25">
      <c r="D1980" s="59" t="str">
        <f t="shared" si="95"/>
        <v/>
      </c>
      <c r="O1980" s="4" t="str">
        <f t="shared" si="96"/>
        <v/>
      </c>
      <c r="P1980" s="59" t="str">
        <f t="shared" si="97"/>
        <v/>
      </c>
    </row>
    <row r="1981" spans="4:16" ht="22.5" customHeight="1" x14ac:dyDescent="0.25">
      <c r="D1981" s="59" t="str">
        <f t="shared" si="95"/>
        <v/>
      </c>
      <c r="O1981" s="4" t="str">
        <f t="shared" si="96"/>
        <v/>
      </c>
      <c r="P1981" s="59" t="str">
        <f t="shared" si="97"/>
        <v/>
      </c>
    </row>
    <row r="1982" spans="4:16" ht="22.5" customHeight="1" x14ac:dyDescent="0.25">
      <c r="D1982" s="59" t="str">
        <f t="shared" si="95"/>
        <v/>
      </c>
      <c r="O1982" s="4" t="str">
        <f t="shared" si="96"/>
        <v/>
      </c>
      <c r="P1982" s="59" t="str">
        <f t="shared" si="97"/>
        <v/>
      </c>
    </row>
    <row r="1983" spans="4:16" ht="22.5" customHeight="1" x14ac:dyDescent="0.25">
      <c r="D1983" s="59" t="str">
        <f t="shared" si="95"/>
        <v/>
      </c>
      <c r="O1983" s="4" t="str">
        <f t="shared" si="96"/>
        <v/>
      </c>
      <c r="P1983" s="59" t="str">
        <f t="shared" si="97"/>
        <v/>
      </c>
    </row>
    <row r="1984" spans="4:16" ht="22.5" customHeight="1" x14ac:dyDescent="0.25">
      <c r="D1984" s="59" t="str">
        <f t="shared" si="95"/>
        <v/>
      </c>
      <c r="O1984" s="4" t="str">
        <f t="shared" si="96"/>
        <v/>
      </c>
      <c r="P1984" s="59" t="str">
        <f t="shared" si="97"/>
        <v/>
      </c>
    </row>
    <row r="1985" spans="4:16" ht="22.5" customHeight="1" x14ac:dyDescent="0.25">
      <c r="D1985" s="59" t="str">
        <f t="shared" si="95"/>
        <v/>
      </c>
      <c r="O1985" s="4" t="str">
        <f t="shared" si="96"/>
        <v/>
      </c>
      <c r="P1985" s="59" t="str">
        <f t="shared" si="97"/>
        <v/>
      </c>
    </row>
    <row r="1986" spans="4:16" ht="22.5" customHeight="1" x14ac:dyDescent="0.25">
      <c r="D1986" s="59" t="str">
        <f t="shared" si="95"/>
        <v/>
      </c>
      <c r="O1986" s="4" t="str">
        <f t="shared" si="96"/>
        <v/>
      </c>
      <c r="P1986" s="59" t="str">
        <f t="shared" si="97"/>
        <v/>
      </c>
    </row>
    <row r="1987" spans="4:16" ht="22.5" customHeight="1" x14ac:dyDescent="0.25">
      <c r="D1987" s="59" t="str">
        <f t="shared" si="95"/>
        <v/>
      </c>
      <c r="O1987" s="4" t="str">
        <f t="shared" si="96"/>
        <v/>
      </c>
      <c r="P1987" s="59" t="str">
        <f t="shared" si="97"/>
        <v/>
      </c>
    </row>
    <row r="1988" spans="4:16" ht="22.5" customHeight="1" x14ac:dyDescent="0.25">
      <c r="D1988" s="59" t="str">
        <f t="shared" si="95"/>
        <v/>
      </c>
      <c r="O1988" s="4" t="str">
        <f t="shared" si="96"/>
        <v/>
      </c>
      <c r="P1988" s="59" t="str">
        <f t="shared" si="97"/>
        <v/>
      </c>
    </row>
    <row r="1989" spans="4:16" ht="22.5" customHeight="1" x14ac:dyDescent="0.25">
      <c r="D1989" s="59" t="str">
        <f t="shared" si="95"/>
        <v/>
      </c>
      <c r="O1989" s="4" t="str">
        <f t="shared" si="96"/>
        <v/>
      </c>
      <c r="P1989" s="59" t="str">
        <f t="shared" si="97"/>
        <v/>
      </c>
    </row>
    <row r="1990" spans="4:16" ht="22.5" customHeight="1" x14ac:dyDescent="0.25">
      <c r="D1990" s="59" t="str">
        <f t="shared" si="95"/>
        <v/>
      </c>
      <c r="O1990" s="4" t="str">
        <f t="shared" si="96"/>
        <v/>
      </c>
      <c r="P1990" s="59" t="str">
        <f t="shared" si="97"/>
        <v/>
      </c>
    </row>
    <row r="1991" spans="4:16" ht="22.5" customHeight="1" x14ac:dyDescent="0.25">
      <c r="D1991" s="59" t="str">
        <f t="shared" si="95"/>
        <v/>
      </c>
      <c r="O1991" s="4" t="str">
        <f t="shared" si="96"/>
        <v/>
      </c>
      <c r="P1991" s="59" t="str">
        <f t="shared" si="97"/>
        <v/>
      </c>
    </row>
    <row r="1992" spans="4:16" ht="22.5" customHeight="1" x14ac:dyDescent="0.25">
      <c r="D1992" s="59" t="str">
        <f t="shared" si="95"/>
        <v/>
      </c>
      <c r="O1992" s="4" t="str">
        <f t="shared" si="96"/>
        <v/>
      </c>
      <c r="P1992" s="59" t="str">
        <f t="shared" si="97"/>
        <v/>
      </c>
    </row>
    <row r="1993" spans="4:16" ht="22.5" customHeight="1" x14ac:dyDescent="0.25">
      <c r="D1993" s="59" t="str">
        <f t="shared" si="95"/>
        <v/>
      </c>
      <c r="O1993" s="4" t="str">
        <f t="shared" si="96"/>
        <v/>
      </c>
      <c r="P1993" s="59" t="str">
        <f t="shared" si="97"/>
        <v/>
      </c>
    </row>
    <row r="1994" spans="4:16" ht="22.5" customHeight="1" x14ac:dyDescent="0.25">
      <c r="D1994" s="59" t="str">
        <f t="shared" si="95"/>
        <v/>
      </c>
      <c r="O1994" s="4" t="str">
        <f t="shared" si="96"/>
        <v/>
      </c>
      <c r="P1994" s="59" t="str">
        <f t="shared" si="97"/>
        <v/>
      </c>
    </row>
    <row r="1995" spans="4:16" ht="22.5" customHeight="1" x14ac:dyDescent="0.25">
      <c r="D1995" s="59" t="str">
        <f t="shared" si="95"/>
        <v/>
      </c>
      <c r="O1995" s="4" t="str">
        <f t="shared" si="96"/>
        <v/>
      </c>
      <c r="P1995" s="59" t="str">
        <f t="shared" si="97"/>
        <v/>
      </c>
    </row>
    <row r="1996" spans="4:16" ht="22.5" customHeight="1" x14ac:dyDescent="0.25">
      <c r="D1996" s="59" t="str">
        <f t="shared" si="95"/>
        <v/>
      </c>
      <c r="O1996" s="4" t="str">
        <f t="shared" si="96"/>
        <v/>
      </c>
      <c r="P1996" s="59" t="str">
        <f t="shared" si="97"/>
        <v/>
      </c>
    </row>
    <row r="1997" spans="4:16" ht="22.5" customHeight="1" x14ac:dyDescent="0.25">
      <c r="D1997" s="59" t="str">
        <f t="shared" si="95"/>
        <v/>
      </c>
      <c r="O1997" s="4" t="str">
        <f t="shared" si="96"/>
        <v/>
      </c>
      <c r="P1997" s="59" t="str">
        <f t="shared" si="97"/>
        <v/>
      </c>
    </row>
    <row r="1998" spans="4:16" ht="22.5" customHeight="1" x14ac:dyDescent="0.25">
      <c r="D1998" s="59" t="str">
        <f t="shared" si="95"/>
        <v/>
      </c>
      <c r="O1998" s="4" t="str">
        <f t="shared" si="96"/>
        <v/>
      </c>
      <c r="P1998" s="59" t="str">
        <f t="shared" si="97"/>
        <v/>
      </c>
    </row>
    <row r="1999" spans="4:16" ht="22.5" customHeight="1" x14ac:dyDescent="0.25">
      <c r="D1999" s="59" t="str">
        <f t="shared" si="95"/>
        <v/>
      </c>
      <c r="O1999" s="4" t="str">
        <f t="shared" si="96"/>
        <v/>
      </c>
      <c r="P1999" s="59" t="str">
        <f t="shared" si="97"/>
        <v/>
      </c>
    </row>
    <row r="2000" spans="4:16" ht="22.5" customHeight="1" x14ac:dyDescent="0.25">
      <c r="D2000" s="59" t="str">
        <f t="shared" si="95"/>
        <v/>
      </c>
      <c r="O2000" s="4" t="str">
        <f t="shared" si="96"/>
        <v/>
      </c>
      <c r="P2000" s="59" t="str">
        <f t="shared" si="97"/>
        <v/>
      </c>
    </row>
    <row r="2001" spans="4:16" ht="22.5" customHeight="1" x14ac:dyDescent="0.25">
      <c r="D2001" s="59" t="str">
        <f t="shared" si="95"/>
        <v/>
      </c>
      <c r="O2001" s="4" t="str">
        <f t="shared" si="96"/>
        <v/>
      </c>
      <c r="P2001" s="59" t="str">
        <f t="shared" si="97"/>
        <v/>
      </c>
    </row>
    <row r="2002" spans="4:16" ht="22.5" customHeight="1" x14ac:dyDescent="0.25">
      <c r="D2002" s="59" t="str">
        <f t="shared" si="95"/>
        <v/>
      </c>
      <c r="O2002" s="4" t="str">
        <f t="shared" si="96"/>
        <v/>
      </c>
      <c r="P2002" s="59" t="str">
        <f t="shared" si="97"/>
        <v/>
      </c>
    </row>
    <row r="2003" spans="4:16" ht="22.5" customHeight="1" x14ac:dyDescent="0.25">
      <c r="D2003" s="59" t="str">
        <f t="shared" si="95"/>
        <v/>
      </c>
      <c r="O2003" s="4" t="str">
        <f t="shared" si="96"/>
        <v/>
      </c>
      <c r="P2003" s="59" t="str">
        <f t="shared" si="97"/>
        <v/>
      </c>
    </row>
    <row r="2004" spans="4:16" ht="22.5" customHeight="1" x14ac:dyDescent="0.25">
      <c r="D2004" s="59" t="str">
        <f t="shared" si="95"/>
        <v/>
      </c>
      <c r="O2004" s="4" t="str">
        <f t="shared" si="96"/>
        <v/>
      </c>
      <c r="P2004" s="59" t="str">
        <f t="shared" si="97"/>
        <v/>
      </c>
    </row>
    <row r="2005" spans="4:16" ht="22.5" customHeight="1" x14ac:dyDescent="0.25">
      <c r="D2005" s="59" t="str">
        <f t="shared" si="95"/>
        <v/>
      </c>
      <c r="O2005" s="4" t="str">
        <f t="shared" si="96"/>
        <v/>
      </c>
      <c r="P2005" s="59" t="str">
        <f t="shared" si="97"/>
        <v/>
      </c>
    </row>
    <row r="2006" spans="4:16" ht="22.5" customHeight="1" x14ac:dyDescent="0.25">
      <c r="D2006" s="59" t="str">
        <f t="shared" si="95"/>
        <v/>
      </c>
      <c r="O2006" s="4" t="str">
        <f t="shared" si="96"/>
        <v/>
      </c>
      <c r="P2006" s="59" t="str">
        <f t="shared" si="97"/>
        <v/>
      </c>
    </row>
    <row r="2007" spans="4:16" ht="22.5" customHeight="1" x14ac:dyDescent="0.25">
      <c r="D2007" s="59" t="str">
        <f t="shared" si="95"/>
        <v/>
      </c>
      <c r="O2007" s="4" t="str">
        <f t="shared" si="96"/>
        <v/>
      </c>
      <c r="P2007" s="59" t="str">
        <f t="shared" si="97"/>
        <v/>
      </c>
    </row>
    <row r="2008" spans="4:16" ht="22.5" customHeight="1" x14ac:dyDescent="0.25">
      <c r="D2008" s="59" t="str">
        <f t="shared" si="95"/>
        <v/>
      </c>
      <c r="O2008" s="4" t="str">
        <f t="shared" si="96"/>
        <v/>
      </c>
      <c r="P2008" s="59" t="str">
        <f t="shared" si="97"/>
        <v/>
      </c>
    </row>
    <row r="2009" spans="4:16" ht="22.5" customHeight="1" x14ac:dyDescent="0.25">
      <c r="D2009" s="59" t="str">
        <f t="shared" si="95"/>
        <v/>
      </c>
      <c r="O2009" s="4" t="str">
        <f t="shared" si="96"/>
        <v/>
      </c>
      <c r="P2009" s="59" t="str">
        <f t="shared" si="97"/>
        <v/>
      </c>
    </row>
    <row r="2010" spans="4:16" ht="22.5" customHeight="1" x14ac:dyDescent="0.25">
      <c r="D2010" s="59" t="str">
        <f t="shared" si="95"/>
        <v/>
      </c>
      <c r="O2010" s="4" t="str">
        <f t="shared" si="96"/>
        <v/>
      </c>
      <c r="P2010" s="59" t="str">
        <f t="shared" si="97"/>
        <v/>
      </c>
    </row>
    <row r="2011" spans="4:16" ht="22.5" customHeight="1" x14ac:dyDescent="0.25">
      <c r="D2011" s="59" t="str">
        <f t="shared" si="95"/>
        <v/>
      </c>
      <c r="O2011" s="4" t="str">
        <f t="shared" si="96"/>
        <v/>
      </c>
      <c r="P2011" s="59" t="str">
        <f t="shared" si="97"/>
        <v/>
      </c>
    </row>
    <row r="2012" spans="4:16" ht="22.5" customHeight="1" x14ac:dyDescent="0.25">
      <c r="D2012" s="59" t="str">
        <f t="shared" ref="D2012:D2025" si="98">IF(AND(I2012&lt;&gt;"",J2012&lt;&gt;""), I2012*J2012, "")</f>
        <v/>
      </c>
      <c r="O2012" s="4" t="str">
        <f t="shared" ref="O2012:O2025" si="99">IF(OR(D2012="", N2012=""), "", ROUND(D2012 * N2012 / 100, 2))</f>
        <v/>
      </c>
      <c r="P2012" s="59" t="str">
        <f t="shared" ref="P2012:P2025" si="100">IF(D2012="", "", D2012 + O2012)</f>
        <v/>
      </c>
    </row>
    <row r="2013" spans="4:16" ht="22.5" customHeight="1" x14ac:dyDescent="0.25">
      <c r="D2013" s="59" t="str">
        <f t="shared" si="98"/>
        <v/>
      </c>
      <c r="O2013" s="4" t="str">
        <f t="shared" si="99"/>
        <v/>
      </c>
      <c r="P2013" s="59" t="str">
        <f t="shared" si="100"/>
        <v/>
      </c>
    </row>
    <row r="2014" spans="4:16" ht="22.5" customHeight="1" x14ac:dyDescent="0.25">
      <c r="D2014" s="59" t="str">
        <f t="shared" si="98"/>
        <v/>
      </c>
      <c r="O2014" s="4" t="str">
        <f t="shared" si="99"/>
        <v/>
      </c>
      <c r="P2014" s="59" t="str">
        <f t="shared" si="100"/>
        <v/>
      </c>
    </row>
    <row r="2015" spans="4:16" ht="22.5" customHeight="1" x14ac:dyDescent="0.25">
      <c r="D2015" s="59" t="str">
        <f t="shared" si="98"/>
        <v/>
      </c>
      <c r="O2015" s="4" t="str">
        <f t="shared" si="99"/>
        <v/>
      </c>
      <c r="P2015" s="59" t="str">
        <f t="shared" si="100"/>
        <v/>
      </c>
    </row>
    <row r="2016" spans="4:16" ht="22.5" customHeight="1" x14ac:dyDescent="0.25">
      <c r="D2016" s="59" t="str">
        <f t="shared" si="98"/>
        <v/>
      </c>
      <c r="O2016" s="4" t="str">
        <f t="shared" si="99"/>
        <v/>
      </c>
      <c r="P2016" s="59" t="str">
        <f t="shared" si="100"/>
        <v/>
      </c>
    </row>
    <row r="2017" spans="4:16" ht="22.5" customHeight="1" x14ac:dyDescent="0.25">
      <c r="D2017" s="59" t="str">
        <f t="shared" si="98"/>
        <v/>
      </c>
      <c r="O2017" s="4" t="str">
        <f t="shared" si="99"/>
        <v/>
      </c>
      <c r="P2017" s="59" t="str">
        <f t="shared" si="100"/>
        <v/>
      </c>
    </row>
    <row r="2018" spans="4:16" ht="22.5" customHeight="1" x14ac:dyDescent="0.25">
      <c r="D2018" s="59" t="str">
        <f t="shared" si="98"/>
        <v/>
      </c>
      <c r="O2018" s="4" t="str">
        <f t="shared" si="99"/>
        <v/>
      </c>
      <c r="P2018" s="59" t="str">
        <f t="shared" si="100"/>
        <v/>
      </c>
    </row>
    <row r="2019" spans="4:16" ht="22.5" customHeight="1" x14ac:dyDescent="0.25">
      <c r="D2019" s="59" t="str">
        <f t="shared" si="98"/>
        <v/>
      </c>
      <c r="O2019" s="4" t="str">
        <f t="shared" si="99"/>
        <v/>
      </c>
      <c r="P2019" s="59" t="str">
        <f t="shared" si="100"/>
        <v/>
      </c>
    </row>
    <row r="2020" spans="4:16" ht="22.5" customHeight="1" x14ac:dyDescent="0.25">
      <c r="D2020" s="59" t="str">
        <f t="shared" si="98"/>
        <v/>
      </c>
      <c r="O2020" s="4" t="str">
        <f t="shared" si="99"/>
        <v/>
      </c>
      <c r="P2020" s="59" t="str">
        <f t="shared" si="100"/>
        <v/>
      </c>
    </row>
    <row r="2021" spans="4:16" ht="22.5" customHeight="1" x14ac:dyDescent="0.25">
      <c r="D2021" s="59" t="str">
        <f t="shared" si="98"/>
        <v/>
      </c>
      <c r="O2021" s="4" t="str">
        <f t="shared" si="99"/>
        <v/>
      </c>
      <c r="P2021" s="59" t="str">
        <f t="shared" si="100"/>
        <v/>
      </c>
    </row>
    <row r="2022" spans="4:16" ht="22.5" customHeight="1" x14ac:dyDescent="0.25">
      <c r="D2022" s="59" t="str">
        <f t="shared" si="98"/>
        <v/>
      </c>
      <c r="O2022" s="4" t="str">
        <f t="shared" si="99"/>
        <v/>
      </c>
      <c r="P2022" s="59" t="str">
        <f t="shared" si="100"/>
        <v/>
      </c>
    </row>
    <row r="2023" spans="4:16" ht="22.5" customHeight="1" x14ac:dyDescent="0.25">
      <c r="D2023" s="59" t="str">
        <f t="shared" si="98"/>
        <v/>
      </c>
      <c r="O2023" s="4" t="str">
        <f t="shared" si="99"/>
        <v/>
      </c>
      <c r="P2023" s="59" t="str">
        <f t="shared" si="100"/>
        <v/>
      </c>
    </row>
    <row r="2024" spans="4:16" ht="22.5" customHeight="1" x14ac:dyDescent="0.25">
      <c r="D2024" s="59" t="str">
        <f t="shared" si="98"/>
        <v/>
      </c>
      <c r="O2024" s="4" t="str">
        <f t="shared" si="99"/>
        <v/>
      </c>
      <c r="P2024" s="59" t="str">
        <f t="shared" si="100"/>
        <v/>
      </c>
    </row>
    <row r="2025" spans="4:16" ht="22.5" customHeight="1" x14ac:dyDescent="0.25">
      <c r="D2025" s="59" t="str">
        <f t="shared" si="98"/>
        <v/>
      </c>
      <c r="O2025" s="4" t="str">
        <f t="shared" si="99"/>
        <v/>
      </c>
      <c r="P2025" s="59" t="str">
        <f t="shared" si="100"/>
        <v/>
      </c>
    </row>
  </sheetData>
  <autoFilter ref="A1:R2025" xr:uid="{00000000-0001-0000-0000-000000000000}"/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0"/>
  <sheetViews>
    <sheetView zoomScale="85" workbookViewId="0">
      <selection activeCell="H25" sqref="H25"/>
    </sheetView>
  </sheetViews>
  <sheetFormatPr defaultColWidth="20.7109375" defaultRowHeight="22.5" customHeight="1" x14ac:dyDescent="0.25"/>
  <cols>
    <col min="1" max="1" width="36" style="4" customWidth="1"/>
    <col min="2" max="2" width="29.140625" style="15" customWidth="1"/>
    <col min="3" max="3" width="20.7109375" style="59"/>
    <col min="4" max="4" width="11.42578125" style="59" customWidth="1"/>
    <col min="5" max="5" width="18.140625" style="59" customWidth="1"/>
    <col min="6" max="6" width="18.85546875" style="59" customWidth="1"/>
    <col min="7" max="7" width="20.7109375" style="59"/>
    <col min="8" max="8" width="17.85546875" style="59" customWidth="1"/>
    <col min="9" max="9" width="20.140625" style="59" customWidth="1"/>
    <col min="10" max="10" width="20.7109375" style="59"/>
    <col min="11" max="16384" width="20.7109375" style="4"/>
  </cols>
  <sheetData>
    <row r="1" spans="1:10" s="3" customFormat="1" ht="24.95" customHeight="1" x14ac:dyDescent="0.25">
      <c r="A1" s="3" t="s">
        <v>92</v>
      </c>
      <c r="B1" s="3" t="s">
        <v>30</v>
      </c>
      <c r="C1" s="58" t="s">
        <v>31</v>
      </c>
      <c r="D1" s="58" t="s">
        <v>32</v>
      </c>
      <c r="E1" s="58" t="s">
        <v>33</v>
      </c>
      <c r="F1" s="58" t="s">
        <v>34</v>
      </c>
      <c r="G1" s="58" t="s">
        <v>293</v>
      </c>
      <c r="H1" s="58" t="s">
        <v>292</v>
      </c>
      <c r="I1" s="58" t="s">
        <v>35</v>
      </c>
      <c r="J1" s="58" t="s">
        <v>294</v>
      </c>
    </row>
    <row r="2" spans="1:10" s="6" customFormat="1" ht="22.5" customHeight="1" x14ac:dyDescent="0.25">
      <c r="A2" s="33" t="s">
        <v>84</v>
      </c>
      <c r="B2" s="6" t="s">
        <v>85</v>
      </c>
      <c r="C2" s="60">
        <v>4000</v>
      </c>
      <c r="D2" s="60">
        <f>IF(C2="","",ROUND(C2*0.15,2))</f>
        <v>600</v>
      </c>
      <c r="E2" s="60">
        <f>IF(C2="","",C2+D2)</f>
        <v>4600</v>
      </c>
      <c r="F2" s="60">
        <f>IF(E2="","",E2*0.5)</f>
        <v>2300</v>
      </c>
      <c r="G2" s="60">
        <f>IF($A2="","",
   SUMIFS(Transactions!$P:$P,
          Transactions!$G:$G,$A2,
          Transactions!$C:$C,"IN",
          Transactions!$Q:$Q,"*Paid*"))</f>
        <v>4600</v>
      </c>
      <c r="H2" s="60">
        <f>IF($A2="","",
   SUMIFS(Transactions!$P:$P,
          Transactions!$G:$G,$A2,
          Transactions!$C:$C,"OUT"))</f>
        <v>5499.9500000000007</v>
      </c>
      <c r="I2" s="69">
        <f>IF(C2="","",C2-H2)</f>
        <v>-1499.9500000000007</v>
      </c>
      <c r="J2" s="60">
        <f>IF(E2="","",E2-G2)</f>
        <v>0</v>
      </c>
    </row>
    <row r="3" spans="1:10" s="6" customFormat="1" ht="22.5" customHeight="1" x14ac:dyDescent="0.25">
      <c r="A3" s="6" t="s">
        <v>94</v>
      </c>
      <c r="B3" s="33" t="s">
        <v>95</v>
      </c>
      <c r="C3" s="60">
        <v>2000</v>
      </c>
      <c r="D3" s="60">
        <f>IF(C3="","",ROUND(C3*0.15,2))</f>
        <v>300</v>
      </c>
      <c r="E3" s="60">
        <f>IF(C3="","",C3+D3)</f>
        <v>2300</v>
      </c>
      <c r="F3" s="60">
        <f>IF(E3="","",E3*0.5)</f>
        <v>1150</v>
      </c>
      <c r="G3" s="60">
        <f>IF($A3="","",
   SUMIFS(Transactions!$P:$P,
          Transactions!$G:$G,$A3,
          Transactions!$C:$C,"IN",
          Transactions!$Q:$Q,"*Paid*"))</f>
        <v>2300</v>
      </c>
      <c r="H3" s="60">
        <f>IF($A3="","",
   SUMIFS(Transactions!$P:$P,
          Transactions!$G:$G,$A3,
          Transactions!$C:$C,"OUT"))</f>
        <v>890</v>
      </c>
      <c r="I3" s="67">
        <f t="shared" ref="I3:I66" si="0">IF(C3="","",C3-H3)</f>
        <v>1110</v>
      </c>
      <c r="J3" s="60">
        <f t="shared" ref="J3:J4" si="1">IF(E3="","",E3-G3)</f>
        <v>0</v>
      </c>
    </row>
    <row r="4" spans="1:10" s="6" customFormat="1" ht="22.5" customHeight="1" x14ac:dyDescent="0.25">
      <c r="A4" s="6" t="s">
        <v>104</v>
      </c>
      <c r="B4" s="33" t="s">
        <v>105</v>
      </c>
      <c r="C4" s="60">
        <v>14850</v>
      </c>
      <c r="D4" s="60">
        <f t="shared" ref="D4:D66" si="2">IF(C4="","",ROUND(C4*0.15,2))</f>
        <v>2227.5</v>
      </c>
      <c r="E4" s="60">
        <f t="shared" ref="E4:E67" si="3">IF(C4="","",C4+D4)</f>
        <v>17077.5</v>
      </c>
      <c r="F4" s="60">
        <f t="shared" ref="F4:F67" si="4">IF(E4="","",E4*0.5)</f>
        <v>8538.75</v>
      </c>
      <c r="G4" s="60">
        <f>IF($A4="","",
   SUMIFS(Transactions!$P:$P,
          Transactions!$G:$G,$A4,
          Transactions!$C:$C,"IN",
          Transactions!$Q:$Q,"*Paid*"))</f>
        <v>17077.5</v>
      </c>
      <c r="H4" s="60">
        <f>IF($A4="","",
   SUMIFS(Transactions!$P:$P,
          Transactions!$G:$G,$A4,
          Transactions!$C:$C,"OUT"))</f>
        <v>7161.97</v>
      </c>
      <c r="I4" s="67">
        <f t="shared" si="0"/>
        <v>7688.03</v>
      </c>
      <c r="J4" s="60">
        <f t="shared" si="1"/>
        <v>0</v>
      </c>
    </row>
    <row r="5" spans="1:10" s="6" customFormat="1" ht="22.5" customHeight="1" x14ac:dyDescent="0.25">
      <c r="A5" s="6" t="s">
        <v>122</v>
      </c>
      <c r="B5" s="33" t="s">
        <v>124</v>
      </c>
      <c r="C5" s="60">
        <v>27000</v>
      </c>
      <c r="D5" s="60">
        <f t="shared" si="2"/>
        <v>4050</v>
      </c>
      <c r="E5" s="60">
        <f t="shared" si="3"/>
        <v>31050</v>
      </c>
      <c r="F5" s="60">
        <f t="shared" si="4"/>
        <v>15525</v>
      </c>
      <c r="G5" s="60">
        <f>IF($A5="","",
   SUMIFS(Transactions!$P:$P,
          Transactions!$G:$G,$A5,
          Transactions!$C:$C,"IN",
          Transactions!$Q:$Q,"Paid"))</f>
        <v>31050</v>
      </c>
      <c r="H5" s="60">
        <f>IF($A5="","",
   SUMIFS(Transactions!$P:$P,
          Transactions!$G:$G,$A5,
          Transactions!$C:$C,"OUT"))</f>
        <v>12395</v>
      </c>
      <c r="I5" s="67">
        <f t="shared" si="0"/>
        <v>14605</v>
      </c>
      <c r="J5" s="60">
        <f t="shared" ref="J5:J67" si="5">IF(E5="","",E5-G5)</f>
        <v>0</v>
      </c>
    </row>
    <row r="6" spans="1:10" s="6" customFormat="1" ht="22.5" customHeight="1" x14ac:dyDescent="0.25">
      <c r="A6" s="6" t="s">
        <v>189</v>
      </c>
      <c r="B6" s="33" t="s">
        <v>105</v>
      </c>
      <c r="C6" s="60">
        <v>4300</v>
      </c>
      <c r="D6" s="60">
        <f t="shared" si="2"/>
        <v>645</v>
      </c>
      <c r="E6" s="60">
        <f t="shared" si="3"/>
        <v>4945</v>
      </c>
      <c r="F6" s="60">
        <f t="shared" si="4"/>
        <v>2472.5</v>
      </c>
      <c r="G6" s="60">
        <f>IF($A6="","",
   SUMIFS(Transactions!$P:$P,
          Transactions!$G:$G,$A6,
          Transactions!$C:$C,"IN",
          Transactions!$Q:$Q,"Paid"))</f>
        <v>4945</v>
      </c>
      <c r="H6" s="60">
        <f>IF($A6="","",
   SUMIFS(Transactions!$P:$P,
          Transactions!$G:$G,$A6,
          Transactions!$C:$C,"OUT"))</f>
        <v>1511.3899999999999</v>
      </c>
      <c r="I6" s="67">
        <f t="shared" si="0"/>
        <v>2788.61</v>
      </c>
      <c r="J6" s="60">
        <f t="shared" si="5"/>
        <v>0</v>
      </c>
    </row>
    <row r="7" spans="1:10" s="6" customFormat="1" ht="22.5" customHeight="1" x14ac:dyDescent="0.25">
      <c r="A7" s="6" t="s">
        <v>315</v>
      </c>
      <c r="B7" s="33" t="s">
        <v>95</v>
      </c>
      <c r="C7" s="60">
        <v>8800</v>
      </c>
      <c r="D7" s="60">
        <f t="shared" si="2"/>
        <v>1320</v>
      </c>
      <c r="E7" s="60">
        <f t="shared" si="3"/>
        <v>10120</v>
      </c>
      <c r="F7" s="60">
        <f t="shared" si="4"/>
        <v>5060</v>
      </c>
      <c r="G7" s="60">
        <f>IF($A7="","",
   SUMIFS(Transactions!$P:$P,
          Transactions!$G:$G,$A7,
          Transactions!$C:$C,"IN",
          Transactions!$Q:$Q,"Paid"))</f>
        <v>10120</v>
      </c>
      <c r="H7" s="60">
        <f>IF($A7="","",
   SUMIFS(Transactions!$P:$P,
          Transactions!$G:$G,$A7,
          Transactions!$C:$C,"OUT"))</f>
        <v>4450</v>
      </c>
      <c r="I7" s="67">
        <f t="shared" si="0"/>
        <v>4350</v>
      </c>
      <c r="J7" s="60">
        <f t="shared" si="5"/>
        <v>0</v>
      </c>
    </row>
    <row r="8" spans="1:10" s="39" customFormat="1" ht="22.5" customHeight="1" x14ac:dyDescent="0.25">
      <c r="A8" s="39" t="s">
        <v>210</v>
      </c>
      <c r="B8" s="39" t="s">
        <v>213</v>
      </c>
      <c r="C8" s="70">
        <v>29900</v>
      </c>
      <c r="D8" s="70">
        <f t="shared" si="2"/>
        <v>4485</v>
      </c>
      <c r="E8" s="70">
        <f t="shared" si="3"/>
        <v>34385</v>
      </c>
      <c r="F8" s="70">
        <f t="shared" si="4"/>
        <v>17192.5</v>
      </c>
      <c r="G8" s="70">
        <f>IF($A8="","",
   SUMIFS(Transactions!$P:$P,
          Transactions!$G:$G,$A8,
          Transactions!$C:$C,"IN",
          Transactions!$Q:$Q,"Paid"))</f>
        <v>29905</v>
      </c>
      <c r="H8" s="70">
        <f>IF($A8="","",
   SUMIFS(Transactions!$P:$P,
          Transactions!$G:$G,$A8,
          Transactions!$C:$C,"OUT"))</f>
        <v>21164.75</v>
      </c>
      <c r="I8" s="71">
        <f t="shared" si="0"/>
        <v>8735.25</v>
      </c>
      <c r="J8" s="70">
        <f t="shared" si="5"/>
        <v>4480</v>
      </c>
    </row>
    <row r="9" spans="1:10" s="6" customFormat="1" ht="22.5" customHeight="1" x14ac:dyDescent="0.25">
      <c r="A9" s="6" t="s">
        <v>224</v>
      </c>
      <c r="B9" s="6" t="s">
        <v>225</v>
      </c>
      <c r="C9" s="60">
        <v>5000</v>
      </c>
      <c r="D9" s="60">
        <f t="shared" si="2"/>
        <v>750</v>
      </c>
      <c r="E9" s="60">
        <f t="shared" si="3"/>
        <v>5750</v>
      </c>
      <c r="F9" s="60">
        <f t="shared" si="4"/>
        <v>2875</v>
      </c>
      <c r="G9" s="60">
        <f>IF($A9="","",
   SUMIFS(Transactions!$P:$P,
          Transactions!$G:$G,$A9,
          Transactions!$C:$C,"IN",
          Transactions!$Q:$Q,"Paid"))</f>
        <v>5750</v>
      </c>
      <c r="H9" s="60">
        <f>IF($A9="","",
   SUMIFS(Transactions!$P:$P,
          Transactions!$G:$G,$A9,
          Transactions!$C:$C,"OUT"))</f>
        <v>2550</v>
      </c>
      <c r="I9" s="67">
        <f t="shared" si="0"/>
        <v>2450</v>
      </c>
      <c r="J9" s="60">
        <f t="shared" si="5"/>
        <v>0</v>
      </c>
    </row>
    <row r="10" spans="1:10" s="6" customFormat="1" ht="22.5" customHeight="1" x14ac:dyDescent="0.25">
      <c r="A10" s="6" t="s">
        <v>245</v>
      </c>
      <c r="B10" s="33" t="s">
        <v>124</v>
      </c>
      <c r="C10" s="60">
        <v>1700</v>
      </c>
      <c r="D10" s="60">
        <f t="shared" si="2"/>
        <v>255</v>
      </c>
      <c r="E10" s="60">
        <f t="shared" si="3"/>
        <v>1955</v>
      </c>
      <c r="F10" s="60">
        <f t="shared" si="4"/>
        <v>977.5</v>
      </c>
      <c r="G10" s="60">
        <f>IF($A10="","",
   SUMIFS(Transactions!$P:$P,
          Transactions!$G:$G,$A10,
          Transactions!$C:$C,"IN",
          Transactions!$Q:$Q,"Paid"))</f>
        <v>1955</v>
      </c>
      <c r="H10" s="60">
        <f>IF($A10="","",
   SUMIFS(Transactions!$P:$P,
          Transactions!$G:$G,$A10,
          Transactions!$C:$C,"OUT"))</f>
        <v>437</v>
      </c>
      <c r="I10" s="67">
        <f t="shared" si="0"/>
        <v>1263</v>
      </c>
      <c r="J10" s="60">
        <f t="shared" si="5"/>
        <v>0</v>
      </c>
    </row>
    <row r="11" spans="1:10" s="6" customFormat="1" ht="22.5" customHeight="1" x14ac:dyDescent="0.25">
      <c r="A11" s="6" t="s">
        <v>265</v>
      </c>
      <c r="B11" s="6" t="s">
        <v>266</v>
      </c>
      <c r="C11" s="60">
        <v>14925</v>
      </c>
      <c r="D11" s="60">
        <f t="shared" si="2"/>
        <v>2238.75</v>
      </c>
      <c r="E11" s="60">
        <f t="shared" si="3"/>
        <v>17163.75</v>
      </c>
      <c r="F11" s="60">
        <f t="shared" si="4"/>
        <v>8581.875</v>
      </c>
      <c r="G11" s="60">
        <f>IF($A11="","",
   SUMIFS(Transactions!$P:$P,
          Transactions!$G:$G,$A11,
          Transactions!$C:$C,"IN",
          Transactions!$Q:$Q,"Paid"))</f>
        <v>17163.75</v>
      </c>
      <c r="H11" s="60">
        <f>IF($A11="","",
   SUMIFS(Transactions!$P:$P,
          Transactions!$G:$G,$A11,
          Transactions!$C:$C,"OUT"))</f>
        <v>10577.5</v>
      </c>
      <c r="I11" s="67">
        <f t="shared" si="0"/>
        <v>4347.5</v>
      </c>
      <c r="J11" s="60">
        <f t="shared" si="5"/>
        <v>0</v>
      </c>
    </row>
    <row r="12" spans="1:10" s="6" customFormat="1" ht="22.5" customHeight="1" x14ac:dyDescent="0.25">
      <c r="A12" s="6" t="s">
        <v>297</v>
      </c>
      <c r="B12" s="33" t="s">
        <v>95</v>
      </c>
      <c r="C12" s="60">
        <v>4000</v>
      </c>
      <c r="D12" s="60">
        <f t="shared" si="2"/>
        <v>600</v>
      </c>
      <c r="E12" s="60">
        <f t="shared" si="3"/>
        <v>4600</v>
      </c>
      <c r="F12" s="60">
        <f t="shared" si="4"/>
        <v>2300</v>
      </c>
      <c r="G12" s="60">
        <f>IF($A12="","",
   SUMIFS(Transactions!$P:$P,
          Transactions!$G:$G,$A12,
          Transactions!$C:$C,"IN",
          Transactions!$Q:$Q,"Paid"))</f>
        <v>4600</v>
      </c>
      <c r="H12" s="60">
        <f>IF($A12="","",
   SUMIFS(Transactions!$P:$P,
          Transactions!$G:$G,$A12,
          Transactions!$C:$C,"OUT"))</f>
        <v>2563.4900000000002</v>
      </c>
      <c r="I12" s="67">
        <f t="shared" si="0"/>
        <v>1436.5099999999998</v>
      </c>
      <c r="J12" s="60">
        <f t="shared" si="5"/>
        <v>0</v>
      </c>
    </row>
    <row r="13" spans="1:10" s="6" customFormat="1" ht="22.5" customHeight="1" x14ac:dyDescent="0.25">
      <c r="A13" s="6" t="s">
        <v>311</v>
      </c>
      <c r="B13" s="33" t="s">
        <v>124</v>
      </c>
      <c r="C13" s="60">
        <v>750</v>
      </c>
      <c r="D13" s="60">
        <f t="shared" si="2"/>
        <v>112.5</v>
      </c>
      <c r="E13" s="60">
        <f t="shared" si="3"/>
        <v>862.5</v>
      </c>
      <c r="F13" s="60">
        <f t="shared" si="4"/>
        <v>431.25</v>
      </c>
      <c r="G13" s="60">
        <f>IF($A13="","",
   SUMIFS(Transactions!$P:$P,
          Transactions!$G:$G,$A13,
          Transactions!$C:$C,"IN",
          Transactions!$Q:$Q,"Paid"))</f>
        <v>862.5</v>
      </c>
      <c r="H13" s="60">
        <f>IF($A13="","",
   SUMIFS(Transactions!$P:$P,
          Transactions!$G:$G,$A13,
          Transactions!$C:$C,"OUT"))</f>
        <v>345</v>
      </c>
      <c r="I13" s="67">
        <f t="shared" si="0"/>
        <v>405</v>
      </c>
      <c r="J13" s="60">
        <f t="shared" si="5"/>
        <v>0</v>
      </c>
    </row>
    <row r="14" spans="1:10" s="37" customFormat="1" ht="22.5" customHeight="1" x14ac:dyDescent="0.25">
      <c r="A14" s="36" t="s">
        <v>247</v>
      </c>
      <c r="B14" s="37" t="s">
        <v>314</v>
      </c>
      <c r="C14" s="72">
        <v>3600</v>
      </c>
      <c r="D14" s="72">
        <f t="shared" si="2"/>
        <v>540</v>
      </c>
      <c r="E14" s="72">
        <f t="shared" si="3"/>
        <v>4140</v>
      </c>
      <c r="F14" s="72">
        <f t="shared" si="4"/>
        <v>2070</v>
      </c>
      <c r="G14" s="72">
        <f>IF($A14="","",
   SUMIFS(Transactions!$P:$P,
          Transactions!$G:$G,$A14,
          Transactions!$C:$C,"IN",
          Transactions!$Q:$Q,"Paid"))</f>
        <v>0</v>
      </c>
      <c r="H14" s="72">
        <f>IF($A14="","",
   SUMIFS(Transactions!$P:$P,
          Transactions!$G:$G,$A14,
          Transactions!$C:$C,"OUT"))</f>
        <v>1178.7</v>
      </c>
      <c r="I14" s="73">
        <f t="shared" si="0"/>
        <v>2421.3000000000002</v>
      </c>
      <c r="J14" s="72">
        <f t="shared" si="5"/>
        <v>4140</v>
      </c>
    </row>
    <row r="15" spans="1:10" s="39" customFormat="1" ht="22.5" customHeight="1" x14ac:dyDescent="0.25">
      <c r="A15" s="40" t="s">
        <v>218</v>
      </c>
      <c r="B15" s="38" t="s">
        <v>314</v>
      </c>
      <c r="C15" s="70">
        <v>8500</v>
      </c>
      <c r="D15" s="70">
        <f t="shared" si="2"/>
        <v>1275</v>
      </c>
      <c r="E15" s="70">
        <f t="shared" si="3"/>
        <v>9775</v>
      </c>
      <c r="F15" s="70">
        <f t="shared" si="4"/>
        <v>4887.5</v>
      </c>
      <c r="G15" s="70">
        <f>IF($A15="","",
   SUMIFS(Transactions!$P:$P,
          Transactions!$G:$G,$A15,
          Transactions!$C:$C,"IN",
          Transactions!$Q:$Q,"Paid"))</f>
        <v>0</v>
      </c>
      <c r="H15" s="70">
        <f>IF($A15="","",
   SUMIFS(Transactions!$P:$P,
          Transactions!$G:$G,$A15,
          Transactions!$C:$C,"OUT"))</f>
        <v>4846.4500000000007</v>
      </c>
      <c r="I15" s="71">
        <f t="shared" si="0"/>
        <v>3653.5499999999993</v>
      </c>
      <c r="J15" s="70">
        <f t="shared" si="5"/>
        <v>9775</v>
      </c>
    </row>
    <row r="16" spans="1:10" s="6" customFormat="1" ht="22.5" customHeight="1" x14ac:dyDescent="0.25">
      <c r="A16" s="35" t="s">
        <v>321</v>
      </c>
      <c r="B16" s="33" t="s">
        <v>322</v>
      </c>
      <c r="C16" s="60">
        <v>5000</v>
      </c>
      <c r="D16" s="60">
        <f t="shared" si="2"/>
        <v>750</v>
      </c>
      <c r="E16" s="60">
        <f t="shared" si="3"/>
        <v>5750</v>
      </c>
      <c r="F16" s="60">
        <f t="shared" si="4"/>
        <v>2875</v>
      </c>
      <c r="G16" s="60">
        <f>IF($A16="","",
   SUMIFS(Transactions!$P:$P,
          Transactions!$G:$G,$A16,
          Transactions!$C:$C,"IN",
          Transactions!$Q:$Q,"Paid"))</f>
        <v>5750</v>
      </c>
      <c r="H16" s="60">
        <f>IF($A16="","",
   SUMIFS(Transactions!$P:$P,
          Transactions!$G:$G,$A16,
          Transactions!$C:$C,"OUT"))</f>
        <v>0</v>
      </c>
      <c r="I16" s="67">
        <f t="shared" si="0"/>
        <v>5000</v>
      </c>
      <c r="J16" s="60">
        <f t="shared" si="5"/>
        <v>0</v>
      </c>
    </row>
    <row r="17" spans="1:11" s="6" customFormat="1" ht="22.5" customHeight="1" x14ac:dyDescent="0.25">
      <c r="A17" s="6" t="s">
        <v>335</v>
      </c>
      <c r="B17" s="33" t="s">
        <v>124</v>
      </c>
      <c r="C17" s="60">
        <v>3000</v>
      </c>
      <c r="D17" s="60">
        <f t="shared" si="2"/>
        <v>450</v>
      </c>
      <c r="E17" s="60">
        <f t="shared" si="3"/>
        <v>3450</v>
      </c>
      <c r="F17" s="60">
        <f t="shared" si="4"/>
        <v>1725</v>
      </c>
      <c r="G17" s="60">
        <f>IF($A17="","",
   SUMIFS(Transactions!$P:$P,
          Transactions!$G:$G,$A17,
          Transactions!$C:$C,"IN",
          Transactions!$Q:$Q,"Paid"))</f>
        <v>3450</v>
      </c>
      <c r="H17" s="60">
        <f>IF($A17="","",
   SUMIFS(Transactions!$P:$P,
          Transactions!$G:$G,$A17,
          Transactions!$C:$C,"OUT"))</f>
        <v>1950</v>
      </c>
      <c r="I17" s="67">
        <f t="shared" si="0"/>
        <v>1050</v>
      </c>
      <c r="J17" s="60">
        <f t="shared" si="5"/>
        <v>0</v>
      </c>
    </row>
    <row r="18" spans="1:11" s="6" customFormat="1" ht="22.5" customHeight="1" x14ac:dyDescent="0.25">
      <c r="A18" s="6" t="s">
        <v>363</v>
      </c>
      <c r="B18" s="33" t="s">
        <v>367</v>
      </c>
      <c r="C18" s="60">
        <v>1800</v>
      </c>
      <c r="D18" s="60">
        <f t="shared" si="2"/>
        <v>270</v>
      </c>
      <c r="E18" s="60">
        <f t="shared" si="3"/>
        <v>2070</v>
      </c>
      <c r="F18" s="60">
        <f t="shared" si="4"/>
        <v>1035</v>
      </c>
      <c r="G18" s="60">
        <f>IF($A18="","",
   SUMIFS(Transactions!$P:$P,
          Transactions!$G:$G,$A18,
          Transactions!$C:$C,"IN",
          Transactions!$Q:$Q,"Paid"))</f>
        <v>2070</v>
      </c>
      <c r="H18" s="60">
        <f>IF($A18="","",
   SUMIFS(Transactions!$P:$P,
          Transactions!$G:$G,$A18,
          Transactions!$C:$C,"OUT"))</f>
        <v>1000</v>
      </c>
      <c r="I18" s="67">
        <f t="shared" si="0"/>
        <v>800</v>
      </c>
      <c r="J18" s="60">
        <f t="shared" si="5"/>
        <v>0</v>
      </c>
    </row>
    <row r="19" spans="1:11" s="6" customFormat="1" ht="22.5" customHeight="1" x14ac:dyDescent="0.25">
      <c r="A19" s="6" t="s">
        <v>375</v>
      </c>
      <c r="B19" s="33" t="s">
        <v>367</v>
      </c>
      <c r="C19" s="60">
        <v>1920</v>
      </c>
      <c r="D19" s="60">
        <f t="shared" si="2"/>
        <v>288</v>
      </c>
      <c r="E19" s="60">
        <f t="shared" si="3"/>
        <v>2208</v>
      </c>
      <c r="F19" s="60">
        <f t="shared" si="4"/>
        <v>1104</v>
      </c>
      <c r="G19" s="60">
        <f>IF($A19="","",
   SUMIFS(Transactions!$P:$P,
          Transactions!$G:$G,$A19,
          Transactions!$C:$C,"IN",
          Transactions!$Q:$Q,"Paid"))</f>
        <v>2208</v>
      </c>
      <c r="H19" s="60">
        <f>IF($A19="","",
   SUMIFS(Transactions!$P:$P,
          Transactions!$G:$G,$A19,
          Transactions!$C:$C,"OUT"))</f>
        <v>454.12</v>
      </c>
      <c r="I19" s="67">
        <f t="shared" si="0"/>
        <v>1465.88</v>
      </c>
      <c r="J19" s="60">
        <f t="shared" si="5"/>
        <v>0</v>
      </c>
    </row>
    <row r="20" spans="1:11" s="6" customFormat="1" ht="22.5" customHeight="1" x14ac:dyDescent="0.25">
      <c r="A20" s="6" t="s">
        <v>353</v>
      </c>
      <c r="B20" s="33" t="s">
        <v>387</v>
      </c>
      <c r="C20" s="60">
        <v>14600</v>
      </c>
      <c r="D20" s="60">
        <f t="shared" si="2"/>
        <v>2190</v>
      </c>
      <c r="E20" s="60">
        <f t="shared" si="3"/>
        <v>16790</v>
      </c>
      <c r="F20" s="60">
        <f t="shared" si="4"/>
        <v>8395</v>
      </c>
      <c r="G20" s="60">
        <f>IF($A20="","",
   SUMIFS(Transactions!$P:$P,
          Transactions!$G:$G,$A20,
          Transactions!$C:$C,"IN",
          Transactions!$Q:$Q,"Paid"))</f>
        <v>18290</v>
      </c>
      <c r="H20" s="60">
        <f>IF($A20="","",
   SUMIFS(Transactions!$P:$P,
          Transactions!$G:$G,$A20,
          Transactions!$C:$C,"OUT"))</f>
        <v>10207.719999999999</v>
      </c>
      <c r="I20" s="67">
        <f t="shared" si="0"/>
        <v>4392.2800000000007</v>
      </c>
      <c r="J20" s="74">
        <f t="shared" si="5"/>
        <v>-1500</v>
      </c>
    </row>
    <row r="21" spans="1:11" s="6" customFormat="1" ht="22.5" customHeight="1" x14ac:dyDescent="0.25">
      <c r="A21" s="6" t="s">
        <v>391</v>
      </c>
      <c r="B21" s="33" t="s">
        <v>124</v>
      </c>
      <c r="C21" s="60">
        <v>2500</v>
      </c>
      <c r="D21" s="60">
        <f t="shared" si="2"/>
        <v>375</v>
      </c>
      <c r="E21" s="60">
        <f t="shared" si="3"/>
        <v>2875</v>
      </c>
      <c r="F21" s="60">
        <f t="shared" si="4"/>
        <v>1437.5</v>
      </c>
      <c r="G21" s="60">
        <f>IF($A21="","",
   SUMIFS(Transactions!$P:$P,
          Transactions!$G:$G,$A21,
          Transactions!$C:$C,"IN",
          Transactions!$Q:$Q,"Paid"))</f>
        <v>2875</v>
      </c>
      <c r="H21" s="60">
        <f>IF($A21="","",
   SUMIFS(Transactions!$P:$P,
          Transactions!$G:$G,$A21,
          Transactions!$C:$C,"OUT"))</f>
        <v>188.73</v>
      </c>
      <c r="I21" s="67">
        <f t="shared" si="0"/>
        <v>2311.27</v>
      </c>
      <c r="J21" s="60">
        <f t="shared" si="5"/>
        <v>0</v>
      </c>
    </row>
    <row r="22" spans="1:11" s="6" customFormat="1" ht="22.5" customHeight="1" x14ac:dyDescent="0.25">
      <c r="A22" s="35" t="s">
        <v>406</v>
      </c>
      <c r="B22" s="33" t="s">
        <v>387</v>
      </c>
      <c r="C22" s="60">
        <v>1200</v>
      </c>
      <c r="D22" s="60">
        <f t="shared" si="2"/>
        <v>180</v>
      </c>
      <c r="E22" s="60">
        <f t="shared" si="3"/>
        <v>1380</v>
      </c>
      <c r="F22" s="60">
        <f t="shared" si="4"/>
        <v>690</v>
      </c>
      <c r="G22" s="60">
        <f>IF($A22="","",
   SUMIFS(Transactions!$P:$P,
          Transactions!$G:$G,$A22,
          Transactions!$C:$C,"IN",
          Transactions!$Q:$Q,"Paid"))</f>
        <v>1380</v>
      </c>
      <c r="H22" s="60">
        <f>IF($A22="","",
   SUMIFS(Transactions!$P:$P,
          Transactions!$G:$G,$A22,
          Transactions!$C:$C,"OUT"))</f>
        <v>0</v>
      </c>
      <c r="I22" s="67">
        <f t="shared" si="0"/>
        <v>1200</v>
      </c>
      <c r="J22" s="60">
        <f t="shared" si="5"/>
        <v>0</v>
      </c>
    </row>
    <row r="23" spans="1:11" s="6" customFormat="1" ht="22.5" customHeight="1" x14ac:dyDescent="0.25">
      <c r="A23" s="6" t="s">
        <v>531</v>
      </c>
      <c r="B23" s="33" t="s">
        <v>415</v>
      </c>
      <c r="C23" s="60">
        <v>41144</v>
      </c>
      <c r="D23" s="60">
        <f t="shared" si="2"/>
        <v>6171.6</v>
      </c>
      <c r="E23" s="60">
        <f t="shared" si="3"/>
        <v>47315.6</v>
      </c>
      <c r="F23" s="60">
        <f t="shared" si="4"/>
        <v>23657.8</v>
      </c>
      <c r="G23" s="60">
        <f>IF($A23="","",
   SUMIFS(Transactions!$P:$P,
          Transactions!$G:$G,$A23,
          Transactions!$C:$C,"IN",
          Transactions!$Q:$Q,"Paid"))</f>
        <v>51025.01</v>
      </c>
      <c r="H23" s="60">
        <f>IF($A23="","",
   SUMIFS(Transactions!$P:$P,
          Transactions!$G:$G,$A23,
          Transactions!$C:$C,"OUT"))</f>
        <v>0</v>
      </c>
      <c r="I23" s="67">
        <f t="shared" si="0"/>
        <v>41144</v>
      </c>
      <c r="J23" s="74">
        <f t="shared" si="5"/>
        <v>-3709.4100000000035</v>
      </c>
    </row>
    <row r="24" spans="1:11" s="6" customFormat="1" ht="22.5" customHeight="1" x14ac:dyDescent="0.25">
      <c r="A24" s="6" t="s">
        <v>422</v>
      </c>
      <c r="B24" s="33" t="s">
        <v>415</v>
      </c>
      <c r="C24" s="60">
        <v>5800</v>
      </c>
      <c r="D24" s="60">
        <f t="shared" si="2"/>
        <v>870</v>
      </c>
      <c r="E24" s="60">
        <f t="shared" si="3"/>
        <v>6670</v>
      </c>
      <c r="F24" s="60">
        <f t="shared" si="4"/>
        <v>3335</v>
      </c>
      <c r="G24" s="60">
        <f>IF($A24="","",
   SUMIFS(Transactions!$P:$P,
          Transactions!$G:$G,$A24,
          Transactions!$C:$C,"IN",
          Transactions!$Q:$Q,"Paid"))</f>
        <v>6670</v>
      </c>
      <c r="H24" s="60">
        <f>IF($A24="","",
   SUMIFS(Transactions!$P:$P,
          Transactions!$G:$G,$A24,
          Transactions!$C:$C,"OUT"))</f>
        <v>1914</v>
      </c>
      <c r="I24" s="67">
        <f t="shared" si="0"/>
        <v>3886</v>
      </c>
      <c r="J24" s="60">
        <f t="shared" si="5"/>
        <v>0</v>
      </c>
    </row>
    <row r="25" spans="1:11" s="39" customFormat="1" ht="22.5" customHeight="1" x14ac:dyDescent="0.25">
      <c r="A25" s="39" t="s">
        <v>448</v>
      </c>
      <c r="B25" s="38" t="s">
        <v>415</v>
      </c>
      <c r="C25" s="70">
        <v>125000</v>
      </c>
      <c r="D25" s="70">
        <f t="shared" si="2"/>
        <v>18750</v>
      </c>
      <c r="E25" s="70">
        <f t="shared" si="3"/>
        <v>143750</v>
      </c>
      <c r="F25" s="70">
        <f t="shared" si="4"/>
        <v>71875</v>
      </c>
      <c r="G25" s="70">
        <f>IF($A25="","",
   SUMIFS(Transactions!$P:$P,
          Transactions!$G:$G,$A25,
          Transactions!$C:$C,"IN",
          Transactions!$Q:$Q,"Paid"))</f>
        <v>0</v>
      </c>
      <c r="H25" s="70">
        <f>IF($A25="","",
   SUMIFS(Transactions!$P:$P,
          Transactions!$G:$G,$A25,
          Transactions!$C:$C,"OUT"))</f>
        <v>74441.25</v>
      </c>
      <c r="I25" s="71">
        <f t="shared" si="0"/>
        <v>50558.75</v>
      </c>
      <c r="J25" s="70">
        <f t="shared" si="5"/>
        <v>143750</v>
      </c>
    </row>
    <row r="26" spans="1:11" s="6" customFormat="1" ht="22.5" customHeight="1" x14ac:dyDescent="0.25">
      <c r="A26" s="6" t="s">
        <v>456</v>
      </c>
      <c r="B26" s="33" t="s">
        <v>415</v>
      </c>
      <c r="C26" s="60">
        <v>72100</v>
      </c>
      <c r="D26" s="60">
        <f t="shared" si="2"/>
        <v>10815</v>
      </c>
      <c r="E26" s="60">
        <f t="shared" si="3"/>
        <v>82915</v>
      </c>
      <c r="F26" s="60">
        <f t="shared" si="4"/>
        <v>41457.5</v>
      </c>
      <c r="G26" s="60">
        <f>IF($A26="","",
   SUMIFS(Transactions!$P:$P,
          Transactions!$G:$G,$A26,
          Transactions!$C:$C,"IN",
          Transactions!$Q:$Q,"Paid"))</f>
        <v>82915</v>
      </c>
      <c r="H26" s="60">
        <f>IF($A26="","",
   SUMIFS(Transactions!$P:$P,
          Transactions!$G:$G,$A26,
          Transactions!$C:$C,"OUT"))</f>
        <v>14715.12</v>
      </c>
      <c r="I26" s="67">
        <f t="shared" si="0"/>
        <v>57384.88</v>
      </c>
      <c r="J26" s="60">
        <f t="shared" si="5"/>
        <v>0</v>
      </c>
    </row>
    <row r="27" spans="1:11" s="6" customFormat="1" ht="22.5" customHeight="1" x14ac:dyDescent="0.25">
      <c r="A27" s="6" t="s">
        <v>559</v>
      </c>
      <c r="B27" s="33" t="s">
        <v>124</v>
      </c>
      <c r="C27" s="60">
        <v>26500</v>
      </c>
      <c r="D27" s="60">
        <f t="shared" si="2"/>
        <v>3975</v>
      </c>
      <c r="E27" s="60">
        <f t="shared" si="3"/>
        <v>30475</v>
      </c>
      <c r="F27" s="60">
        <f t="shared" si="4"/>
        <v>15237.5</v>
      </c>
      <c r="G27" s="60">
        <f>IF($A27="","",
   SUMIFS(Transactions!$P:$P,
          Transactions!$G:$G,$A27,
          Transactions!$C:$C,"IN",
          Transactions!$Q:$Q,"Paid"))</f>
        <v>30475</v>
      </c>
      <c r="H27" s="60">
        <f>IF($A27="","",
   SUMIFS(Transactions!$P:$P,
          Transactions!$G:$G,$A27,
          Transactions!$C:$C,"OUT"))</f>
        <v>9876.0300000000007</v>
      </c>
      <c r="I27" s="67">
        <f t="shared" si="0"/>
        <v>16623.97</v>
      </c>
      <c r="J27" s="60">
        <f t="shared" si="5"/>
        <v>0</v>
      </c>
    </row>
    <row r="28" spans="1:11" s="6" customFormat="1" ht="22.5" customHeight="1" x14ac:dyDescent="0.25">
      <c r="A28" s="6" t="s">
        <v>536</v>
      </c>
      <c r="B28" s="33" t="s">
        <v>367</v>
      </c>
      <c r="C28" s="60">
        <v>16800</v>
      </c>
      <c r="D28" s="60">
        <f t="shared" si="2"/>
        <v>2520</v>
      </c>
      <c r="E28" s="60">
        <f t="shared" si="3"/>
        <v>19320</v>
      </c>
      <c r="F28" s="60">
        <f t="shared" si="4"/>
        <v>9660</v>
      </c>
      <c r="G28" s="60">
        <f>IF($A28="","",
   SUMIFS(Transactions!$P:$P,
          Transactions!$G:$G,$A28,
          Transactions!$C:$C,"IN",
          Transactions!$Q:$Q,"Paid"))</f>
        <v>19320</v>
      </c>
      <c r="H28" s="60">
        <f>IF($A28="","",
   SUMIFS(Transactions!$P:$P,
          Transactions!$G:$G,$A28,
          Transactions!$C:$C,"OUT"))</f>
        <v>10749.420000000002</v>
      </c>
      <c r="I28" s="67">
        <f t="shared" si="0"/>
        <v>6050.5799999999981</v>
      </c>
      <c r="J28" s="60">
        <f t="shared" si="5"/>
        <v>0</v>
      </c>
    </row>
    <row r="29" spans="1:11" s="6" customFormat="1" ht="22.5" customHeight="1" x14ac:dyDescent="0.25">
      <c r="A29" s="6" t="s">
        <v>521</v>
      </c>
      <c r="B29" s="33" t="s">
        <v>95</v>
      </c>
      <c r="C29" s="60">
        <v>13540</v>
      </c>
      <c r="D29" s="60">
        <f t="shared" si="2"/>
        <v>2031</v>
      </c>
      <c r="E29" s="60">
        <f t="shared" si="3"/>
        <v>15571</v>
      </c>
      <c r="F29" s="60">
        <f t="shared" si="4"/>
        <v>7785.5</v>
      </c>
      <c r="G29" s="60">
        <f>IF($A29="","",
   SUMIFS(Transactions!$P:$P,
          Transactions!$G:$G,$A29,
          Transactions!$C:$C,"IN",
          Transactions!$Q:$Q,"Paid"))</f>
        <v>15569.85</v>
      </c>
      <c r="H29" s="60">
        <f>IF($A29="","",
   SUMIFS(Transactions!$P:$P,
          Transactions!$G:$G,$A29,
          Transactions!$C:$C,"OUT"))</f>
        <v>7122.87</v>
      </c>
      <c r="I29" s="67">
        <f t="shared" si="0"/>
        <v>6417.13</v>
      </c>
      <c r="J29" s="60">
        <f t="shared" si="5"/>
        <v>1.1499999999996362</v>
      </c>
    </row>
    <row r="30" spans="1:11" s="6" customFormat="1" ht="22.5" customHeight="1" x14ac:dyDescent="0.25">
      <c r="A30" s="33" t="s">
        <v>731</v>
      </c>
      <c r="B30" s="33" t="s">
        <v>729</v>
      </c>
      <c r="C30" s="60">
        <v>23080</v>
      </c>
      <c r="D30" s="60">
        <f t="shared" si="2"/>
        <v>3462</v>
      </c>
      <c r="E30" s="60">
        <f t="shared" si="3"/>
        <v>26542</v>
      </c>
      <c r="F30" s="60">
        <f t="shared" si="4"/>
        <v>13271</v>
      </c>
      <c r="G30" s="60">
        <f>IF($A30="","",
   SUMIFS(Transactions!$P:$P,
          Transactions!$G:$G,$A30,
          Transactions!$C:$C,"IN",
          Transactions!$Q:$Q,"Paid"))</f>
        <v>35769.599999999999</v>
      </c>
      <c r="H30" s="60">
        <f>IF($A30="","",
   SUMIFS(Transactions!$P:$P,
          Transactions!$G:$G,$A30,
          Transactions!$C:$C,"OUT"))</f>
        <v>27300.75</v>
      </c>
      <c r="I30" s="67">
        <f t="shared" si="0"/>
        <v>-4220.75</v>
      </c>
      <c r="J30" s="60">
        <f t="shared" si="5"/>
        <v>-9227.5999999999985</v>
      </c>
      <c r="K30" s="6" t="s">
        <v>768</v>
      </c>
    </row>
    <row r="31" spans="1:11" s="39" customFormat="1" ht="22.5" customHeight="1" x14ac:dyDescent="0.25">
      <c r="A31" s="39" t="s">
        <v>771</v>
      </c>
      <c r="B31" s="38" t="s">
        <v>367</v>
      </c>
      <c r="C31" s="70">
        <v>8800</v>
      </c>
      <c r="D31" s="70">
        <f t="shared" si="2"/>
        <v>1320</v>
      </c>
      <c r="E31" s="70">
        <f t="shared" si="3"/>
        <v>10120</v>
      </c>
      <c r="F31" s="70">
        <f t="shared" si="4"/>
        <v>5060</v>
      </c>
      <c r="G31" s="70">
        <f>IF($A31="","",
   SUMIFS(Transactions!$P:$P,
          Transactions!$G:$G,$A31,
          Transactions!$C:$C,"IN",
          Transactions!$Q:$Q,"Paid"))</f>
        <v>5060</v>
      </c>
      <c r="H31" s="70">
        <f>IF($A31="","",
   SUMIFS(Transactions!$P:$P,
          Transactions!$G:$G,$A31,
          Transactions!$C:$C,"OUT"))</f>
        <v>350</v>
      </c>
      <c r="I31" s="71">
        <f t="shared" si="0"/>
        <v>8450</v>
      </c>
      <c r="J31" s="70">
        <f t="shared" si="5"/>
        <v>5060</v>
      </c>
    </row>
    <row r="32" spans="1:11" ht="22.5" customHeight="1" x14ac:dyDescent="0.25">
      <c r="D32" s="59" t="str">
        <f t="shared" si="2"/>
        <v/>
      </c>
      <c r="E32" s="59" t="str">
        <f t="shared" si="3"/>
        <v/>
      </c>
      <c r="F32" s="59" t="str">
        <f t="shared" si="4"/>
        <v/>
      </c>
      <c r="G32" s="59" t="str">
        <f>IF($A32="","",
   SUMIFS(Transactions!$P:$P,
          Transactions!$G:$G,$A32,
          Transactions!$C:$C,"IN",
          Transactions!$Q:$Q,"Paid"))</f>
        <v/>
      </c>
      <c r="H32" s="59" t="str">
        <f>IF($A32="","",
   SUMIFS(Transactions!$P:$P,
          Transactions!$G:$G,$A32,
          Transactions!$C:$C,"OUT"))</f>
        <v/>
      </c>
      <c r="I32" s="65" t="str">
        <f t="shared" si="0"/>
        <v/>
      </c>
      <c r="J32" s="59" t="str">
        <f t="shared" si="5"/>
        <v/>
      </c>
    </row>
    <row r="33" spans="4:10" ht="22.5" customHeight="1" x14ac:dyDescent="0.25">
      <c r="D33" s="59" t="str">
        <f t="shared" si="2"/>
        <v/>
      </c>
      <c r="E33" s="59" t="str">
        <f t="shared" si="3"/>
        <v/>
      </c>
      <c r="F33" s="59" t="str">
        <f t="shared" si="4"/>
        <v/>
      </c>
      <c r="G33" s="59" t="str">
        <f>IF($A33="","",
   SUMIFS(Transactions!$P:$P,
          Transactions!$G:$G,$A33,
          Transactions!$C:$C,"IN",
          Transactions!$Q:$Q,"Paid"))</f>
        <v/>
      </c>
      <c r="H33" s="59" t="str">
        <f>IF($A33="","",
   SUMIFS(Transactions!$P:$P,
          Transactions!$G:$G,$A33,
          Transactions!$C:$C,"OUT"))</f>
        <v/>
      </c>
      <c r="I33" s="65" t="str">
        <f t="shared" si="0"/>
        <v/>
      </c>
      <c r="J33" s="59" t="str">
        <f t="shared" si="5"/>
        <v/>
      </c>
    </row>
    <row r="34" spans="4:10" ht="22.5" customHeight="1" x14ac:dyDescent="0.25">
      <c r="D34" s="59" t="str">
        <f t="shared" si="2"/>
        <v/>
      </c>
      <c r="E34" s="59" t="str">
        <f t="shared" si="3"/>
        <v/>
      </c>
      <c r="F34" s="59" t="str">
        <f t="shared" si="4"/>
        <v/>
      </c>
      <c r="G34" s="59" t="str">
        <f>IF($A34="","",
   SUMIFS(Transactions!$P:$P,
          Transactions!$G:$G,$A34,
          Transactions!$C:$C,"IN",
          Transactions!$Q:$Q,"Paid"))</f>
        <v/>
      </c>
      <c r="H34" s="59" t="str">
        <f>IF($A34="","",
   SUMIFS(Transactions!$P:$P,
          Transactions!$G:$G,$A34,
          Transactions!$C:$C,"OUT"))</f>
        <v/>
      </c>
      <c r="I34" s="65" t="str">
        <f t="shared" si="0"/>
        <v/>
      </c>
      <c r="J34" s="59" t="str">
        <f t="shared" si="5"/>
        <v/>
      </c>
    </row>
    <row r="35" spans="4:10" ht="22.5" customHeight="1" x14ac:dyDescent="0.25">
      <c r="D35" s="59" t="str">
        <f t="shared" si="2"/>
        <v/>
      </c>
      <c r="E35" s="59" t="str">
        <f t="shared" si="3"/>
        <v/>
      </c>
      <c r="F35" s="59" t="str">
        <f t="shared" si="4"/>
        <v/>
      </c>
      <c r="G35" s="59" t="str">
        <f>IF($A35="","",
   SUMIFS(Transactions!$P:$P,
          Transactions!$G:$G,$A35,
          Transactions!$C:$C,"IN",
          Transactions!$Q:$Q,"Paid"))</f>
        <v/>
      </c>
      <c r="H35" s="59" t="str">
        <f>IF($A35="","",
   SUMIFS(Transactions!$P:$P,
          Transactions!$G:$G,$A35,
          Transactions!$C:$C,"OUT"))</f>
        <v/>
      </c>
      <c r="I35" s="65" t="str">
        <f t="shared" si="0"/>
        <v/>
      </c>
      <c r="J35" s="59" t="str">
        <f t="shared" si="5"/>
        <v/>
      </c>
    </row>
    <row r="36" spans="4:10" ht="22.5" customHeight="1" x14ac:dyDescent="0.25">
      <c r="D36" s="59" t="str">
        <f t="shared" si="2"/>
        <v/>
      </c>
      <c r="E36" s="59" t="str">
        <f t="shared" si="3"/>
        <v/>
      </c>
      <c r="F36" s="59" t="str">
        <f t="shared" si="4"/>
        <v/>
      </c>
      <c r="G36" s="59" t="str">
        <f>IF($A36="","",
   SUMIFS(Transactions!$P:$P,
          Transactions!$G:$G,$A36,
          Transactions!$C:$C,"IN",
          Transactions!$Q:$Q,"Paid"))</f>
        <v/>
      </c>
      <c r="H36" s="59" t="str">
        <f>IF($A36="","",
   SUMIFS(Transactions!$P:$P,
          Transactions!$G:$G,$A36,
          Transactions!$C:$C,"OUT"))</f>
        <v/>
      </c>
      <c r="I36" s="65" t="str">
        <f t="shared" si="0"/>
        <v/>
      </c>
      <c r="J36" s="59" t="str">
        <f t="shared" si="5"/>
        <v/>
      </c>
    </row>
    <row r="37" spans="4:10" ht="22.5" customHeight="1" x14ac:dyDescent="0.25">
      <c r="D37" s="59" t="str">
        <f t="shared" si="2"/>
        <v/>
      </c>
      <c r="E37" s="59" t="str">
        <f t="shared" si="3"/>
        <v/>
      </c>
      <c r="F37" s="59" t="str">
        <f t="shared" si="4"/>
        <v/>
      </c>
      <c r="G37" s="59" t="str">
        <f>IF($A37="","",
   SUMIFS(Transactions!$P:$P,
          Transactions!$G:$G,$A37,
          Transactions!$C:$C,"IN",
          Transactions!$Q:$Q,"Paid"))</f>
        <v/>
      </c>
      <c r="H37" s="59" t="str">
        <f>IF($A37="","",
   SUMIFS(Transactions!$P:$P,
          Transactions!$G:$G,$A37,
          Transactions!$C:$C,"OUT"))</f>
        <v/>
      </c>
      <c r="I37" s="65" t="str">
        <f t="shared" si="0"/>
        <v/>
      </c>
      <c r="J37" s="59" t="str">
        <f t="shared" si="5"/>
        <v/>
      </c>
    </row>
    <row r="38" spans="4:10" ht="22.5" customHeight="1" x14ac:dyDescent="0.25">
      <c r="D38" s="59" t="str">
        <f t="shared" si="2"/>
        <v/>
      </c>
      <c r="E38" s="59" t="str">
        <f t="shared" si="3"/>
        <v/>
      </c>
      <c r="F38" s="59" t="str">
        <f t="shared" si="4"/>
        <v/>
      </c>
      <c r="G38" s="59" t="str">
        <f>IF($A38="","",
   SUMIFS(Transactions!$P:$P,
          Transactions!$G:$G,$A38,
          Transactions!$C:$C,"IN",
          Transactions!$Q:$Q,"Paid"))</f>
        <v/>
      </c>
      <c r="H38" s="59" t="str">
        <f>IF($A38="","",
   SUMIFS(Transactions!$P:$P,
          Transactions!$G:$G,$A38,
          Transactions!$C:$C,"OUT"))</f>
        <v/>
      </c>
      <c r="I38" s="65" t="str">
        <f t="shared" si="0"/>
        <v/>
      </c>
      <c r="J38" s="59" t="str">
        <f t="shared" si="5"/>
        <v/>
      </c>
    </row>
    <row r="39" spans="4:10" ht="22.5" customHeight="1" x14ac:dyDescent="0.25">
      <c r="D39" s="59" t="str">
        <f t="shared" si="2"/>
        <v/>
      </c>
      <c r="E39" s="59" t="str">
        <f t="shared" si="3"/>
        <v/>
      </c>
      <c r="F39" s="59" t="str">
        <f t="shared" si="4"/>
        <v/>
      </c>
      <c r="G39" s="59" t="str">
        <f>IF($A39="","",
   SUMIFS(Transactions!$P:$P,
          Transactions!$G:$G,$A39,
          Transactions!$C:$C,"IN",
          Transactions!$Q:$Q,"Paid"))</f>
        <v/>
      </c>
      <c r="H39" s="59" t="str">
        <f>IF($A39="","",
   SUMIFS(Transactions!$P:$P,
          Transactions!$G:$G,$A39,
          Transactions!$C:$C,"OUT"))</f>
        <v/>
      </c>
      <c r="I39" s="65" t="str">
        <f t="shared" si="0"/>
        <v/>
      </c>
      <c r="J39" s="59" t="str">
        <f t="shared" si="5"/>
        <v/>
      </c>
    </row>
    <row r="40" spans="4:10" ht="22.5" customHeight="1" x14ac:dyDescent="0.25">
      <c r="D40" s="59" t="str">
        <f t="shared" si="2"/>
        <v/>
      </c>
      <c r="E40" s="59" t="str">
        <f t="shared" si="3"/>
        <v/>
      </c>
      <c r="F40" s="59" t="str">
        <f t="shared" si="4"/>
        <v/>
      </c>
      <c r="G40" s="59" t="str">
        <f>IF($A40="","",
   SUMIFS(Transactions!$P:$P,
          Transactions!$G:$G,$A40,
          Transactions!$C:$C,"IN",
          Transactions!$Q:$Q,"Paid"))</f>
        <v/>
      </c>
      <c r="H40" s="59" t="str">
        <f>IF($A40="","",
   SUMIFS(Transactions!$P:$P,
          Transactions!$G:$G,$A40,
          Transactions!$C:$C,"OUT"))</f>
        <v/>
      </c>
      <c r="I40" s="65" t="str">
        <f t="shared" si="0"/>
        <v/>
      </c>
      <c r="J40" s="59" t="str">
        <f t="shared" si="5"/>
        <v/>
      </c>
    </row>
    <row r="41" spans="4:10" ht="22.5" customHeight="1" x14ac:dyDescent="0.25">
      <c r="D41" s="59" t="str">
        <f t="shared" si="2"/>
        <v/>
      </c>
      <c r="E41" s="59" t="str">
        <f t="shared" si="3"/>
        <v/>
      </c>
      <c r="F41" s="59" t="str">
        <f t="shared" si="4"/>
        <v/>
      </c>
      <c r="G41" s="59" t="str">
        <f>IF($A41="","",
   SUMIFS(Transactions!$P:$P,
          Transactions!$G:$G,$A41,
          Transactions!$C:$C,"IN",
          Transactions!$Q:$Q,"Paid"))</f>
        <v/>
      </c>
      <c r="H41" s="59" t="str">
        <f>IF($A41="","",
   SUMIFS(Transactions!$P:$P,
          Transactions!$G:$G,$A41,
          Transactions!$C:$C,"OUT"))</f>
        <v/>
      </c>
      <c r="I41" s="65" t="str">
        <f t="shared" si="0"/>
        <v/>
      </c>
      <c r="J41" s="59" t="str">
        <f t="shared" si="5"/>
        <v/>
      </c>
    </row>
    <row r="42" spans="4:10" ht="22.5" customHeight="1" x14ac:dyDescent="0.25">
      <c r="D42" s="59" t="str">
        <f t="shared" si="2"/>
        <v/>
      </c>
      <c r="E42" s="59" t="str">
        <f t="shared" si="3"/>
        <v/>
      </c>
      <c r="F42" s="59" t="str">
        <f t="shared" si="4"/>
        <v/>
      </c>
      <c r="G42" s="59" t="str">
        <f>IF($A42="","",
   SUMIFS(Transactions!$P:$P,
          Transactions!$G:$G,$A42,
          Transactions!$C:$C,"IN",
          Transactions!$Q:$Q,"Paid"))</f>
        <v/>
      </c>
      <c r="H42" s="59" t="str">
        <f>IF($A42="","",
   SUMIFS(Transactions!$P:$P,
          Transactions!$G:$G,$A42,
          Transactions!$C:$C,"OUT"))</f>
        <v/>
      </c>
      <c r="I42" s="65" t="str">
        <f t="shared" si="0"/>
        <v/>
      </c>
      <c r="J42" s="59" t="str">
        <f t="shared" si="5"/>
        <v/>
      </c>
    </row>
    <row r="43" spans="4:10" ht="22.5" customHeight="1" x14ac:dyDescent="0.25">
      <c r="D43" s="59" t="str">
        <f t="shared" si="2"/>
        <v/>
      </c>
      <c r="E43" s="59" t="str">
        <f t="shared" si="3"/>
        <v/>
      </c>
      <c r="F43" s="59" t="str">
        <f t="shared" si="4"/>
        <v/>
      </c>
      <c r="G43" s="59" t="str">
        <f>IF($A43="","",
   SUMIFS(Transactions!$P:$P,
          Transactions!$G:$G,$A43,
          Transactions!$C:$C,"IN",
          Transactions!$Q:$Q,"Paid"))</f>
        <v/>
      </c>
      <c r="H43" s="59" t="str">
        <f>IF($A43="","",
   SUMIFS(Transactions!$P:$P,
          Transactions!$G:$G,$A43,
          Transactions!$C:$C,"OUT"))</f>
        <v/>
      </c>
      <c r="I43" s="65" t="str">
        <f t="shared" si="0"/>
        <v/>
      </c>
      <c r="J43" s="59" t="str">
        <f t="shared" si="5"/>
        <v/>
      </c>
    </row>
    <row r="44" spans="4:10" ht="22.5" customHeight="1" x14ac:dyDescent="0.25">
      <c r="D44" s="59" t="str">
        <f t="shared" si="2"/>
        <v/>
      </c>
      <c r="E44" s="59" t="str">
        <f t="shared" si="3"/>
        <v/>
      </c>
      <c r="F44" s="59" t="str">
        <f t="shared" si="4"/>
        <v/>
      </c>
      <c r="G44" s="59" t="str">
        <f>IF($A44="","",
   SUMIFS(Transactions!$P:$P,
          Transactions!$G:$G,$A44,
          Transactions!$C:$C,"IN",
          Transactions!$Q:$Q,"Paid"))</f>
        <v/>
      </c>
      <c r="H44" s="59" t="str">
        <f>IF($A44="","",
   SUMIFS(Transactions!$P:$P,
          Transactions!$G:$G,$A44,
          Transactions!$C:$C,"OUT"))</f>
        <v/>
      </c>
      <c r="I44" s="65" t="str">
        <f t="shared" si="0"/>
        <v/>
      </c>
      <c r="J44" s="59" t="str">
        <f t="shared" si="5"/>
        <v/>
      </c>
    </row>
    <row r="45" spans="4:10" ht="22.5" customHeight="1" x14ac:dyDescent="0.25">
      <c r="D45" s="59" t="str">
        <f t="shared" si="2"/>
        <v/>
      </c>
      <c r="E45" s="59" t="str">
        <f t="shared" si="3"/>
        <v/>
      </c>
      <c r="F45" s="59" t="str">
        <f t="shared" si="4"/>
        <v/>
      </c>
      <c r="G45" s="59" t="str">
        <f>IF($A45="","",
   SUMIFS(Transactions!$P:$P,
          Transactions!$G:$G,$A45,
          Transactions!$C:$C,"IN",
          Transactions!$Q:$Q,"Paid"))</f>
        <v/>
      </c>
      <c r="H45" s="59" t="str">
        <f>IF($A45="","",
   SUMIFS(Transactions!$P:$P,
          Transactions!$G:$G,$A45,
          Transactions!$C:$C,"OUT"))</f>
        <v/>
      </c>
      <c r="I45" s="65" t="str">
        <f t="shared" si="0"/>
        <v/>
      </c>
      <c r="J45" s="59" t="str">
        <f t="shared" si="5"/>
        <v/>
      </c>
    </row>
    <row r="46" spans="4:10" ht="22.5" customHeight="1" x14ac:dyDescent="0.25">
      <c r="D46" s="59" t="str">
        <f t="shared" si="2"/>
        <v/>
      </c>
      <c r="E46" s="59" t="str">
        <f t="shared" si="3"/>
        <v/>
      </c>
      <c r="F46" s="59" t="str">
        <f t="shared" si="4"/>
        <v/>
      </c>
      <c r="G46" s="59" t="str">
        <f>IF($A46="","",
   SUMIFS(Transactions!$P:$P,
          Transactions!$G:$G,$A46,
          Transactions!$C:$C,"IN",
          Transactions!$Q:$Q,"Paid"))</f>
        <v/>
      </c>
      <c r="H46" s="59" t="str">
        <f>IF($A46="","",
   SUMIFS(Transactions!$P:$P,
          Transactions!$G:$G,$A46,
          Transactions!$C:$C,"OUT"))</f>
        <v/>
      </c>
      <c r="I46" s="65" t="str">
        <f t="shared" si="0"/>
        <v/>
      </c>
      <c r="J46" s="59" t="str">
        <f t="shared" si="5"/>
        <v/>
      </c>
    </row>
    <row r="47" spans="4:10" ht="22.5" customHeight="1" x14ac:dyDescent="0.25">
      <c r="D47" s="59" t="str">
        <f t="shared" si="2"/>
        <v/>
      </c>
      <c r="E47" s="59" t="str">
        <f t="shared" si="3"/>
        <v/>
      </c>
      <c r="F47" s="59" t="str">
        <f t="shared" si="4"/>
        <v/>
      </c>
      <c r="G47" s="59" t="str">
        <f>IF($A47="","",
   SUMIFS(Transactions!$P:$P,
          Transactions!$G:$G,$A47,
          Transactions!$C:$C,"IN",
          Transactions!$Q:$Q,"Paid"))</f>
        <v/>
      </c>
      <c r="H47" s="59" t="str">
        <f>IF($A47="","",
   SUMIFS(Transactions!$P:$P,
          Transactions!$G:$G,$A47,
          Transactions!$C:$C,"OUT"))</f>
        <v/>
      </c>
      <c r="I47" s="65" t="str">
        <f t="shared" si="0"/>
        <v/>
      </c>
      <c r="J47" s="59" t="str">
        <f t="shared" si="5"/>
        <v/>
      </c>
    </row>
    <row r="48" spans="4:10" ht="22.5" customHeight="1" x14ac:dyDescent="0.25">
      <c r="D48" s="59" t="str">
        <f t="shared" si="2"/>
        <v/>
      </c>
      <c r="E48" s="59" t="str">
        <f t="shared" si="3"/>
        <v/>
      </c>
      <c r="F48" s="59" t="str">
        <f t="shared" si="4"/>
        <v/>
      </c>
      <c r="G48" s="59" t="str">
        <f>IF($A48="","",
   SUMIFS(Transactions!$P:$P,
          Transactions!$G:$G,$A48,
          Transactions!$C:$C,"IN",
          Transactions!$Q:$Q,"Paid"))</f>
        <v/>
      </c>
      <c r="H48" s="59" t="str">
        <f>IF($A48="","",
   SUMIFS(Transactions!$P:$P,
          Transactions!$G:$G,$A48,
          Transactions!$C:$C,"OUT"))</f>
        <v/>
      </c>
      <c r="I48" s="65" t="str">
        <f t="shared" si="0"/>
        <v/>
      </c>
      <c r="J48" s="59" t="str">
        <f t="shared" si="5"/>
        <v/>
      </c>
    </row>
    <row r="49" spans="4:10" ht="22.5" customHeight="1" x14ac:dyDescent="0.25">
      <c r="D49" s="59" t="str">
        <f t="shared" si="2"/>
        <v/>
      </c>
      <c r="E49" s="59" t="str">
        <f t="shared" si="3"/>
        <v/>
      </c>
      <c r="F49" s="59" t="str">
        <f t="shared" si="4"/>
        <v/>
      </c>
      <c r="G49" s="59" t="str">
        <f>IF($A49="","",
   SUMIFS(Transactions!$P:$P,
          Transactions!$G:$G,$A49,
          Transactions!$C:$C,"IN",
          Transactions!$Q:$Q,"Paid"))</f>
        <v/>
      </c>
      <c r="H49" s="59" t="str">
        <f>IF($A49="","",
   SUMIFS(Transactions!$P:$P,
          Transactions!$G:$G,$A49,
          Transactions!$C:$C,"OUT"))</f>
        <v/>
      </c>
      <c r="I49" s="65" t="str">
        <f t="shared" si="0"/>
        <v/>
      </c>
      <c r="J49" s="59" t="str">
        <f t="shared" si="5"/>
        <v/>
      </c>
    </row>
    <row r="50" spans="4:10" ht="22.5" customHeight="1" x14ac:dyDescent="0.25">
      <c r="D50" s="59" t="str">
        <f t="shared" si="2"/>
        <v/>
      </c>
      <c r="E50" s="59" t="str">
        <f t="shared" si="3"/>
        <v/>
      </c>
      <c r="F50" s="59" t="str">
        <f t="shared" si="4"/>
        <v/>
      </c>
      <c r="G50" s="59" t="str">
        <f>IF($A50="","",
   SUMIFS(Transactions!$P:$P,
          Transactions!$G:$G,$A50,
          Transactions!$C:$C,"IN",
          Transactions!$Q:$Q,"Paid"))</f>
        <v/>
      </c>
      <c r="H50" s="59" t="str">
        <f>IF($A50="","",
   SUMIFS(Transactions!$P:$P,
          Transactions!$G:$G,$A50,
          Transactions!$C:$C,"OUT"))</f>
        <v/>
      </c>
      <c r="I50" s="65" t="str">
        <f t="shared" si="0"/>
        <v/>
      </c>
      <c r="J50" s="59" t="str">
        <f t="shared" si="5"/>
        <v/>
      </c>
    </row>
    <row r="51" spans="4:10" ht="22.5" customHeight="1" x14ac:dyDescent="0.25">
      <c r="D51" s="59" t="str">
        <f t="shared" si="2"/>
        <v/>
      </c>
      <c r="E51" s="59" t="str">
        <f t="shared" si="3"/>
        <v/>
      </c>
      <c r="F51" s="59" t="str">
        <f t="shared" si="4"/>
        <v/>
      </c>
      <c r="G51" s="59" t="str">
        <f>IF($A51="","",
   SUMIFS(Transactions!$P:$P,
          Transactions!$G:$G,$A51,
          Transactions!$C:$C,"IN",
          Transactions!$Q:$Q,"Paid"))</f>
        <v/>
      </c>
      <c r="H51" s="59" t="str">
        <f>IF($A51="","",
   SUMIFS(Transactions!$P:$P,
          Transactions!$G:$G,$A51,
          Transactions!$C:$C,"OUT"))</f>
        <v/>
      </c>
      <c r="I51" s="65" t="str">
        <f t="shared" si="0"/>
        <v/>
      </c>
      <c r="J51" s="59" t="str">
        <f t="shared" si="5"/>
        <v/>
      </c>
    </row>
    <row r="52" spans="4:10" ht="22.5" customHeight="1" x14ac:dyDescent="0.25">
      <c r="D52" s="59" t="str">
        <f t="shared" si="2"/>
        <v/>
      </c>
      <c r="E52" s="59" t="str">
        <f t="shared" si="3"/>
        <v/>
      </c>
      <c r="F52" s="59" t="str">
        <f t="shared" si="4"/>
        <v/>
      </c>
      <c r="G52" s="59" t="str">
        <f>IF($A52="","",
   SUMIFS(Transactions!$P:$P,
          Transactions!$G:$G,$A52,
          Transactions!$C:$C,"IN",
          Transactions!$Q:$Q,"Paid"))</f>
        <v/>
      </c>
      <c r="H52" s="59" t="str">
        <f>IF($A52="","",
   SUMIFS(Transactions!$P:$P,
          Transactions!$G:$G,$A52,
          Transactions!$C:$C,"OUT"))</f>
        <v/>
      </c>
      <c r="I52" s="65" t="str">
        <f t="shared" si="0"/>
        <v/>
      </c>
      <c r="J52" s="59" t="str">
        <f t="shared" si="5"/>
        <v/>
      </c>
    </row>
    <row r="53" spans="4:10" ht="22.5" customHeight="1" x14ac:dyDescent="0.25">
      <c r="D53" s="59" t="str">
        <f t="shared" si="2"/>
        <v/>
      </c>
      <c r="E53" s="59" t="str">
        <f t="shared" si="3"/>
        <v/>
      </c>
      <c r="F53" s="59" t="str">
        <f t="shared" si="4"/>
        <v/>
      </c>
      <c r="G53" s="59" t="str">
        <f>IF($A53="","",
   SUMIFS(Transactions!$P:$P,
          Transactions!$G:$G,$A53,
          Transactions!$C:$C,"IN",
          Transactions!$Q:$Q,"Paid"))</f>
        <v/>
      </c>
      <c r="H53" s="59" t="str">
        <f>IF($A53="","",
   SUMIFS(Transactions!$P:$P,
          Transactions!$G:$G,$A53,
          Transactions!$C:$C,"OUT"))</f>
        <v/>
      </c>
      <c r="I53" s="65" t="str">
        <f t="shared" si="0"/>
        <v/>
      </c>
      <c r="J53" s="59" t="str">
        <f t="shared" si="5"/>
        <v/>
      </c>
    </row>
    <row r="54" spans="4:10" ht="22.5" customHeight="1" x14ac:dyDescent="0.25">
      <c r="D54" s="59" t="str">
        <f t="shared" si="2"/>
        <v/>
      </c>
      <c r="E54" s="59" t="str">
        <f t="shared" si="3"/>
        <v/>
      </c>
      <c r="F54" s="59" t="str">
        <f t="shared" si="4"/>
        <v/>
      </c>
      <c r="G54" s="59" t="str">
        <f>IF($A54="","",
   SUMIFS(Transactions!$P:$P,
          Transactions!$G:$G,$A54,
          Transactions!$C:$C,"IN",
          Transactions!$Q:$Q,"Paid"))</f>
        <v/>
      </c>
      <c r="H54" s="59" t="str">
        <f>IF($A54="","",
   SUMIFS(Transactions!$P:$P,
          Transactions!$G:$G,$A54,
          Transactions!$C:$C,"OUT"))</f>
        <v/>
      </c>
      <c r="I54" s="65" t="str">
        <f t="shared" si="0"/>
        <v/>
      </c>
      <c r="J54" s="59" t="str">
        <f t="shared" si="5"/>
        <v/>
      </c>
    </row>
    <row r="55" spans="4:10" ht="22.5" customHeight="1" x14ac:dyDescent="0.25">
      <c r="D55" s="59" t="str">
        <f t="shared" si="2"/>
        <v/>
      </c>
      <c r="E55" s="59" t="str">
        <f t="shared" si="3"/>
        <v/>
      </c>
      <c r="F55" s="59" t="str">
        <f t="shared" si="4"/>
        <v/>
      </c>
      <c r="G55" s="59" t="str">
        <f>IF($A55="","",
   SUMIFS(Transactions!$P:$P,
          Transactions!$G:$G,$A55,
          Transactions!$C:$C,"IN",
          Transactions!$Q:$Q,"Paid"))</f>
        <v/>
      </c>
      <c r="H55" s="59" t="str">
        <f>IF($A55="","",
   SUMIFS(Transactions!$P:$P,
          Transactions!$G:$G,$A55,
          Transactions!$C:$C,"OUT"))</f>
        <v/>
      </c>
      <c r="I55" s="65" t="str">
        <f t="shared" si="0"/>
        <v/>
      </c>
      <c r="J55" s="59" t="str">
        <f t="shared" si="5"/>
        <v/>
      </c>
    </row>
    <row r="56" spans="4:10" ht="22.5" customHeight="1" x14ac:dyDescent="0.25">
      <c r="D56" s="59" t="str">
        <f t="shared" si="2"/>
        <v/>
      </c>
      <c r="E56" s="59" t="str">
        <f t="shared" si="3"/>
        <v/>
      </c>
      <c r="F56" s="59" t="str">
        <f t="shared" si="4"/>
        <v/>
      </c>
      <c r="G56" s="59" t="str">
        <f>IF($A56="","",
   SUMIFS(Transactions!$P:$P,
          Transactions!$G:$G,$A56,
          Transactions!$C:$C,"IN",
          Transactions!$Q:$Q,"Paid"))</f>
        <v/>
      </c>
      <c r="H56" s="59" t="str">
        <f>IF($A56="","",
   SUMIFS(Transactions!$P:$P,
          Transactions!$G:$G,$A56,
          Transactions!$C:$C,"OUT"))</f>
        <v/>
      </c>
      <c r="I56" s="65" t="str">
        <f t="shared" si="0"/>
        <v/>
      </c>
      <c r="J56" s="59" t="str">
        <f t="shared" si="5"/>
        <v/>
      </c>
    </row>
    <row r="57" spans="4:10" ht="22.5" customHeight="1" x14ac:dyDescent="0.25">
      <c r="D57" s="59" t="str">
        <f t="shared" si="2"/>
        <v/>
      </c>
      <c r="E57" s="59" t="str">
        <f t="shared" si="3"/>
        <v/>
      </c>
      <c r="F57" s="59" t="str">
        <f t="shared" si="4"/>
        <v/>
      </c>
      <c r="G57" s="59" t="str">
        <f>IF($A57="","",
   SUMIFS(Transactions!$P:$P,
          Transactions!$G:$G,$A57,
          Transactions!$C:$C,"IN",
          Transactions!$Q:$Q,"Paid"))</f>
        <v/>
      </c>
      <c r="H57" s="59" t="str">
        <f>IF($A57="","",
   SUMIFS(Transactions!$P:$P,
          Transactions!$G:$G,$A57,
          Transactions!$C:$C,"OUT"))</f>
        <v/>
      </c>
      <c r="I57" s="65" t="str">
        <f t="shared" si="0"/>
        <v/>
      </c>
      <c r="J57" s="59" t="str">
        <f t="shared" si="5"/>
        <v/>
      </c>
    </row>
    <row r="58" spans="4:10" ht="22.5" customHeight="1" x14ac:dyDescent="0.25">
      <c r="D58" s="59" t="str">
        <f t="shared" si="2"/>
        <v/>
      </c>
      <c r="E58" s="59" t="str">
        <f t="shared" si="3"/>
        <v/>
      </c>
      <c r="F58" s="59" t="str">
        <f t="shared" si="4"/>
        <v/>
      </c>
      <c r="G58" s="59" t="str">
        <f>IF($A58="","",
   SUMIFS(Transactions!$P:$P,
          Transactions!$G:$G,$A58,
          Transactions!$C:$C,"IN",
          Transactions!$Q:$Q,"Paid"))</f>
        <v/>
      </c>
      <c r="H58" s="59" t="str">
        <f>IF($A58="","",
   SUMIFS(Transactions!$P:$P,
          Transactions!$G:$G,$A58,
          Transactions!$C:$C,"OUT"))</f>
        <v/>
      </c>
      <c r="I58" s="65" t="str">
        <f t="shared" si="0"/>
        <v/>
      </c>
      <c r="J58" s="59" t="str">
        <f t="shared" si="5"/>
        <v/>
      </c>
    </row>
    <row r="59" spans="4:10" ht="22.5" customHeight="1" x14ac:dyDescent="0.25">
      <c r="D59" s="59" t="str">
        <f t="shared" si="2"/>
        <v/>
      </c>
      <c r="E59" s="59" t="str">
        <f t="shared" si="3"/>
        <v/>
      </c>
      <c r="F59" s="59" t="str">
        <f t="shared" si="4"/>
        <v/>
      </c>
      <c r="G59" s="59" t="str">
        <f>IF($A59="","",
   SUMIFS(Transactions!$P:$P,
          Transactions!$G:$G,$A59,
          Transactions!$C:$C,"IN",
          Transactions!$Q:$Q,"Paid"))</f>
        <v/>
      </c>
      <c r="H59" s="59" t="str">
        <f>IF($A59="","",
   SUMIFS(Transactions!$P:$P,
          Transactions!$G:$G,$A59,
          Transactions!$C:$C,"OUT"))</f>
        <v/>
      </c>
      <c r="I59" s="65" t="str">
        <f t="shared" si="0"/>
        <v/>
      </c>
      <c r="J59" s="59" t="str">
        <f t="shared" si="5"/>
        <v/>
      </c>
    </row>
    <row r="60" spans="4:10" ht="22.5" customHeight="1" x14ac:dyDescent="0.25">
      <c r="D60" s="59" t="str">
        <f t="shared" si="2"/>
        <v/>
      </c>
      <c r="E60" s="59" t="str">
        <f t="shared" si="3"/>
        <v/>
      </c>
      <c r="F60" s="59" t="str">
        <f t="shared" si="4"/>
        <v/>
      </c>
      <c r="G60" s="59" t="str">
        <f>IF($A60="","",
   SUMIFS(Transactions!$P:$P,
          Transactions!$G:$G,$A60,
          Transactions!$C:$C,"IN",
          Transactions!$Q:$Q,"Paid"))</f>
        <v/>
      </c>
      <c r="H60" s="59" t="str">
        <f>IF($A60="","",
   SUMIFS(Transactions!$P:$P,
          Transactions!$G:$G,$A60,
          Transactions!$C:$C,"OUT"))</f>
        <v/>
      </c>
      <c r="I60" s="65" t="str">
        <f t="shared" si="0"/>
        <v/>
      </c>
      <c r="J60" s="59" t="str">
        <f t="shared" si="5"/>
        <v/>
      </c>
    </row>
    <row r="61" spans="4:10" ht="22.5" customHeight="1" x14ac:dyDescent="0.25">
      <c r="D61" s="59" t="str">
        <f t="shared" si="2"/>
        <v/>
      </c>
      <c r="E61" s="59" t="str">
        <f t="shared" si="3"/>
        <v/>
      </c>
      <c r="F61" s="59" t="str">
        <f t="shared" si="4"/>
        <v/>
      </c>
      <c r="G61" s="59" t="str">
        <f>IF($A61="","",
   SUMIFS(Transactions!$P:$P,
          Transactions!$G:$G,$A61,
          Transactions!$C:$C,"IN",
          Transactions!$Q:$Q,"Paid"))</f>
        <v/>
      </c>
      <c r="H61" s="59" t="str">
        <f>IF($A61="","",
   SUMIFS(Transactions!$P:$P,
          Transactions!$G:$G,$A61,
          Transactions!$C:$C,"OUT"))</f>
        <v/>
      </c>
      <c r="I61" s="65" t="str">
        <f t="shared" si="0"/>
        <v/>
      </c>
      <c r="J61" s="59" t="str">
        <f t="shared" si="5"/>
        <v/>
      </c>
    </row>
    <row r="62" spans="4:10" ht="22.5" customHeight="1" x14ac:dyDescent="0.25">
      <c r="D62" s="59" t="str">
        <f t="shared" si="2"/>
        <v/>
      </c>
      <c r="E62" s="59" t="str">
        <f t="shared" si="3"/>
        <v/>
      </c>
      <c r="F62" s="59" t="str">
        <f t="shared" si="4"/>
        <v/>
      </c>
      <c r="G62" s="59" t="str">
        <f>IF($A62="","",
   SUMIFS(Transactions!$P:$P,
          Transactions!$G:$G,$A62,
          Transactions!$C:$C,"IN",
          Transactions!$Q:$Q,"Paid"))</f>
        <v/>
      </c>
      <c r="H62" s="59" t="str">
        <f>IF($A62="","",
   SUMIFS(Transactions!$P:$P,
          Transactions!$G:$G,$A62,
          Transactions!$C:$C,"OUT"))</f>
        <v/>
      </c>
      <c r="I62" s="65" t="str">
        <f t="shared" si="0"/>
        <v/>
      </c>
      <c r="J62" s="59" t="str">
        <f t="shared" si="5"/>
        <v/>
      </c>
    </row>
    <row r="63" spans="4:10" ht="22.5" customHeight="1" x14ac:dyDescent="0.25">
      <c r="D63" s="59" t="str">
        <f t="shared" si="2"/>
        <v/>
      </c>
      <c r="E63" s="59" t="str">
        <f t="shared" si="3"/>
        <v/>
      </c>
      <c r="F63" s="59" t="str">
        <f t="shared" si="4"/>
        <v/>
      </c>
      <c r="G63" s="59" t="str">
        <f>IF($A63="","",
   SUMIFS(Transactions!$P:$P,
          Transactions!$G:$G,$A63,
          Transactions!$C:$C,"IN",
          Transactions!$Q:$Q,"Paid"))</f>
        <v/>
      </c>
      <c r="H63" s="59" t="str">
        <f>IF($A63="","",
   SUMIFS(Transactions!$P:$P,
          Transactions!$G:$G,$A63,
          Transactions!$C:$C,"OUT"))</f>
        <v/>
      </c>
      <c r="I63" s="65" t="str">
        <f t="shared" si="0"/>
        <v/>
      </c>
      <c r="J63" s="59" t="str">
        <f t="shared" si="5"/>
        <v/>
      </c>
    </row>
    <row r="64" spans="4:10" ht="22.5" customHeight="1" x14ac:dyDescent="0.25">
      <c r="D64" s="59" t="str">
        <f t="shared" si="2"/>
        <v/>
      </c>
      <c r="E64" s="59" t="str">
        <f t="shared" si="3"/>
        <v/>
      </c>
      <c r="F64" s="59" t="str">
        <f t="shared" si="4"/>
        <v/>
      </c>
      <c r="G64" s="59" t="str">
        <f>IF($A64="","",
   SUMIFS(Transactions!$P:$P,
          Transactions!$G:$G,$A64,
          Transactions!$C:$C,"IN",
          Transactions!$Q:$Q,"Paid"))</f>
        <v/>
      </c>
      <c r="H64" s="59" t="str">
        <f>IF($A64="","",
   SUMIFS(Transactions!$P:$P,
          Transactions!$G:$G,$A64,
          Transactions!$C:$C,"OUT"))</f>
        <v/>
      </c>
      <c r="I64" s="65" t="str">
        <f t="shared" si="0"/>
        <v/>
      </c>
      <c r="J64" s="59" t="str">
        <f t="shared" si="5"/>
        <v/>
      </c>
    </row>
    <row r="65" spans="4:10" ht="22.5" customHeight="1" x14ac:dyDescent="0.25">
      <c r="D65" s="59" t="str">
        <f t="shared" si="2"/>
        <v/>
      </c>
      <c r="E65" s="59" t="str">
        <f t="shared" si="3"/>
        <v/>
      </c>
      <c r="F65" s="59" t="str">
        <f t="shared" si="4"/>
        <v/>
      </c>
      <c r="G65" s="59" t="str">
        <f>IF($A65="","",
   SUMIFS(Transactions!$P:$P,
          Transactions!$G:$G,$A65,
          Transactions!$C:$C,"IN",
          Transactions!$Q:$Q,"Paid"))</f>
        <v/>
      </c>
      <c r="H65" s="59" t="str">
        <f>IF($A65="","",
   SUMIFS(Transactions!$P:$P,
          Transactions!$G:$G,$A65,
          Transactions!$C:$C,"OUT"))</f>
        <v/>
      </c>
      <c r="I65" s="65" t="str">
        <f t="shared" si="0"/>
        <v/>
      </c>
      <c r="J65" s="59" t="str">
        <f t="shared" si="5"/>
        <v/>
      </c>
    </row>
    <row r="66" spans="4:10" ht="22.5" customHeight="1" x14ac:dyDescent="0.25">
      <c r="D66" s="59" t="str">
        <f t="shared" si="2"/>
        <v/>
      </c>
      <c r="E66" s="59" t="str">
        <f t="shared" si="3"/>
        <v/>
      </c>
      <c r="F66" s="59" t="str">
        <f t="shared" si="4"/>
        <v/>
      </c>
      <c r="G66" s="59" t="str">
        <f>IF($A66="","",
   SUMIFS(Transactions!$P:$P,
          Transactions!$G:$G,$A66,
          Transactions!$C:$C,"IN",
          Transactions!$Q:$Q,"Paid"))</f>
        <v/>
      </c>
      <c r="H66" s="59" t="str">
        <f>IF($A66="","",
   SUMIFS(Transactions!$P:$P,
          Transactions!$G:$G,$A66,
          Transactions!$C:$C,"OUT"))</f>
        <v/>
      </c>
      <c r="I66" s="65" t="str">
        <f t="shared" si="0"/>
        <v/>
      </c>
      <c r="J66" s="59" t="str">
        <f t="shared" si="5"/>
        <v/>
      </c>
    </row>
    <row r="67" spans="4:10" ht="22.5" customHeight="1" x14ac:dyDescent="0.25">
      <c r="D67" s="59" t="str">
        <f t="shared" ref="D67:D130" si="6">IF(C67="","",ROUND(C67*0.15,2))</f>
        <v/>
      </c>
      <c r="E67" s="59" t="str">
        <f t="shared" si="3"/>
        <v/>
      </c>
      <c r="F67" s="59" t="str">
        <f t="shared" si="4"/>
        <v/>
      </c>
      <c r="G67" s="59" t="str">
        <f>IF($A67="","",
   SUMIFS(Transactions!$P:$P,
          Transactions!$G:$G,$A67,
          Transactions!$C:$C,"IN",
          Transactions!$Q:$Q,"Paid"))</f>
        <v/>
      </c>
      <c r="H67" s="59" t="str">
        <f>IF($A67="","",
   SUMIFS(Transactions!$P:$P,
          Transactions!$G:$G,$A67,
          Transactions!$C:$C,"OUT"))</f>
        <v/>
      </c>
      <c r="I67" s="65" t="str">
        <f t="shared" ref="I67:I130" si="7">IF(C67="","",C67-H67)</f>
        <v/>
      </c>
      <c r="J67" s="59" t="str">
        <f t="shared" si="5"/>
        <v/>
      </c>
    </row>
    <row r="68" spans="4:10" ht="22.5" customHeight="1" x14ac:dyDescent="0.25">
      <c r="D68" s="59" t="str">
        <f t="shared" si="6"/>
        <v/>
      </c>
      <c r="E68" s="59" t="str">
        <f t="shared" ref="E68:E131" si="8">IF(C68="","",C68+D68)</f>
        <v/>
      </c>
      <c r="F68" s="59" t="str">
        <f t="shared" ref="F68:F131" si="9">IF(E68="","",E68*0.5)</f>
        <v/>
      </c>
      <c r="G68" s="59" t="str">
        <f>IF($A68="","",
   SUMIFS(Transactions!$P:$P,
          Transactions!$G:$G,$A68,
          Transactions!$C:$C,"IN",
          Transactions!$Q:$Q,"Paid"))</f>
        <v/>
      </c>
      <c r="H68" s="59" t="str">
        <f>IF($A68="","",
   SUMIFS(Transactions!$P:$P,
          Transactions!$G:$G,$A68,
          Transactions!$C:$C,"OUT"))</f>
        <v/>
      </c>
      <c r="I68" s="65" t="str">
        <f t="shared" si="7"/>
        <v/>
      </c>
      <c r="J68" s="59" t="str">
        <f t="shared" ref="J68:J131" si="10">IF(E68="","",E68-G68)</f>
        <v/>
      </c>
    </row>
    <row r="69" spans="4:10" ht="22.5" customHeight="1" x14ac:dyDescent="0.25">
      <c r="D69" s="59" t="str">
        <f t="shared" si="6"/>
        <v/>
      </c>
      <c r="E69" s="59" t="str">
        <f t="shared" si="8"/>
        <v/>
      </c>
      <c r="F69" s="59" t="str">
        <f t="shared" si="9"/>
        <v/>
      </c>
      <c r="G69" s="59" t="str">
        <f>IF($A69="","",
   SUMIFS(Transactions!$P:$P,
          Transactions!$G:$G,$A69,
          Transactions!$C:$C,"IN",
          Transactions!$Q:$Q,"Paid"))</f>
        <v/>
      </c>
      <c r="H69" s="59" t="str">
        <f>IF($A69="","",
   SUMIFS(Transactions!$P:$P,
          Transactions!$G:$G,$A69,
          Transactions!$C:$C,"OUT"))</f>
        <v/>
      </c>
      <c r="I69" s="65" t="str">
        <f t="shared" si="7"/>
        <v/>
      </c>
      <c r="J69" s="59" t="str">
        <f t="shared" si="10"/>
        <v/>
      </c>
    </row>
    <row r="70" spans="4:10" ht="22.5" customHeight="1" x14ac:dyDescent="0.25">
      <c r="D70" s="59" t="str">
        <f t="shared" si="6"/>
        <v/>
      </c>
      <c r="E70" s="59" t="str">
        <f t="shared" si="8"/>
        <v/>
      </c>
      <c r="F70" s="59" t="str">
        <f t="shared" si="9"/>
        <v/>
      </c>
      <c r="G70" s="59" t="str">
        <f>IF($A70="","",
   SUMIFS(Transactions!$P:$P,
          Transactions!$G:$G,$A70,
          Transactions!$C:$C,"IN",
          Transactions!$Q:$Q,"Paid"))</f>
        <v/>
      </c>
      <c r="H70" s="59" t="str">
        <f>IF($A70="","",
   SUMIFS(Transactions!$P:$P,
          Transactions!$G:$G,$A70,
          Transactions!$C:$C,"OUT"))</f>
        <v/>
      </c>
      <c r="I70" s="65" t="str">
        <f t="shared" si="7"/>
        <v/>
      </c>
      <c r="J70" s="59" t="str">
        <f t="shared" si="10"/>
        <v/>
      </c>
    </row>
    <row r="71" spans="4:10" ht="22.5" customHeight="1" x14ac:dyDescent="0.25">
      <c r="D71" s="59" t="str">
        <f t="shared" si="6"/>
        <v/>
      </c>
      <c r="E71" s="59" t="str">
        <f t="shared" si="8"/>
        <v/>
      </c>
      <c r="F71" s="59" t="str">
        <f t="shared" si="9"/>
        <v/>
      </c>
      <c r="G71" s="59" t="str">
        <f>IF($A71="","",
   SUMIFS(Transactions!$P:$P,
          Transactions!$G:$G,$A71,
          Transactions!$C:$C,"IN",
          Transactions!$Q:$Q,"Paid"))</f>
        <v/>
      </c>
      <c r="H71" s="59" t="str">
        <f>IF($A71="","",
   SUMIFS(Transactions!$P:$P,
          Transactions!$G:$G,$A71,
          Transactions!$C:$C,"OUT"))</f>
        <v/>
      </c>
      <c r="I71" s="65" t="str">
        <f t="shared" si="7"/>
        <v/>
      </c>
      <c r="J71" s="59" t="str">
        <f t="shared" si="10"/>
        <v/>
      </c>
    </row>
    <row r="72" spans="4:10" ht="22.5" customHeight="1" x14ac:dyDescent="0.25">
      <c r="D72" s="59" t="str">
        <f t="shared" si="6"/>
        <v/>
      </c>
      <c r="E72" s="59" t="str">
        <f t="shared" si="8"/>
        <v/>
      </c>
      <c r="F72" s="59" t="str">
        <f t="shared" si="9"/>
        <v/>
      </c>
      <c r="G72" s="59" t="str">
        <f>IF($A72="","",
   SUMIFS(Transactions!$P:$P,
          Transactions!$G:$G,$A72,
          Transactions!$C:$C,"IN",
          Transactions!$Q:$Q,"Paid"))</f>
        <v/>
      </c>
      <c r="H72" s="59" t="str">
        <f>IF($A72="","",
   SUMIFS(Transactions!$P:$P,
          Transactions!$G:$G,$A72,
          Transactions!$C:$C,"OUT"))</f>
        <v/>
      </c>
      <c r="I72" s="65" t="str">
        <f t="shared" si="7"/>
        <v/>
      </c>
      <c r="J72" s="59" t="str">
        <f t="shared" si="10"/>
        <v/>
      </c>
    </row>
    <row r="73" spans="4:10" ht="22.5" customHeight="1" x14ac:dyDescent="0.25">
      <c r="D73" s="59" t="str">
        <f t="shared" si="6"/>
        <v/>
      </c>
      <c r="E73" s="59" t="str">
        <f t="shared" si="8"/>
        <v/>
      </c>
      <c r="F73" s="59" t="str">
        <f t="shared" si="9"/>
        <v/>
      </c>
      <c r="G73" s="59" t="str">
        <f>IF($A73="","",
   SUMIFS(Transactions!$P:$P,
          Transactions!$G:$G,$A73,
          Transactions!$C:$C,"IN",
          Transactions!$Q:$Q,"Paid"))</f>
        <v/>
      </c>
      <c r="H73" s="59" t="str">
        <f>IF($A73="","",
   SUMIFS(Transactions!$P:$P,
          Transactions!$G:$G,$A73,
          Transactions!$C:$C,"OUT"))</f>
        <v/>
      </c>
      <c r="I73" s="65" t="str">
        <f t="shared" si="7"/>
        <v/>
      </c>
      <c r="J73" s="59" t="str">
        <f t="shared" si="10"/>
        <v/>
      </c>
    </row>
    <row r="74" spans="4:10" ht="22.5" customHeight="1" x14ac:dyDescent="0.25">
      <c r="D74" s="59" t="str">
        <f t="shared" si="6"/>
        <v/>
      </c>
      <c r="E74" s="59" t="str">
        <f t="shared" si="8"/>
        <v/>
      </c>
      <c r="F74" s="59" t="str">
        <f t="shared" si="9"/>
        <v/>
      </c>
      <c r="G74" s="59" t="str">
        <f>IF($A74="","",
   SUMIFS(Transactions!$P:$P,
          Transactions!$G:$G,$A74,
          Transactions!$C:$C,"IN",
          Transactions!$Q:$Q,"Paid"))</f>
        <v/>
      </c>
      <c r="H74" s="59" t="str">
        <f>IF($A74="","",
   SUMIFS(Transactions!$P:$P,
          Transactions!$G:$G,$A74,
          Transactions!$C:$C,"OUT"))</f>
        <v/>
      </c>
      <c r="I74" s="65" t="str">
        <f t="shared" si="7"/>
        <v/>
      </c>
      <c r="J74" s="59" t="str">
        <f t="shared" si="10"/>
        <v/>
      </c>
    </row>
    <row r="75" spans="4:10" ht="22.5" customHeight="1" x14ac:dyDescent="0.25">
      <c r="D75" s="59" t="str">
        <f t="shared" si="6"/>
        <v/>
      </c>
      <c r="E75" s="59" t="str">
        <f t="shared" si="8"/>
        <v/>
      </c>
      <c r="F75" s="59" t="str">
        <f t="shared" si="9"/>
        <v/>
      </c>
      <c r="G75" s="59" t="str">
        <f>IF($A75="","",
   SUMIFS(Transactions!$P:$P,
          Transactions!$G:$G,$A75,
          Transactions!$C:$C,"IN",
          Transactions!$Q:$Q,"Paid"))</f>
        <v/>
      </c>
      <c r="H75" s="59" t="str">
        <f>IF($A75="","",
   SUMIFS(Transactions!$P:$P,
          Transactions!$G:$G,$A75,
          Transactions!$C:$C,"OUT"))</f>
        <v/>
      </c>
      <c r="I75" s="65" t="str">
        <f t="shared" si="7"/>
        <v/>
      </c>
      <c r="J75" s="59" t="str">
        <f t="shared" si="10"/>
        <v/>
      </c>
    </row>
    <row r="76" spans="4:10" ht="22.5" customHeight="1" x14ac:dyDescent="0.25">
      <c r="D76" s="59" t="str">
        <f t="shared" si="6"/>
        <v/>
      </c>
      <c r="E76" s="59" t="str">
        <f t="shared" si="8"/>
        <v/>
      </c>
      <c r="F76" s="59" t="str">
        <f t="shared" si="9"/>
        <v/>
      </c>
      <c r="G76" s="59" t="str">
        <f>IF($A76="","",
   SUMIFS(Transactions!$P:$P,
          Transactions!$G:$G,$A76,
          Transactions!$C:$C,"IN",
          Transactions!$Q:$Q,"Paid"))</f>
        <v/>
      </c>
      <c r="H76" s="59" t="str">
        <f>IF($A76="","",
   SUMIFS(Transactions!$P:$P,
          Transactions!$G:$G,$A76,
          Transactions!$C:$C,"OUT"))</f>
        <v/>
      </c>
      <c r="I76" s="65" t="str">
        <f t="shared" si="7"/>
        <v/>
      </c>
      <c r="J76" s="59" t="str">
        <f t="shared" si="10"/>
        <v/>
      </c>
    </row>
    <row r="77" spans="4:10" ht="22.5" customHeight="1" x14ac:dyDescent="0.25">
      <c r="D77" s="59" t="str">
        <f t="shared" si="6"/>
        <v/>
      </c>
      <c r="E77" s="59" t="str">
        <f t="shared" si="8"/>
        <v/>
      </c>
      <c r="F77" s="59" t="str">
        <f t="shared" si="9"/>
        <v/>
      </c>
      <c r="G77" s="59" t="str">
        <f>IF($A77="","",
   SUMIFS(Transactions!$P:$P,
          Transactions!$G:$G,$A77,
          Transactions!$C:$C,"IN",
          Transactions!$Q:$Q,"Paid"))</f>
        <v/>
      </c>
      <c r="H77" s="59" t="str">
        <f>IF($A77="","",
   SUMIFS(Transactions!$P:$P,
          Transactions!$G:$G,$A77,
          Transactions!$C:$C,"OUT"))</f>
        <v/>
      </c>
      <c r="I77" s="65" t="str">
        <f t="shared" si="7"/>
        <v/>
      </c>
      <c r="J77" s="59" t="str">
        <f t="shared" si="10"/>
        <v/>
      </c>
    </row>
    <row r="78" spans="4:10" ht="22.5" customHeight="1" x14ac:dyDescent="0.25">
      <c r="D78" s="59" t="str">
        <f t="shared" si="6"/>
        <v/>
      </c>
      <c r="E78" s="59" t="str">
        <f t="shared" si="8"/>
        <v/>
      </c>
      <c r="F78" s="59" t="str">
        <f t="shared" si="9"/>
        <v/>
      </c>
      <c r="G78" s="59" t="str">
        <f>IF($A78="","",
   SUMIFS(Transactions!$P:$P,
          Transactions!$G:$G,$A78,
          Transactions!$C:$C,"IN",
          Transactions!$Q:$Q,"Paid"))</f>
        <v/>
      </c>
      <c r="H78" s="59" t="str">
        <f>IF($A78="","",
   SUMIFS(Transactions!$P:$P,
          Transactions!$G:$G,$A78,
          Transactions!$C:$C,"OUT"))</f>
        <v/>
      </c>
      <c r="I78" s="65" t="str">
        <f t="shared" si="7"/>
        <v/>
      </c>
      <c r="J78" s="59" t="str">
        <f t="shared" si="10"/>
        <v/>
      </c>
    </row>
    <row r="79" spans="4:10" ht="22.5" customHeight="1" x14ac:dyDescent="0.25">
      <c r="D79" s="59" t="str">
        <f t="shared" si="6"/>
        <v/>
      </c>
      <c r="E79" s="59" t="str">
        <f t="shared" si="8"/>
        <v/>
      </c>
      <c r="F79" s="59" t="str">
        <f t="shared" si="9"/>
        <v/>
      </c>
      <c r="G79" s="59" t="str">
        <f>IF($A79="","",
   SUMIFS(Transactions!$P:$P,
          Transactions!$G:$G,$A79,
          Transactions!$C:$C,"IN",
          Transactions!$Q:$Q,"Paid"))</f>
        <v/>
      </c>
      <c r="H79" s="59" t="str">
        <f>IF($A79="","",
   SUMIFS(Transactions!$P:$P,
          Transactions!$G:$G,$A79,
          Transactions!$C:$C,"OUT"))</f>
        <v/>
      </c>
      <c r="I79" s="65" t="str">
        <f t="shared" si="7"/>
        <v/>
      </c>
      <c r="J79" s="59" t="str">
        <f t="shared" si="10"/>
        <v/>
      </c>
    </row>
    <row r="80" spans="4:10" ht="22.5" customHeight="1" x14ac:dyDescent="0.25">
      <c r="D80" s="59" t="str">
        <f t="shared" si="6"/>
        <v/>
      </c>
      <c r="E80" s="59" t="str">
        <f t="shared" si="8"/>
        <v/>
      </c>
      <c r="F80" s="59" t="str">
        <f t="shared" si="9"/>
        <v/>
      </c>
      <c r="G80" s="59" t="str">
        <f>IF($A80="","",
   SUMIFS(Transactions!$P:$P,
          Transactions!$G:$G,$A80,
          Transactions!$C:$C,"IN",
          Transactions!$Q:$Q,"Paid"))</f>
        <v/>
      </c>
      <c r="H80" s="59" t="str">
        <f>IF($A80="","",
   SUMIFS(Transactions!$P:$P,
          Transactions!$G:$G,$A80,
          Transactions!$C:$C,"OUT"))</f>
        <v/>
      </c>
      <c r="I80" s="65" t="str">
        <f t="shared" si="7"/>
        <v/>
      </c>
      <c r="J80" s="59" t="str">
        <f t="shared" si="10"/>
        <v/>
      </c>
    </row>
    <row r="81" spans="4:10" ht="22.5" customHeight="1" x14ac:dyDescent="0.25">
      <c r="D81" s="59" t="str">
        <f t="shared" si="6"/>
        <v/>
      </c>
      <c r="E81" s="59" t="str">
        <f t="shared" si="8"/>
        <v/>
      </c>
      <c r="F81" s="59" t="str">
        <f t="shared" si="9"/>
        <v/>
      </c>
      <c r="G81" s="59" t="str">
        <f>IF($A81="","",
   SUMIFS(Transactions!$P:$P,
          Transactions!$G:$G,$A81,
          Transactions!$C:$C,"IN",
          Transactions!$Q:$Q,"Paid"))</f>
        <v/>
      </c>
      <c r="H81" s="59" t="str">
        <f>IF($A81="","",
   SUMIFS(Transactions!$P:$P,
          Transactions!$G:$G,$A81,
          Transactions!$C:$C,"OUT"))</f>
        <v/>
      </c>
      <c r="I81" s="65" t="str">
        <f t="shared" si="7"/>
        <v/>
      </c>
      <c r="J81" s="59" t="str">
        <f t="shared" si="10"/>
        <v/>
      </c>
    </row>
    <row r="82" spans="4:10" ht="22.5" customHeight="1" x14ac:dyDescent="0.25">
      <c r="D82" s="59" t="str">
        <f t="shared" si="6"/>
        <v/>
      </c>
      <c r="E82" s="59" t="str">
        <f t="shared" si="8"/>
        <v/>
      </c>
      <c r="F82" s="59" t="str">
        <f t="shared" si="9"/>
        <v/>
      </c>
      <c r="G82" s="59" t="str">
        <f>IF($A82="","",
   SUMIFS(Transactions!$P:$P,
          Transactions!$G:$G,$A82,
          Transactions!$C:$C,"IN",
          Transactions!$Q:$Q,"Paid"))</f>
        <v/>
      </c>
      <c r="H82" s="59" t="str">
        <f>IF($A82="","",
   SUMIFS(Transactions!$P:$P,
          Transactions!$G:$G,$A82,
          Transactions!$C:$C,"OUT"))</f>
        <v/>
      </c>
      <c r="I82" s="65" t="str">
        <f t="shared" si="7"/>
        <v/>
      </c>
      <c r="J82" s="59" t="str">
        <f t="shared" si="10"/>
        <v/>
      </c>
    </row>
    <row r="83" spans="4:10" ht="22.5" customHeight="1" x14ac:dyDescent="0.25">
      <c r="D83" s="59" t="str">
        <f t="shared" si="6"/>
        <v/>
      </c>
      <c r="E83" s="59" t="str">
        <f t="shared" si="8"/>
        <v/>
      </c>
      <c r="F83" s="59" t="str">
        <f t="shared" si="9"/>
        <v/>
      </c>
      <c r="G83" s="59" t="str">
        <f>IF($A83="","",
   SUMIFS(Transactions!$P:$P,
          Transactions!$G:$G,$A83,
          Transactions!$C:$C,"IN",
          Transactions!$Q:$Q,"Paid"))</f>
        <v/>
      </c>
      <c r="H83" s="59" t="str">
        <f>IF($A83="","",
   SUMIFS(Transactions!$P:$P,
          Transactions!$G:$G,$A83,
          Transactions!$C:$C,"OUT"))</f>
        <v/>
      </c>
      <c r="I83" s="65" t="str">
        <f t="shared" si="7"/>
        <v/>
      </c>
      <c r="J83" s="59" t="str">
        <f t="shared" si="10"/>
        <v/>
      </c>
    </row>
    <row r="84" spans="4:10" ht="22.5" customHeight="1" x14ac:dyDescent="0.25">
      <c r="D84" s="59" t="str">
        <f t="shared" si="6"/>
        <v/>
      </c>
      <c r="E84" s="59" t="str">
        <f t="shared" si="8"/>
        <v/>
      </c>
      <c r="F84" s="59" t="str">
        <f t="shared" si="9"/>
        <v/>
      </c>
      <c r="G84" s="59" t="str">
        <f>IF($A84="","",
   SUMIFS(Transactions!$P:$P,
          Transactions!$G:$G,$A84,
          Transactions!$C:$C,"IN",
          Transactions!$Q:$Q,"Paid"))</f>
        <v/>
      </c>
      <c r="H84" s="59" t="str">
        <f>IF($A84="","",
   SUMIFS(Transactions!$P:$P,
          Transactions!$G:$G,$A84,
          Transactions!$C:$C,"OUT"))</f>
        <v/>
      </c>
      <c r="I84" s="65" t="str">
        <f t="shared" si="7"/>
        <v/>
      </c>
      <c r="J84" s="59" t="str">
        <f t="shared" si="10"/>
        <v/>
      </c>
    </row>
    <row r="85" spans="4:10" ht="22.5" customHeight="1" x14ac:dyDescent="0.25">
      <c r="D85" s="59" t="str">
        <f t="shared" si="6"/>
        <v/>
      </c>
      <c r="E85" s="59" t="str">
        <f t="shared" si="8"/>
        <v/>
      </c>
      <c r="F85" s="59" t="str">
        <f t="shared" si="9"/>
        <v/>
      </c>
      <c r="G85" s="59" t="str">
        <f>IF($A85="","",
   SUMIFS(Transactions!$P:$P,
          Transactions!$G:$G,$A85,
          Transactions!$C:$C,"IN",
          Transactions!$Q:$Q,"Paid"))</f>
        <v/>
      </c>
      <c r="H85" s="59" t="str">
        <f>IF($A85="","",
   SUMIFS(Transactions!$P:$P,
          Transactions!$G:$G,$A85,
          Transactions!$C:$C,"OUT"))</f>
        <v/>
      </c>
      <c r="I85" s="65" t="str">
        <f t="shared" si="7"/>
        <v/>
      </c>
      <c r="J85" s="59" t="str">
        <f t="shared" si="10"/>
        <v/>
      </c>
    </row>
    <row r="86" spans="4:10" ht="22.5" customHeight="1" x14ac:dyDescent="0.25">
      <c r="D86" s="59" t="str">
        <f t="shared" si="6"/>
        <v/>
      </c>
      <c r="E86" s="59" t="str">
        <f t="shared" si="8"/>
        <v/>
      </c>
      <c r="F86" s="59" t="str">
        <f t="shared" si="9"/>
        <v/>
      </c>
      <c r="G86" s="59" t="str">
        <f>IF($A86="","",
   SUMIFS(Transactions!$P:$P,
          Transactions!$G:$G,$A86,
          Transactions!$C:$C,"IN",
          Transactions!$Q:$Q,"Paid"))</f>
        <v/>
      </c>
      <c r="H86" s="59" t="str">
        <f>IF($A86="","",
   SUMIFS(Transactions!$P:$P,
          Transactions!$G:$G,$A86,
          Transactions!$C:$C,"OUT"))</f>
        <v/>
      </c>
      <c r="I86" s="65" t="str">
        <f t="shared" si="7"/>
        <v/>
      </c>
      <c r="J86" s="59" t="str">
        <f t="shared" si="10"/>
        <v/>
      </c>
    </row>
    <row r="87" spans="4:10" ht="22.5" customHeight="1" x14ac:dyDescent="0.25">
      <c r="D87" s="59" t="str">
        <f t="shared" si="6"/>
        <v/>
      </c>
      <c r="E87" s="59" t="str">
        <f t="shared" si="8"/>
        <v/>
      </c>
      <c r="F87" s="59" t="str">
        <f t="shared" si="9"/>
        <v/>
      </c>
      <c r="G87" s="59" t="str">
        <f>IF($A87="","",
   SUMIFS(Transactions!$P:$P,
          Transactions!$G:$G,$A87,
          Transactions!$C:$C,"IN",
          Transactions!$Q:$Q,"Paid"))</f>
        <v/>
      </c>
      <c r="H87" s="59" t="str">
        <f>IF($A87="","",
   SUMIFS(Transactions!$P:$P,
          Transactions!$G:$G,$A87,
          Transactions!$C:$C,"OUT"))</f>
        <v/>
      </c>
      <c r="I87" s="65" t="str">
        <f t="shared" si="7"/>
        <v/>
      </c>
      <c r="J87" s="59" t="str">
        <f t="shared" si="10"/>
        <v/>
      </c>
    </row>
    <row r="88" spans="4:10" ht="22.5" customHeight="1" x14ac:dyDescent="0.25">
      <c r="D88" s="59" t="str">
        <f t="shared" si="6"/>
        <v/>
      </c>
      <c r="E88" s="59" t="str">
        <f t="shared" si="8"/>
        <v/>
      </c>
      <c r="F88" s="59" t="str">
        <f t="shared" si="9"/>
        <v/>
      </c>
      <c r="G88" s="59" t="str">
        <f>IF($A88="","",
   SUMIFS(Transactions!$P:$P,
          Transactions!$G:$G,$A88,
          Transactions!$C:$C,"IN",
          Transactions!$Q:$Q,"Paid"))</f>
        <v/>
      </c>
      <c r="H88" s="59" t="str">
        <f>IF($A88="","",
   SUMIFS(Transactions!$P:$P,
          Transactions!$G:$G,$A88,
          Transactions!$C:$C,"OUT"))</f>
        <v/>
      </c>
      <c r="I88" s="65" t="str">
        <f t="shared" si="7"/>
        <v/>
      </c>
      <c r="J88" s="59" t="str">
        <f t="shared" si="10"/>
        <v/>
      </c>
    </row>
    <row r="89" spans="4:10" ht="22.5" customHeight="1" x14ac:dyDescent="0.25">
      <c r="D89" s="59" t="str">
        <f t="shared" si="6"/>
        <v/>
      </c>
      <c r="E89" s="59" t="str">
        <f t="shared" si="8"/>
        <v/>
      </c>
      <c r="F89" s="59" t="str">
        <f t="shared" si="9"/>
        <v/>
      </c>
      <c r="G89" s="59" t="str">
        <f>IF($A89="","",
   SUMIFS(Transactions!$P:$P,
          Transactions!$G:$G,$A89,
          Transactions!$C:$C,"IN",
          Transactions!$Q:$Q,"Paid"))</f>
        <v/>
      </c>
      <c r="H89" s="59" t="str">
        <f>IF($A89="","",
   SUMIFS(Transactions!$P:$P,
          Transactions!$G:$G,$A89,
          Transactions!$C:$C,"OUT"))</f>
        <v/>
      </c>
      <c r="I89" s="65" t="str">
        <f t="shared" si="7"/>
        <v/>
      </c>
      <c r="J89" s="59" t="str">
        <f t="shared" si="10"/>
        <v/>
      </c>
    </row>
    <row r="90" spans="4:10" ht="22.5" customHeight="1" x14ac:dyDescent="0.25">
      <c r="D90" s="59" t="str">
        <f t="shared" si="6"/>
        <v/>
      </c>
      <c r="E90" s="59" t="str">
        <f t="shared" si="8"/>
        <v/>
      </c>
      <c r="F90" s="59" t="str">
        <f t="shared" si="9"/>
        <v/>
      </c>
      <c r="G90" s="59" t="str">
        <f>IF($A90="","",
   SUMIFS(Transactions!$P:$P,
          Transactions!$G:$G,$A90,
          Transactions!$C:$C,"IN",
          Transactions!$Q:$Q,"Paid"))</f>
        <v/>
      </c>
      <c r="H90" s="59" t="str">
        <f>IF($A90="","",
   SUMIFS(Transactions!$P:$P,
          Transactions!$G:$G,$A90,
          Transactions!$C:$C,"OUT"))</f>
        <v/>
      </c>
      <c r="I90" s="65" t="str">
        <f t="shared" si="7"/>
        <v/>
      </c>
      <c r="J90" s="59" t="str">
        <f t="shared" si="10"/>
        <v/>
      </c>
    </row>
    <row r="91" spans="4:10" ht="22.5" customHeight="1" x14ac:dyDescent="0.25">
      <c r="D91" s="59" t="str">
        <f t="shared" si="6"/>
        <v/>
      </c>
      <c r="E91" s="59" t="str">
        <f t="shared" si="8"/>
        <v/>
      </c>
      <c r="F91" s="59" t="str">
        <f t="shared" si="9"/>
        <v/>
      </c>
      <c r="G91" s="59" t="str">
        <f>IF($A91="","",
   SUMIFS(Transactions!$P:$P,
          Transactions!$G:$G,$A91,
          Transactions!$C:$C,"IN",
          Transactions!$Q:$Q,"Paid"))</f>
        <v/>
      </c>
      <c r="H91" s="59" t="str">
        <f>IF($A91="","",
   SUMIFS(Transactions!$P:$P,
          Transactions!$G:$G,$A91,
          Transactions!$C:$C,"OUT"))</f>
        <v/>
      </c>
      <c r="I91" s="65" t="str">
        <f t="shared" si="7"/>
        <v/>
      </c>
      <c r="J91" s="59" t="str">
        <f t="shared" si="10"/>
        <v/>
      </c>
    </row>
    <row r="92" spans="4:10" ht="22.5" customHeight="1" x14ac:dyDescent="0.25">
      <c r="D92" s="59" t="str">
        <f t="shared" si="6"/>
        <v/>
      </c>
      <c r="E92" s="59" t="str">
        <f t="shared" si="8"/>
        <v/>
      </c>
      <c r="F92" s="59" t="str">
        <f t="shared" si="9"/>
        <v/>
      </c>
      <c r="G92" s="59" t="str">
        <f>IF($A92="","",
   SUMIFS(Transactions!$P:$P,
          Transactions!$G:$G,$A92,
          Transactions!$C:$C,"IN",
          Transactions!$Q:$Q,"Paid"))</f>
        <v/>
      </c>
      <c r="H92" s="59" t="str">
        <f>IF($A92="","",
   SUMIFS(Transactions!$P:$P,
          Transactions!$G:$G,$A92,
          Transactions!$C:$C,"OUT"))</f>
        <v/>
      </c>
      <c r="I92" s="65" t="str">
        <f t="shared" si="7"/>
        <v/>
      </c>
      <c r="J92" s="59" t="str">
        <f t="shared" si="10"/>
        <v/>
      </c>
    </row>
    <row r="93" spans="4:10" ht="22.5" customHeight="1" x14ac:dyDescent="0.25">
      <c r="D93" s="59" t="str">
        <f t="shared" si="6"/>
        <v/>
      </c>
      <c r="E93" s="59" t="str">
        <f t="shared" si="8"/>
        <v/>
      </c>
      <c r="F93" s="59" t="str">
        <f t="shared" si="9"/>
        <v/>
      </c>
      <c r="G93" s="59" t="str">
        <f>IF($A93="","",
   SUMIFS(Transactions!$P:$P,
          Transactions!$G:$G,$A93,
          Transactions!$C:$C,"IN",
          Transactions!$Q:$Q,"Paid"))</f>
        <v/>
      </c>
      <c r="H93" s="59" t="str">
        <f>IF($A93="","",
   SUMIFS(Transactions!$P:$P,
          Transactions!$G:$G,$A93,
          Transactions!$C:$C,"OUT"))</f>
        <v/>
      </c>
      <c r="I93" s="65" t="str">
        <f t="shared" si="7"/>
        <v/>
      </c>
      <c r="J93" s="59" t="str">
        <f t="shared" si="10"/>
        <v/>
      </c>
    </row>
    <row r="94" spans="4:10" ht="22.5" customHeight="1" x14ac:dyDescent="0.25">
      <c r="D94" s="59" t="str">
        <f t="shared" si="6"/>
        <v/>
      </c>
      <c r="E94" s="59" t="str">
        <f t="shared" si="8"/>
        <v/>
      </c>
      <c r="F94" s="59" t="str">
        <f t="shared" si="9"/>
        <v/>
      </c>
      <c r="G94" s="59" t="str">
        <f>IF($A94="","",
   SUMIFS(Transactions!$P:$P,
          Transactions!$G:$G,$A94,
          Transactions!$C:$C,"IN",
          Transactions!$Q:$Q,"Paid"))</f>
        <v/>
      </c>
      <c r="H94" s="59" t="str">
        <f>IF($A94="","",
   SUMIFS(Transactions!$P:$P,
          Transactions!$G:$G,$A94,
          Transactions!$C:$C,"OUT"))</f>
        <v/>
      </c>
      <c r="I94" s="65" t="str">
        <f t="shared" si="7"/>
        <v/>
      </c>
      <c r="J94" s="59" t="str">
        <f t="shared" si="10"/>
        <v/>
      </c>
    </row>
    <row r="95" spans="4:10" ht="22.5" customHeight="1" x14ac:dyDescent="0.25">
      <c r="D95" s="59" t="str">
        <f t="shared" si="6"/>
        <v/>
      </c>
      <c r="E95" s="59" t="str">
        <f t="shared" si="8"/>
        <v/>
      </c>
      <c r="F95" s="59" t="str">
        <f t="shared" si="9"/>
        <v/>
      </c>
      <c r="G95" s="59" t="str">
        <f>IF($A95="","",
   SUMIFS(Transactions!$P:$P,
          Transactions!$G:$G,$A95,
          Transactions!$C:$C,"IN",
          Transactions!$Q:$Q,"Paid"))</f>
        <v/>
      </c>
      <c r="H95" s="59" t="str">
        <f>IF($A95="","",
   SUMIFS(Transactions!$P:$P,
          Transactions!$G:$G,$A95,
          Transactions!$C:$C,"OUT"))</f>
        <v/>
      </c>
      <c r="I95" s="65" t="str">
        <f t="shared" si="7"/>
        <v/>
      </c>
      <c r="J95" s="59" t="str">
        <f t="shared" si="10"/>
        <v/>
      </c>
    </row>
    <row r="96" spans="4:10" ht="22.5" customHeight="1" x14ac:dyDescent="0.25">
      <c r="D96" s="59" t="str">
        <f t="shared" si="6"/>
        <v/>
      </c>
      <c r="E96" s="59" t="str">
        <f t="shared" si="8"/>
        <v/>
      </c>
      <c r="F96" s="59" t="str">
        <f t="shared" si="9"/>
        <v/>
      </c>
      <c r="G96" s="59" t="str">
        <f>IF($A96="","",
   SUMIFS(Transactions!$P:$P,
          Transactions!$G:$G,$A96,
          Transactions!$C:$C,"IN",
          Transactions!$Q:$Q,"Paid"))</f>
        <v/>
      </c>
      <c r="H96" s="59" t="str">
        <f>IF($A96="","",
   SUMIFS(Transactions!$P:$P,
          Transactions!$G:$G,$A96,
          Transactions!$C:$C,"OUT"))</f>
        <v/>
      </c>
      <c r="I96" s="65" t="str">
        <f t="shared" si="7"/>
        <v/>
      </c>
      <c r="J96" s="59" t="str">
        <f t="shared" si="10"/>
        <v/>
      </c>
    </row>
    <row r="97" spans="4:10" ht="22.5" customHeight="1" x14ac:dyDescent="0.25">
      <c r="D97" s="59" t="str">
        <f t="shared" si="6"/>
        <v/>
      </c>
      <c r="E97" s="59" t="str">
        <f t="shared" si="8"/>
        <v/>
      </c>
      <c r="F97" s="59" t="str">
        <f t="shared" si="9"/>
        <v/>
      </c>
      <c r="G97" s="59" t="str">
        <f>IF($A97="","",
   SUMIFS(Transactions!$P:$P,
          Transactions!$G:$G,$A97,
          Transactions!$C:$C,"IN",
          Transactions!$Q:$Q,"Paid"))</f>
        <v/>
      </c>
      <c r="H97" s="59" t="str">
        <f>IF($A97="","",
   SUMIFS(Transactions!$P:$P,
          Transactions!$G:$G,$A97,
          Transactions!$C:$C,"OUT"))</f>
        <v/>
      </c>
      <c r="I97" s="65" t="str">
        <f t="shared" si="7"/>
        <v/>
      </c>
      <c r="J97" s="59" t="str">
        <f t="shared" si="10"/>
        <v/>
      </c>
    </row>
    <row r="98" spans="4:10" ht="22.5" customHeight="1" x14ac:dyDescent="0.25">
      <c r="D98" s="59" t="str">
        <f t="shared" si="6"/>
        <v/>
      </c>
      <c r="E98" s="59" t="str">
        <f t="shared" si="8"/>
        <v/>
      </c>
      <c r="F98" s="59" t="str">
        <f t="shared" si="9"/>
        <v/>
      </c>
      <c r="G98" s="59" t="str">
        <f>IF($A98="","",
   SUMIFS(Transactions!$P:$P,
          Transactions!$G:$G,$A98,
          Transactions!$C:$C,"IN",
          Transactions!$Q:$Q,"Paid"))</f>
        <v/>
      </c>
      <c r="H98" s="59" t="str">
        <f>IF($A98="","",
   SUMIFS(Transactions!$P:$P,
          Transactions!$G:$G,$A98,
          Transactions!$C:$C,"OUT"))</f>
        <v/>
      </c>
      <c r="I98" s="65" t="str">
        <f t="shared" si="7"/>
        <v/>
      </c>
      <c r="J98" s="59" t="str">
        <f t="shared" si="10"/>
        <v/>
      </c>
    </row>
    <row r="99" spans="4:10" ht="22.5" customHeight="1" x14ac:dyDescent="0.25">
      <c r="D99" s="59" t="str">
        <f t="shared" si="6"/>
        <v/>
      </c>
      <c r="E99" s="59" t="str">
        <f t="shared" si="8"/>
        <v/>
      </c>
      <c r="F99" s="59" t="str">
        <f t="shared" si="9"/>
        <v/>
      </c>
      <c r="G99" s="59" t="str">
        <f>IF($A99="","",
   SUMIFS(Transactions!$P:$P,
          Transactions!$G:$G,$A99,
          Transactions!$C:$C,"IN",
          Transactions!$Q:$Q,"Paid"))</f>
        <v/>
      </c>
      <c r="H99" s="59" t="str">
        <f>IF($A99="","",
   SUMIFS(Transactions!$P:$P,
          Transactions!$G:$G,$A99,
          Transactions!$C:$C,"OUT"))</f>
        <v/>
      </c>
      <c r="I99" s="65" t="str">
        <f t="shared" si="7"/>
        <v/>
      </c>
      <c r="J99" s="59" t="str">
        <f t="shared" si="10"/>
        <v/>
      </c>
    </row>
    <row r="100" spans="4:10" ht="22.5" customHeight="1" x14ac:dyDescent="0.25">
      <c r="D100" s="59" t="str">
        <f t="shared" si="6"/>
        <v/>
      </c>
      <c r="E100" s="59" t="str">
        <f t="shared" si="8"/>
        <v/>
      </c>
      <c r="F100" s="59" t="str">
        <f t="shared" si="9"/>
        <v/>
      </c>
      <c r="G100" s="59" t="str">
        <f>IF($A100="","",
   SUMIFS(Transactions!$P:$P,
          Transactions!$G:$G,$A100,
          Transactions!$C:$C,"IN",
          Transactions!$Q:$Q,"Paid"))</f>
        <v/>
      </c>
      <c r="H100" s="59" t="str">
        <f>IF($A100="","",
   SUMIFS(Transactions!$P:$P,
          Transactions!$G:$G,$A100,
          Transactions!$C:$C,"OUT"))</f>
        <v/>
      </c>
      <c r="I100" s="65" t="str">
        <f t="shared" si="7"/>
        <v/>
      </c>
      <c r="J100" s="59" t="str">
        <f t="shared" si="10"/>
        <v/>
      </c>
    </row>
    <row r="101" spans="4:10" ht="22.5" customHeight="1" x14ac:dyDescent="0.25">
      <c r="D101" s="59" t="str">
        <f t="shared" si="6"/>
        <v/>
      </c>
      <c r="E101" s="59" t="str">
        <f t="shared" si="8"/>
        <v/>
      </c>
      <c r="F101" s="59" t="str">
        <f t="shared" si="9"/>
        <v/>
      </c>
      <c r="G101" s="59" t="str">
        <f>IF($A101="","",
   SUMIFS(Transactions!$P:$P,
          Transactions!$G:$G,$A101,
          Transactions!$C:$C,"IN",
          Transactions!$Q:$Q,"Paid"))</f>
        <v/>
      </c>
      <c r="H101" s="59" t="str">
        <f>IF($A101="","",
   SUMIFS(Transactions!$P:$P,
          Transactions!$G:$G,$A101,
          Transactions!$C:$C,"OUT"))</f>
        <v/>
      </c>
      <c r="I101" s="65" t="str">
        <f t="shared" si="7"/>
        <v/>
      </c>
      <c r="J101" s="59" t="str">
        <f t="shared" si="10"/>
        <v/>
      </c>
    </row>
    <row r="102" spans="4:10" ht="22.5" customHeight="1" x14ac:dyDescent="0.25">
      <c r="D102" s="59" t="str">
        <f t="shared" si="6"/>
        <v/>
      </c>
      <c r="E102" s="59" t="str">
        <f t="shared" si="8"/>
        <v/>
      </c>
      <c r="F102" s="59" t="str">
        <f t="shared" si="9"/>
        <v/>
      </c>
      <c r="G102" s="59" t="str">
        <f>IF($A102="","",
   SUMIFS(Transactions!$P:$P,
          Transactions!$G:$G,$A102,
          Transactions!$C:$C,"IN",
          Transactions!$Q:$Q,"Paid"))</f>
        <v/>
      </c>
      <c r="H102" s="59" t="str">
        <f>IF($A102="","",
   SUMIFS(Transactions!$P:$P,
          Transactions!$G:$G,$A102,
          Transactions!$C:$C,"OUT"))</f>
        <v/>
      </c>
      <c r="I102" s="65" t="str">
        <f t="shared" si="7"/>
        <v/>
      </c>
      <c r="J102" s="59" t="str">
        <f t="shared" si="10"/>
        <v/>
      </c>
    </row>
    <row r="103" spans="4:10" ht="22.5" customHeight="1" x14ac:dyDescent="0.25">
      <c r="D103" s="59" t="str">
        <f t="shared" si="6"/>
        <v/>
      </c>
      <c r="E103" s="59" t="str">
        <f t="shared" si="8"/>
        <v/>
      </c>
      <c r="F103" s="59" t="str">
        <f t="shared" si="9"/>
        <v/>
      </c>
      <c r="G103" s="59" t="str">
        <f>IF($A103="","",
   SUMIFS(Transactions!$P:$P,
          Transactions!$G:$G,$A103,
          Transactions!$C:$C,"IN",
          Transactions!$Q:$Q,"Paid"))</f>
        <v/>
      </c>
      <c r="H103" s="59" t="str">
        <f>IF($A103="","",
   SUMIFS(Transactions!$P:$P,
          Transactions!$G:$G,$A103,
          Transactions!$C:$C,"OUT"))</f>
        <v/>
      </c>
      <c r="I103" s="65" t="str">
        <f t="shared" si="7"/>
        <v/>
      </c>
      <c r="J103" s="59" t="str">
        <f t="shared" si="10"/>
        <v/>
      </c>
    </row>
    <row r="104" spans="4:10" ht="22.5" customHeight="1" x14ac:dyDescent="0.25">
      <c r="D104" s="59" t="str">
        <f t="shared" si="6"/>
        <v/>
      </c>
      <c r="E104" s="59" t="str">
        <f t="shared" si="8"/>
        <v/>
      </c>
      <c r="F104" s="59" t="str">
        <f t="shared" si="9"/>
        <v/>
      </c>
      <c r="G104" s="59" t="str">
        <f>IF($A104="","",
   SUMIFS(Transactions!$P:$P,
          Transactions!$G:$G,$A104,
          Transactions!$C:$C,"IN",
          Transactions!$Q:$Q,"Paid"))</f>
        <v/>
      </c>
      <c r="H104" s="59" t="str">
        <f>IF($A104="","",
   SUMIFS(Transactions!$P:$P,
          Transactions!$G:$G,$A104,
          Transactions!$C:$C,"OUT"))</f>
        <v/>
      </c>
      <c r="I104" s="65" t="str">
        <f t="shared" si="7"/>
        <v/>
      </c>
      <c r="J104" s="59" t="str">
        <f t="shared" si="10"/>
        <v/>
      </c>
    </row>
    <row r="105" spans="4:10" ht="22.5" customHeight="1" x14ac:dyDescent="0.25">
      <c r="D105" s="59" t="str">
        <f t="shared" si="6"/>
        <v/>
      </c>
      <c r="E105" s="59" t="str">
        <f t="shared" si="8"/>
        <v/>
      </c>
      <c r="F105" s="59" t="str">
        <f t="shared" si="9"/>
        <v/>
      </c>
      <c r="G105" s="59" t="str">
        <f>IF($A105="","",
   SUMIFS(Transactions!$P:$P,
          Transactions!$G:$G,$A105,
          Transactions!$C:$C,"IN",
          Transactions!$Q:$Q,"Paid"))</f>
        <v/>
      </c>
      <c r="H105" s="59" t="str">
        <f>IF($A105="","",
   SUMIFS(Transactions!$P:$P,
          Transactions!$G:$G,$A105,
          Transactions!$C:$C,"OUT"))</f>
        <v/>
      </c>
      <c r="I105" s="65" t="str">
        <f t="shared" si="7"/>
        <v/>
      </c>
      <c r="J105" s="59" t="str">
        <f t="shared" si="10"/>
        <v/>
      </c>
    </row>
    <row r="106" spans="4:10" ht="22.5" customHeight="1" x14ac:dyDescent="0.25">
      <c r="D106" s="59" t="str">
        <f t="shared" si="6"/>
        <v/>
      </c>
      <c r="E106" s="59" t="str">
        <f t="shared" si="8"/>
        <v/>
      </c>
      <c r="F106" s="59" t="str">
        <f t="shared" si="9"/>
        <v/>
      </c>
      <c r="G106" s="59" t="str">
        <f>IF($A106="","",
   SUMIFS(Transactions!$P:$P,
          Transactions!$G:$G,$A106,
          Transactions!$C:$C,"IN",
          Transactions!$Q:$Q,"Paid"))</f>
        <v/>
      </c>
      <c r="H106" s="59" t="str">
        <f>IF($A106="","",
   SUMIFS(Transactions!$P:$P,
          Transactions!$G:$G,$A106,
          Transactions!$C:$C,"OUT"))</f>
        <v/>
      </c>
      <c r="I106" s="65" t="str">
        <f t="shared" si="7"/>
        <v/>
      </c>
      <c r="J106" s="59" t="str">
        <f t="shared" si="10"/>
        <v/>
      </c>
    </row>
    <row r="107" spans="4:10" ht="22.5" customHeight="1" x14ac:dyDescent="0.25">
      <c r="D107" s="59" t="str">
        <f t="shared" si="6"/>
        <v/>
      </c>
      <c r="E107" s="59" t="str">
        <f t="shared" si="8"/>
        <v/>
      </c>
      <c r="F107" s="59" t="str">
        <f t="shared" si="9"/>
        <v/>
      </c>
      <c r="G107" s="59" t="str">
        <f>IF($A107="","",
   SUMIFS(Transactions!$P:$P,
          Transactions!$G:$G,$A107,
          Transactions!$C:$C,"IN",
          Transactions!$Q:$Q,"Paid"))</f>
        <v/>
      </c>
      <c r="H107" s="59" t="str">
        <f>IF($A107="","",
   SUMIFS(Transactions!$P:$P,
          Transactions!$G:$G,$A107,
          Transactions!$C:$C,"OUT"))</f>
        <v/>
      </c>
      <c r="I107" s="65" t="str">
        <f t="shared" si="7"/>
        <v/>
      </c>
      <c r="J107" s="59" t="str">
        <f t="shared" si="10"/>
        <v/>
      </c>
    </row>
    <row r="108" spans="4:10" ht="22.5" customHeight="1" x14ac:dyDescent="0.25">
      <c r="D108" s="59" t="str">
        <f t="shared" si="6"/>
        <v/>
      </c>
      <c r="E108" s="59" t="str">
        <f t="shared" si="8"/>
        <v/>
      </c>
      <c r="F108" s="59" t="str">
        <f t="shared" si="9"/>
        <v/>
      </c>
      <c r="G108" s="59" t="str">
        <f>IF($A108="","",
   SUMIFS(Transactions!$P:$P,
          Transactions!$G:$G,$A108,
          Transactions!$C:$C,"IN",
          Transactions!$Q:$Q,"Paid"))</f>
        <v/>
      </c>
      <c r="H108" s="59" t="str">
        <f>IF($A108="","",
   SUMIFS(Transactions!$P:$P,
          Transactions!$G:$G,$A108,
          Transactions!$C:$C,"OUT"))</f>
        <v/>
      </c>
      <c r="I108" s="65" t="str">
        <f t="shared" si="7"/>
        <v/>
      </c>
      <c r="J108" s="59" t="str">
        <f t="shared" si="10"/>
        <v/>
      </c>
    </row>
    <row r="109" spans="4:10" ht="22.5" customHeight="1" x14ac:dyDescent="0.25">
      <c r="D109" s="59" t="str">
        <f t="shared" si="6"/>
        <v/>
      </c>
      <c r="E109" s="59" t="str">
        <f t="shared" si="8"/>
        <v/>
      </c>
      <c r="F109" s="59" t="str">
        <f t="shared" si="9"/>
        <v/>
      </c>
      <c r="G109" s="59" t="str">
        <f>IF($A109="","",
   SUMIFS(Transactions!$P:$P,
          Transactions!$G:$G,$A109,
          Transactions!$C:$C,"IN",
          Transactions!$Q:$Q,"Paid"))</f>
        <v/>
      </c>
      <c r="H109" s="59" t="str">
        <f>IF($A109="","",
   SUMIFS(Transactions!$P:$P,
          Transactions!$G:$G,$A109,
          Transactions!$C:$C,"OUT"))</f>
        <v/>
      </c>
      <c r="I109" s="65" t="str">
        <f t="shared" si="7"/>
        <v/>
      </c>
      <c r="J109" s="59" t="str">
        <f t="shared" si="10"/>
        <v/>
      </c>
    </row>
    <row r="110" spans="4:10" ht="22.5" customHeight="1" x14ac:dyDescent="0.25">
      <c r="D110" s="59" t="str">
        <f t="shared" si="6"/>
        <v/>
      </c>
      <c r="E110" s="59" t="str">
        <f t="shared" si="8"/>
        <v/>
      </c>
      <c r="F110" s="59" t="str">
        <f t="shared" si="9"/>
        <v/>
      </c>
      <c r="G110" s="59" t="str">
        <f>IF($A110="","",
   SUMIFS(Transactions!$P:$P,
          Transactions!$G:$G,$A110,
          Transactions!$C:$C,"IN",
          Transactions!$Q:$Q,"Paid"))</f>
        <v/>
      </c>
      <c r="H110" s="59" t="str">
        <f>IF($A110="","",
   SUMIFS(Transactions!$P:$P,
          Transactions!$G:$G,$A110,
          Transactions!$C:$C,"OUT"))</f>
        <v/>
      </c>
      <c r="I110" s="65" t="str">
        <f t="shared" si="7"/>
        <v/>
      </c>
      <c r="J110" s="59" t="str">
        <f t="shared" si="10"/>
        <v/>
      </c>
    </row>
    <row r="111" spans="4:10" ht="22.5" customHeight="1" x14ac:dyDescent="0.25">
      <c r="D111" s="59" t="str">
        <f t="shared" si="6"/>
        <v/>
      </c>
      <c r="E111" s="59" t="str">
        <f t="shared" si="8"/>
        <v/>
      </c>
      <c r="F111" s="59" t="str">
        <f t="shared" si="9"/>
        <v/>
      </c>
      <c r="G111" s="59" t="str">
        <f>IF($A111="","",
   SUMIFS(Transactions!$P:$P,
          Transactions!$G:$G,$A111,
          Transactions!$C:$C,"IN",
          Transactions!$Q:$Q,"Paid"))</f>
        <v/>
      </c>
      <c r="H111" s="59" t="str">
        <f>IF($A111="","",
   SUMIFS(Transactions!$P:$P,
          Transactions!$G:$G,$A111,
          Transactions!$C:$C,"OUT"))</f>
        <v/>
      </c>
      <c r="I111" s="65" t="str">
        <f t="shared" si="7"/>
        <v/>
      </c>
      <c r="J111" s="59" t="str">
        <f t="shared" si="10"/>
        <v/>
      </c>
    </row>
    <row r="112" spans="4:10" ht="22.5" customHeight="1" x14ac:dyDescent="0.25">
      <c r="D112" s="59" t="str">
        <f t="shared" si="6"/>
        <v/>
      </c>
      <c r="E112" s="59" t="str">
        <f t="shared" si="8"/>
        <v/>
      </c>
      <c r="F112" s="59" t="str">
        <f t="shared" si="9"/>
        <v/>
      </c>
      <c r="G112" s="59" t="str">
        <f>IF($A112="","",
   SUMIFS(Transactions!$P:$P,
          Transactions!$G:$G,$A112,
          Transactions!$C:$C,"IN",
          Transactions!$Q:$Q,"Paid"))</f>
        <v/>
      </c>
      <c r="H112" s="59" t="str">
        <f>IF($A112="","",
   SUMIFS(Transactions!$P:$P,
          Transactions!$G:$G,$A112,
          Transactions!$C:$C,"OUT"))</f>
        <v/>
      </c>
      <c r="I112" s="65" t="str">
        <f t="shared" si="7"/>
        <v/>
      </c>
      <c r="J112" s="59" t="str">
        <f t="shared" si="10"/>
        <v/>
      </c>
    </row>
    <row r="113" spans="4:10" ht="22.5" customHeight="1" x14ac:dyDescent="0.25">
      <c r="D113" s="59" t="str">
        <f t="shared" si="6"/>
        <v/>
      </c>
      <c r="E113" s="59" t="str">
        <f t="shared" si="8"/>
        <v/>
      </c>
      <c r="F113" s="59" t="str">
        <f t="shared" si="9"/>
        <v/>
      </c>
      <c r="G113" s="59" t="str">
        <f>IF($A113="","",
   SUMIFS(Transactions!$P:$P,
          Transactions!$G:$G,$A113,
          Transactions!$C:$C,"IN",
          Transactions!$Q:$Q,"Paid"))</f>
        <v/>
      </c>
      <c r="H113" s="59" t="str">
        <f>IF($A113="","",
   SUMIFS(Transactions!$P:$P,
          Transactions!$G:$G,$A113,
          Transactions!$C:$C,"OUT"))</f>
        <v/>
      </c>
      <c r="I113" s="65" t="str">
        <f t="shared" si="7"/>
        <v/>
      </c>
      <c r="J113" s="59" t="str">
        <f t="shared" si="10"/>
        <v/>
      </c>
    </row>
    <row r="114" spans="4:10" ht="22.5" customHeight="1" x14ac:dyDescent="0.25">
      <c r="D114" s="59" t="str">
        <f t="shared" si="6"/>
        <v/>
      </c>
      <c r="E114" s="59" t="str">
        <f t="shared" si="8"/>
        <v/>
      </c>
      <c r="F114" s="59" t="str">
        <f t="shared" si="9"/>
        <v/>
      </c>
      <c r="G114" s="59" t="str">
        <f>IF($A114="","",
   SUMIFS(Transactions!$P:$P,
          Transactions!$G:$G,$A114,
          Transactions!$C:$C,"IN",
          Transactions!$Q:$Q,"Paid"))</f>
        <v/>
      </c>
      <c r="H114" s="59" t="str">
        <f>IF($A114="","",
   SUMIFS(Transactions!$P:$P,
          Transactions!$G:$G,$A114,
          Transactions!$C:$C,"OUT"))</f>
        <v/>
      </c>
      <c r="I114" s="65" t="str">
        <f t="shared" si="7"/>
        <v/>
      </c>
      <c r="J114" s="59" t="str">
        <f t="shared" si="10"/>
        <v/>
      </c>
    </row>
    <row r="115" spans="4:10" ht="22.5" customHeight="1" x14ac:dyDescent="0.25">
      <c r="D115" s="59" t="str">
        <f t="shared" si="6"/>
        <v/>
      </c>
      <c r="E115" s="59" t="str">
        <f t="shared" si="8"/>
        <v/>
      </c>
      <c r="F115" s="59" t="str">
        <f t="shared" si="9"/>
        <v/>
      </c>
      <c r="G115" s="59" t="str">
        <f>IF($A115="","",
   SUMIFS(Transactions!$P:$P,
          Transactions!$G:$G,$A115,
          Transactions!$C:$C,"IN",
          Transactions!$Q:$Q,"Paid"))</f>
        <v/>
      </c>
      <c r="H115" s="59" t="str">
        <f>IF($A115="","",
   SUMIFS(Transactions!$P:$P,
          Transactions!$G:$G,$A115,
          Transactions!$C:$C,"OUT"))</f>
        <v/>
      </c>
      <c r="I115" s="65" t="str">
        <f t="shared" si="7"/>
        <v/>
      </c>
      <c r="J115" s="59" t="str">
        <f t="shared" si="10"/>
        <v/>
      </c>
    </row>
    <row r="116" spans="4:10" ht="22.5" customHeight="1" x14ac:dyDescent="0.25">
      <c r="D116" s="59" t="str">
        <f t="shared" si="6"/>
        <v/>
      </c>
      <c r="E116" s="59" t="str">
        <f t="shared" si="8"/>
        <v/>
      </c>
      <c r="F116" s="59" t="str">
        <f t="shared" si="9"/>
        <v/>
      </c>
      <c r="G116" s="59" t="str">
        <f>IF($A116="","",
   SUMIFS(Transactions!$P:$P,
          Transactions!$G:$G,$A116,
          Transactions!$C:$C,"IN",
          Transactions!$Q:$Q,"Paid"))</f>
        <v/>
      </c>
      <c r="H116" s="59" t="str">
        <f>IF($A116="","",
   SUMIFS(Transactions!$P:$P,
          Transactions!$G:$G,$A116,
          Transactions!$C:$C,"OUT"))</f>
        <v/>
      </c>
      <c r="I116" s="65" t="str">
        <f t="shared" si="7"/>
        <v/>
      </c>
      <c r="J116" s="59" t="str">
        <f t="shared" si="10"/>
        <v/>
      </c>
    </row>
    <row r="117" spans="4:10" ht="22.5" customHeight="1" x14ac:dyDescent="0.25">
      <c r="D117" s="59" t="str">
        <f t="shared" si="6"/>
        <v/>
      </c>
      <c r="E117" s="59" t="str">
        <f t="shared" si="8"/>
        <v/>
      </c>
      <c r="F117" s="59" t="str">
        <f t="shared" si="9"/>
        <v/>
      </c>
      <c r="G117" s="59" t="str">
        <f>IF($A117="","",
   SUMIFS(Transactions!$P:$P,
          Transactions!$G:$G,$A117,
          Transactions!$C:$C,"IN",
          Transactions!$Q:$Q,"Paid"))</f>
        <v/>
      </c>
      <c r="H117" s="59" t="str">
        <f>IF($A117="","",
   SUMIFS(Transactions!$P:$P,
          Transactions!$G:$G,$A117,
          Transactions!$C:$C,"OUT"))</f>
        <v/>
      </c>
      <c r="I117" s="65" t="str">
        <f t="shared" si="7"/>
        <v/>
      </c>
      <c r="J117" s="59" t="str">
        <f t="shared" si="10"/>
        <v/>
      </c>
    </row>
    <row r="118" spans="4:10" ht="22.5" customHeight="1" x14ac:dyDescent="0.25">
      <c r="D118" s="59" t="str">
        <f t="shared" si="6"/>
        <v/>
      </c>
      <c r="E118" s="59" t="str">
        <f t="shared" si="8"/>
        <v/>
      </c>
      <c r="F118" s="59" t="str">
        <f t="shared" si="9"/>
        <v/>
      </c>
      <c r="G118" s="59" t="str">
        <f>IF($A118="","",
   SUMIFS(Transactions!$P:$P,
          Transactions!$G:$G,$A118,
          Transactions!$C:$C,"IN",
          Transactions!$Q:$Q,"Paid"))</f>
        <v/>
      </c>
      <c r="H118" s="59" t="str">
        <f>IF($A118="","",
   SUMIFS(Transactions!$P:$P,
          Transactions!$G:$G,$A118,
          Transactions!$C:$C,"OUT"))</f>
        <v/>
      </c>
      <c r="I118" s="65" t="str">
        <f t="shared" si="7"/>
        <v/>
      </c>
      <c r="J118" s="59" t="str">
        <f t="shared" si="10"/>
        <v/>
      </c>
    </row>
    <row r="119" spans="4:10" ht="22.5" customHeight="1" x14ac:dyDescent="0.25">
      <c r="D119" s="59" t="str">
        <f t="shared" si="6"/>
        <v/>
      </c>
      <c r="E119" s="59" t="str">
        <f t="shared" si="8"/>
        <v/>
      </c>
      <c r="F119" s="59" t="str">
        <f t="shared" si="9"/>
        <v/>
      </c>
      <c r="G119" s="59" t="str">
        <f>IF($A119="","",
   SUMIFS(Transactions!$P:$P,
          Transactions!$G:$G,$A119,
          Transactions!$C:$C,"IN",
          Transactions!$Q:$Q,"Paid"))</f>
        <v/>
      </c>
      <c r="H119" s="59" t="str">
        <f>IF($A119="","",
   SUMIFS(Transactions!$P:$P,
          Transactions!$G:$G,$A119,
          Transactions!$C:$C,"OUT"))</f>
        <v/>
      </c>
      <c r="I119" s="65" t="str">
        <f t="shared" si="7"/>
        <v/>
      </c>
      <c r="J119" s="59" t="str">
        <f t="shared" si="10"/>
        <v/>
      </c>
    </row>
    <row r="120" spans="4:10" ht="22.5" customHeight="1" x14ac:dyDescent="0.25">
      <c r="D120" s="59" t="str">
        <f t="shared" si="6"/>
        <v/>
      </c>
      <c r="E120" s="59" t="str">
        <f t="shared" si="8"/>
        <v/>
      </c>
      <c r="F120" s="59" t="str">
        <f t="shared" si="9"/>
        <v/>
      </c>
      <c r="G120" s="59" t="str">
        <f>IF($A120="","",
   SUMIFS(Transactions!$P:$P,
          Transactions!$G:$G,$A120,
          Transactions!$C:$C,"IN",
          Transactions!$Q:$Q,"Paid"))</f>
        <v/>
      </c>
      <c r="H120" s="59" t="str">
        <f>IF($A120="","",
   SUMIFS(Transactions!$P:$P,
          Transactions!$G:$G,$A120,
          Transactions!$C:$C,"OUT"))</f>
        <v/>
      </c>
      <c r="I120" s="65" t="str">
        <f t="shared" si="7"/>
        <v/>
      </c>
      <c r="J120" s="59" t="str">
        <f t="shared" si="10"/>
        <v/>
      </c>
    </row>
    <row r="121" spans="4:10" ht="22.5" customHeight="1" x14ac:dyDescent="0.25">
      <c r="D121" s="59" t="str">
        <f t="shared" si="6"/>
        <v/>
      </c>
      <c r="E121" s="59" t="str">
        <f t="shared" si="8"/>
        <v/>
      </c>
      <c r="F121" s="59" t="str">
        <f t="shared" si="9"/>
        <v/>
      </c>
      <c r="G121" s="59" t="str">
        <f>IF($A121="","",
   SUMIFS(Transactions!$P:$P,
          Transactions!$G:$G,$A121,
          Transactions!$C:$C,"IN",
          Transactions!$Q:$Q,"Paid"))</f>
        <v/>
      </c>
      <c r="H121" s="59" t="str">
        <f>IF($A121="","",
   SUMIFS(Transactions!$P:$P,
          Transactions!$G:$G,$A121,
          Transactions!$C:$C,"OUT"))</f>
        <v/>
      </c>
      <c r="I121" s="65" t="str">
        <f t="shared" si="7"/>
        <v/>
      </c>
      <c r="J121" s="59" t="str">
        <f t="shared" si="10"/>
        <v/>
      </c>
    </row>
    <row r="122" spans="4:10" ht="22.5" customHeight="1" x14ac:dyDescent="0.25">
      <c r="D122" s="59" t="str">
        <f t="shared" si="6"/>
        <v/>
      </c>
      <c r="E122" s="59" t="str">
        <f t="shared" si="8"/>
        <v/>
      </c>
      <c r="F122" s="59" t="str">
        <f t="shared" si="9"/>
        <v/>
      </c>
      <c r="G122" s="59" t="str">
        <f>IF($A122="","",
   SUMIFS(Transactions!$P:$P,
          Transactions!$G:$G,$A122,
          Transactions!$C:$C,"IN",
          Transactions!$Q:$Q,"Paid"))</f>
        <v/>
      </c>
      <c r="H122" s="59" t="str">
        <f>IF($A122="","",
   SUMIFS(Transactions!$P:$P,
          Transactions!$G:$G,$A122,
          Transactions!$C:$C,"OUT"))</f>
        <v/>
      </c>
      <c r="I122" s="65" t="str">
        <f t="shared" si="7"/>
        <v/>
      </c>
      <c r="J122" s="59" t="str">
        <f t="shared" si="10"/>
        <v/>
      </c>
    </row>
    <row r="123" spans="4:10" ht="22.5" customHeight="1" x14ac:dyDescent="0.25">
      <c r="D123" s="59" t="str">
        <f t="shared" si="6"/>
        <v/>
      </c>
      <c r="E123" s="59" t="str">
        <f t="shared" si="8"/>
        <v/>
      </c>
      <c r="F123" s="59" t="str">
        <f t="shared" si="9"/>
        <v/>
      </c>
      <c r="G123" s="59" t="str">
        <f>IF($A123="","",
   SUMIFS(Transactions!$P:$P,
          Transactions!$G:$G,$A123,
          Transactions!$C:$C,"IN",
          Transactions!$Q:$Q,"Paid"))</f>
        <v/>
      </c>
      <c r="H123" s="59" t="str">
        <f>IF($A123="","",
   SUMIFS(Transactions!$P:$P,
          Transactions!$G:$G,$A123,
          Transactions!$C:$C,"OUT"))</f>
        <v/>
      </c>
      <c r="I123" s="65" t="str">
        <f t="shared" si="7"/>
        <v/>
      </c>
      <c r="J123" s="59" t="str">
        <f t="shared" si="10"/>
        <v/>
      </c>
    </row>
    <row r="124" spans="4:10" ht="22.5" customHeight="1" x14ac:dyDescent="0.25">
      <c r="D124" s="59" t="str">
        <f t="shared" si="6"/>
        <v/>
      </c>
      <c r="E124" s="59" t="str">
        <f t="shared" si="8"/>
        <v/>
      </c>
      <c r="F124" s="59" t="str">
        <f t="shared" si="9"/>
        <v/>
      </c>
      <c r="G124" s="59" t="str">
        <f>IF($A124="","",
   SUMIFS(Transactions!$P:$P,
          Transactions!$G:$G,$A124,
          Transactions!$C:$C,"IN",
          Transactions!$Q:$Q,"Paid"))</f>
        <v/>
      </c>
      <c r="H124" s="59" t="str">
        <f>IF($A124="","",
   SUMIFS(Transactions!$P:$P,
          Transactions!$G:$G,$A124,
          Transactions!$C:$C,"OUT"))</f>
        <v/>
      </c>
      <c r="I124" s="65" t="str">
        <f t="shared" si="7"/>
        <v/>
      </c>
      <c r="J124" s="59" t="str">
        <f t="shared" si="10"/>
        <v/>
      </c>
    </row>
    <row r="125" spans="4:10" ht="22.5" customHeight="1" x14ac:dyDescent="0.25">
      <c r="D125" s="59" t="str">
        <f t="shared" si="6"/>
        <v/>
      </c>
      <c r="E125" s="59" t="str">
        <f t="shared" si="8"/>
        <v/>
      </c>
      <c r="F125" s="59" t="str">
        <f t="shared" si="9"/>
        <v/>
      </c>
      <c r="G125" s="59" t="str">
        <f>IF($A125="","",
   SUMIFS(Transactions!$P:$P,
          Transactions!$G:$G,$A125,
          Transactions!$C:$C,"IN",
          Transactions!$Q:$Q,"Paid"))</f>
        <v/>
      </c>
      <c r="H125" s="59" t="str">
        <f>IF($A125="","",
   SUMIFS(Transactions!$P:$P,
          Transactions!$G:$G,$A125,
          Transactions!$C:$C,"OUT"))</f>
        <v/>
      </c>
      <c r="I125" s="65" t="str">
        <f t="shared" si="7"/>
        <v/>
      </c>
      <c r="J125" s="59" t="str">
        <f t="shared" si="10"/>
        <v/>
      </c>
    </row>
    <row r="126" spans="4:10" ht="22.5" customHeight="1" x14ac:dyDescent="0.25">
      <c r="D126" s="59" t="str">
        <f t="shared" si="6"/>
        <v/>
      </c>
      <c r="E126" s="59" t="str">
        <f t="shared" si="8"/>
        <v/>
      </c>
      <c r="F126" s="59" t="str">
        <f t="shared" si="9"/>
        <v/>
      </c>
      <c r="G126" s="59" t="str">
        <f>IF($A126="","",
   SUMIFS(Transactions!$P:$P,
          Transactions!$G:$G,$A126,
          Transactions!$C:$C,"IN",
          Transactions!$Q:$Q,"Paid"))</f>
        <v/>
      </c>
      <c r="H126" s="59" t="str">
        <f>IF($A126="","",
   SUMIFS(Transactions!$P:$P,
          Transactions!$G:$G,$A126,
          Transactions!$C:$C,"OUT"))</f>
        <v/>
      </c>
      <c r="I126" s="65" t="str">
        <f t="shared" si="7"/>
        <v/>
      </c>
      <c r="J126" s="59" t="str">
        <f t="shared" si="10"/>
        <v/>
      </c>
    </row>
    <row r="127" spans="4:10" ht="22.5" customHeight="1" x14ac:dyDescent="0.25">
      <c r="D127" s="59" t="str">
        <f t="shared" si="6"/>
        <v/>
      </c>
      <c r="E127" s="59" t="str">
        <f t="shared" si="8"/>
        <v/>
      </c>
      <c r="F127" s="59" t="str">
        <f t="shared" si="9"/>
        <v/>
      </c>
      <c r="G127" s="59" t="str">
        <f>IF($A127="","",
   SUMIFS(Transactions!$P:$P,
          Transactions!$G:$G,$A127,
          Transactions!$C:$C,"IN",
          Transactions!$Q:$Q,"Paid"))</f>
        <v/>
      </c>
      <c r="H127" s="59" t="str">
        <f>IF($A127="","",
   SUMIFS(Transactions!$P:$P,
          Transactions!$G:$G,$A127,
          Transactions!$C:$C,"OUT"))</f>
        <v/>
      </c>
      <c r="I127" s="65" t="str">
        <f t="shared" si="7"/>
        <v/>
      </c>
      <c r="J127" s="59" t="str">
        <f t="shared" si="10"/>
        <v/>
      </c>
    </row>
    <row r="128" spans="4:10" ht="22.5" customHeight="1" x14ac:dyDescent="0.25">
      <c r="D128" s="59" t="str">
        <f t="shared" si="6"/>
        <v/>
      </c>
      <c r="E128" s="59" t="str">
        <f t="shared" si="8"/>
        <v/>
      </c>
      <c r="F128" s="59" t="str">
        <f t="shared" si="9"/>
        <v/>
      </c>
      <c r="G128" s="59" t="str">
        <f>IF($A128="","",
   SUMIFS(Transactions!$P:$P,
          Transactions!$G:$G,$A128,
          Transactions!$C:$C,"IN",
          Transactions!$Q:$Q,"Paid"))</f>
        <v/>
      </c>
      <c r="H128" s="59" t="str">
        <f>IF($A128="","",
   SUMIFS(Transactions!$P:$P,
          Transactions!$G:$G,$A128,
          Transactions!$C:$C,"OUT"))</f>
        <v/>
      </c>
      <c r="I128" s="65" t="str">
        <f t="shared" si="7"/>
        <v/>
      </c>
      <c r="J128" s="59" t="str">
        <f t="shared" si="10"/>
        <v/>
      </c>
    </row>
    <row r="129" spans="4:10" ht="22.5" customHeight="1" x14ac:dyDescent="0.25">
      <c r="D129" s="59" t="str">
        <f t="shared" si="6"/>
        <v/>
      </c>
      <c r="E129" s="59" t="str">
        <f t="shared" si="8"/>
        <v/>
      </c>
      <c r="F129" s="59" t="str">
        <f t="shared" si="9"/>
        <v/>
      </c>
      <c r="G129" s="59" t="str">
        <f>IF($A129="","",
   SUMIFS(Transactions!$P:$P,
          Transactions!$G:$G,$A129,
          Transactions!$C:$C,"IN",
          Transactions!$Q:$Q,"Paid"))</f>
        <v/>
      </c>
      <c r="H129" s="59" t="str">
        <f>IF($A129="","",
   SUMIFS(Transactions!$P:$P,
          Transactions!$G:$G,$A129,
          Transactions!$C:$C,"OUT"))</f>
        <v/>
      </c>
      <c r="I129" s="65" t="str">
        <f t="shared" si="7"/>
        <v/>
      </c>
      <c r="J129" s="59" t="str">
        <f t="shared" si="10"/>
        <v/>
      </c>
    </row>
    <row r="130" spans="4:10" ht="22.5" customHeight="1" x14ac:dyDescent="0.25">
      <c r="D130" s="59" t="str">
        <f t="shared" si="6"/>
        <v/>
      </c>
      <c r="E130" s="59" t="str">
        <f t="shared" si="8"/>
        <v/>
      </c>
      <c r="F130" s="59" t="str">
        <f t="shared" si="9"/>
        <v/>
      </c>
      <c r="G130" s="59" t="str">
        <f>IF($A130="","",
   SUMIFS(Transactions!$P:$P,
          Transactions!$G:$G,$A130,
          Transactions!$C:$C,"IN",
          Transactions!$Q:$Q,"Paid"))</f>
        <v/>
      </c>
      <c r="H130" s="59" t="str">
        <f>IF($A130="","",
   SUMIFS(Transactions!$P:$P,
          Transactions!$G:$G,$A130,
          Transactions!$C:$C,"OUT"))</f>
        <v/>
      </c>
      <c r="I130" s="65" t="str">
        <f t="shared" si="7"/>
        <v/>
      </c>
      <c r="J130" s="59" t="str">
        <f t="shared" si="10"/>
        <v/>
      </c>
    </row>
    <row r="131" spans="4:10" ht="22.5" customHeight="1" x14ac:dyDescent="0.25">
      <c r="D131" s="59" t="str">
        <f t="shared" ref="D131:D194" si="11">IF(C131="","",ROUND(C131*0.15,2))</f>
        <v/>
      </c>
      <c r="E131" s="59" t="str">
        <f t="shared" si="8"/>
        <v/>
      </c>
      <c r="F131" s="59" t="str">
        <f t="shared" si="9"/>
        <v/>
      </c>
      <c r="G131" s="59" t="str">
        <f>IF($A131="","",
   SUMIFS(Transactions!$P:$P,
          Transactions!$G:$G,$A131,
          Transactions!$C:$C,"IN",
          Transactions!$Q:$Q,"Paid"))</f>
        <v/>
      </c>
      <c r="H131" s="59" t="str">
        <f>IF($A131="","",
   SUMIFS(Transactions!$P:$P,
          Transactions!$G:$G,$A131,
          Transactions!$C:$C,"OUT"))</f>
        <v/>
      </c>
      <c r="I131" s="65" t="str">
        <f t="shared" ref="I131:I194" si="12">IF(C131="","",C131-H131)</f>
        <v/>
      </c>
      <c r="J131" s="59" t="str">
        <f t="shared" si="10"/>
        <v/>
      </c>
    </row>
    <row r="132" spans="4:10" ht="22.5" customHeight="1" x14ac:dyDescent="0.25">
      <c r="D132" s="59" t="str">
        <f t="shared" si="11"/>
        <v/>
      </c>
      <c r="E132" s="59" t="str">
        <f t="shared" ref="E132:E195" si="13">IF(C132="","",C132+D132)</f>
        <v/>
      </c>
      <c r="F132" s="59" t="str">
        <f t="shared" ref="F132:F195" si="14">IF(E132="","",E132*0.5)</f>
        <v/>
      </c>
      <c r="G132" s="59" t="str">
        <f>IF($A132="","",
   SUMIFS(Transactions!$P:$P,
          Transactions!$G:$G,$A132,
          Transactions!$C:$C,"IN",
          Transactions!$Q:$Q,"Paid"))</f>
        <v/>
      </c>
      <c r="H132" s="59" t="str">
        <f>IF($A132="","",
   SUMIFS(Transactions!$P:$P,
          Transactions!$G:$G,$A132,
          Transactions!$C:$C,"OUT"))</f>
        <v/>
      </c>
      <c r="I132" s="65" t="str">
        <f t="shared" si="12"/>
        <v/>
      </c>
      <c r="J132" s="59" t="str">
        <f t="shared" ref="J132:J195" si="15">IF(E132="","",E132-G132)</f>
        <v/>
      </c>
    </row>
    <row r="133" spans="4:10" ht="22.5" customHeight="1" x14ac:dyDescent="0.25">
      <c r="D133" s="59" t="str">
        <f t="shared" si="11"/>
        <v/>
      </c>
      <c r="E133" s="59" t="str">
        <f t="shared" si="13"/>
        <v/>
      </c>
      <c r="F133" s="59" t="str">
        <f t="shared" si="14"/>
        <v/>
      </c>
      <c r="G133" s="59" t="str">
        <f>IF($A133="","",
   SUMIFS(Transactions!$P:$P,
          Transactions!$G:$G,$A133,
          Transactions!$C:$C,"IN",
          Transactions!$Q:$Q,"Paid"))</f>
        <v/>
      </c>
      <c r="H133" s="59" t="str">
        <f>IF($A133="","",
   SUMIFS(Transactions!$P:$P,
          Transactions!$G:$G,$A133,
          Transactions!$C:$C,"OUT"))</f>
        <v/>
      </c>
      <c r="I133" s="65" t="str">
        <f t="shared" si="12"/>
        <v/>
      </c>
      <c r="J133" s="59" t="str">
        <f t="shared" si="15"/>
        <v/>
      </c>
    </row>
    <row r="134" spans="4:10" ht="22.5" customHeight="1" x14ac:dyDescent="0.25">
      <c r="D134" s="59" t="str">
        <f t="shared" si="11"/>
        <v/>
      </c>
      <c r="E134" s="59" t="str">
        <f t="shared" si="13"/>
        <v/>
      </c>
      <c r="F134" s="59" t="str">
        <f t="shared" si="14"/>
        <v/>
      </c>
      <c r="G134" s="59" t="str">
        <f>IF($A134="","",
   SUMIFS(Transactions!$P:$P,
          Transactions!$G:$G,$A134,
          Transactions!$C:$C,"IN",
          Transactions!$Q:$Q,"Paid"))</f>
        <v/>
      </c>
      <c r="H134" s="59" t="str">
        <f>IF($A134="","",
   SUMIFS(Transactions!$P:$P,
          Transactions!$G:$G,$A134,
          Transactions!$C:$C,"OUT"))</f>
        <v/>
      </c>
      <c r="I134" s="65" t="str">
        <f t="shared" si="12"/>
        <v/>
      </c>
      <c r="J134" s="59" t="str">
        <f t="shared" si="15"/>
        <v/>
      </c>
    </row>
    <row r="135" spans="4:10" ht="22.5" customHeight="1" x14ac:dyDescent="0.25">
      <c r="D135" s="59" t="str">
        <f t="shared" si="11"/>
        <v/>
      </c>
      <c r="E135" s="59" t="str">
        <f t="shared" si="13"/>
        <v/>
      </c>
      <c r="F135" s="59" t="str">
        <f t="shared" si="14"/>
        <v/>
      </c>
      <c r="G135" s="59" t="str">
        <f>IF($A135="","",
   SUMIFS(Transactions!$P:$P,
          Transactions!$G:$G,$A135,
          Transactions!$C:$C,"IN",
          Transactions!$Q:$Q,"Paid"))</f>
        <v/>
      </c>
      <c r="H135" s="59" t="str">
        <f>IF($A135="","",
   SUMIFS(Transactions!$P:$P,
          Transactions!$G:$G,$A135,
          Transactions!$C:$C,"OUT"))</f>
        <v/>
      </c>
      <c r="I135" s="65" t="str">
        <f t="shared" si="12"/>
        <v/>
      </c>
      <c r="J135" s="59" t="str">
        <f t="shared" si="15"/>
        <v/>
      </c>
    </row>
    <row r="136" spans="4:10" ht="22.5" customHeight="1" x14ac:dyDescent="0.25">
      <c r="D136" s="59" t="str">
        <f t="shared" si="11"/>
        <v/>
      </c>
      <c r="E136" s="59" t="str">
        <f t="shared" si="13"/>
        <v/>
      </c>
      <c r="F136" s="59" t="str">
        <f t="shared" si="14"/>
        <v/>
      </c>
      <c r="G136" s="59" t="str">
        <f>IF($A136="","",
   SUMIFS(Transactions!$P:$P,
          Transactions!$G:$G,$A136,
          Transactions!$C:$C,"IN",
          Transactions!$Q:$Q,"Paid"))</f>
        <v/>
      </c>
      <c r="H136" s="59" t="str">
        <f>IF($A136="","",
   SUMIFS(Transactions!$P:$P,
          Transactions!$G:$G,$A136,
          Transactions!$C:$C,"OUT"))</f>
        <v/>
      </c>
      <c r="I136" s="65" t="str">
        <f t="shared" si="12"/>
        <v/>
      </c>
      <c r="J136" s="59" t="str">
        <f t="shared" si="15"/>
        <v/>
      </c>
    </row>
    <row r="137" spans="4:10" ht="22.5" customHeight="1" x14ac:dyDescent="0.25">
      <c r="D137" s="59" t="str">
        <f t="shared" si="11"/>
        <v/>
      </c>
      <c r="E137" s="59" t="str">
        <f t="shared" si="13"/>
        <v/>
      </c>
      <c r="F137" s="59" t="str">
        <f t="shared" si="14"/>
        <v/>
      </c>
      <c r="G137" s="59" t="str">
        <f>IF($A137="","",
   SUMIFS(Transactions!$P:$P,
          Transactions!$G:$G,$A137,
          Transactions!$C:$C,"IN",
          Transactions!$Q:$Q,"Paid"))</f>
        <v/>
      </c>
      <c r="H137" s="59" t="str">
        <f>IF($A137="","",
   SUMIFS(Transactions!$P:$P,
          Transactions!$G:$G,$A137,
          Transactions!$C:$C,"OUT"))</f>
        <v/>
      </c>
      <c r="I137" s="65" t="str">
        <f t="shared" si="12"/>
        <v/>
      </c>
      <c r="J137" s="59" t="str">
        <f t="shared" si="15"/>
        <v/>
      </c>
    </row>
    <row r="138" spans="4:10" ht="22.5" customHeight="1" x14ac:dyDescent="0.25">
      <c r="D138" s="59" t="str">
        <f t="shared" si="11"/>
        <v/>
      </c>
      <c r="E138" s="59" t="str">
        <f t="shared" si="13"/>
        <v/>
      </c>
      <c r="F138" s="59" t="str">
        <f t="shared" si="14"/>
        <v/>
      </c>
      <c r="G138" s="59" t="str">
        <f>IF($A138="","",
   SUMIFS(Transactions!$P:$P,
          Transactions!$G:$G,$A138,
          Transactions!$C:$C,"IN",
          Transactions!$Q:$Q,"Paid"))</f>
        <v/>
      </c>
      <c r="H138" s="59" t="str">
        <f>IF($A138="","",
   SUMIFS(Transactions!$P:$P,
          Transactions!$G:$G,$A138,
          Transactions!$C:$C,"OUT"))</f>
        <v/>
      </c>
      <c r="I138" s="65" t="str">
        <f t="shared" si="12"/>
        <v/>
      </c>
      <c r="J138" s="59" t="str">
        <f t="shared" si="15"/>
        <v/>
      </c>
    </row>
    <row r="139" spans="4:10" ht="22.5" customHeight="1" x14ac:dyDescent="0.25">
      <c r="D139" s="59" t="str">
        <f t="shared" si="11"/>
        <v/>
      </c>
      <c r="E139" s="59" t="str">
        <f t="shared" si="13"/>
        <v/>
      </c>
      <c r="F139" s="59" t="str">
        <f t="shared" si="14"/>
        <v/>
      </c>
      <c r="G139" s="59" t="str">
        <f>IF($A139="","",
   SUMIFS(Transactions!$P:$P,
          Transactions!$G:$G,$A139,
          Transactions!$C:$C,"IN",
          Transactions!$Q:$Q,"Paid"))</f>
        <v/>
      </c>
      <c r="H139" s="59" t="str">
        <f>IF($A139="","",
   SUMIFS(Transactions!$P:$P,
          Transactions!$G:$G,$A139,
          Transactions!$C:$C,"OUT"))</f>
        <v/>
      </c>
      <c r="I139" s="65" t="str">
        <f t="shared" si="12"/>
        <v/>
      </c>
      <c r="J139" s="59" t="str">
        <f t="shared" si="15"/>
        <v/>
      </c>
    </row>
    <row r="140" spans="4:10" ht="22.5" customHeight="1" x14ac:dyDescent="0.25">
      <c r="D140" s="59" t="str">
        <f t="shared" si="11"/>
        <v/>
      </c>
      <c r="E140" s="59" t="str">
        <f t="shared" si="13"/>
        <v/>
      </c>
      <c r="F140" s="59" t="str">
        <f t="shared" si="14"/>
        <v/>
      </c>
      <c r="G140" s="59" t="str">
        <f>IF($A140="","",
   SUMIFS(Transactions!$P:$P,
          Transactions!$G:$G,$A140,
          Transactions!$C:$C,"IN",
          Transactions!$Q:$Q,"Paid"))</f>
        <v/>
      </c>
      <c r="H140" s="59" t="str">
        <f>IF($A140="","",
   SUMIFS(Transactions!$P:$P,
          Transactions!$G:$G,$A140,
          Transactions!$C:$C,"OUT"))</f>
        <v/>
      </c>
      <c r="I140" s="65" t="str">
        <f t="shared" si="12"/>
        <v/>
      </c>
      <c r="J140" s="59" t="str">
        <f t="shared" si="15"/>
        <v/>
      </c>
    </row>
    <row r="141" spans="4:10" ht="22.5" customHeight="1" x14ac:dyDescent="0.25">
      <c r="D141" s="59" t="str">
        <f t="shared" si="11"/>
        <v/>
      </c>
      <c r="E141" s="59" t="str">
        <f t="shared" si="13"/>
        <v/>
      </c>
      <c r="F141" s="59" t="str">
        <f t="shared" si="14"/>
        <v/>
      </c>
      <c r="G141" s="59" t="str">
        <f>IF($A141="","",
   SUMIFS(Transactions!$P:$P,
          Transactions!$G:$G,$A141,
          Transactions!$C:$C,"IN",
          Transactions!$Q:$Q,"Paid"))</f>
        <v/>
      </c>
      <c r="H141" s="59" t="str">
        <f>IF($A141="","",
   SUMIFS(Transactions!$P:$P,
          Transactions!$G:$G,$A141,
          Transactions!$C:$C,"OUT"))</f>
        <v/>
      </c>
      <c r="I141" s="65" t="str">
        <f t="shared" si="12"/>
        <v/>
      </c>
      <c r="J141" s="59" t="str">
        <f t="shared" si="15"/>
        <v/>
      </c>
    </row>
    <row r="142" spans="4:10" ht="22.5" customHeight="1" x14ac:dyDescent="0.25">
      <c r="D142" s="59" t="str">
        <f t="shared" si="11"/>
        <v/>
      </c>
      <c r="E142" s="59" t="str">
        <f t="shared" si="13"/>
        <v/>
      </c>
      <c r="F142" s="59" t="str">
        <f t="shared" si="14"/>
        <v/>
      </c>
      <c r="G142" s="59" t="str">
        <f>IF($A142="","",
   SUMIFS(Transactions!$P:$P,
          Transactions!$G:$G,$A142,
          Transactions!$C:$C,"IN",
          Transactions!$Q:$Q,"Paid"))</f>
        <v/>
      </c>
      <c r="H142" s="59" t="str">
        <f>IF($A142="","",
   SUMIFS(Transactions!$P:$P,
          Transactions!$G:$G,$A142,
          Transactions!$C:$C,"OUT"))</f>
        <v/>
      </c>
      <c r="I142" s="65" t="str">
        <f t="shared" si="12"/>
        <v/>
      </c>
      <c r="J142" s="59" t="str">
        <f t="shared" si="15"/>
        <v/>
      </c>
    </row>
    <row r="143" spans="4:10" ht="22.5" customHeight="1" x14ac:dyDescent="0.25">
      <c r="D143" s="59" t="str">
        <f t="shared" si="11"/>
        <v/>
      </c>
      <c r="E143" s="59" t="str">
        <f t="shared" si="13"/>
        <v/>
      </c>
      <c r="F143" s="59" t="str">
        <f t="shared" si="14"/>
        <v/>
      </c>
      <c r="G143" s="59" t="str">
        <f>IF($A143="","",
   SUMIFS(Transactions!$P:$P,
          Transactions!$G:$G,$A143,
          Transactions!$C:$C,"IN",
          Transactions!$Q:$Q,"Paid"))</f>
        <v/>
      </c>
      <c r="H143" s="59" t="str">
        <f>IF($A143="","",
   SUMIFS(Transactions!$P:$P,
          Transactions!$G:$G,$A143,
          Transactions!$C:$C,"OUT"))</f>
        <v/>
      </c>
      <c r="I143" s="65" t="str">
        <f t="shared" si="12"/>
        <v/>
      </c>
      <c r="J143" s="59" t="str">
        <f t="shared" si="15"/>
        <v/>
      </c>
    </row>
    <row r="144" spans="4:10" ht="22.5" customHeight="1" x14ac:dyDescent="0.25">
      <c r="D144" s="59" t="str">
        <f t="shared" si="11"/>
        <v/>
      </c>
      <c r="E144" s="59" t="str">
        <f t="shared" si="13"/>
        <v/>
      </c>
      <c r="F144" s="59" t="str">
        <f t="shared" si="14"/>
        <v/>
      </c>
      <c r="G144" s="59" t="str">
        <f>IF($A144="","",
   SUMIFS(Transactions!$P:$P,
          Transactions!$G:$G,$A144,
          Transactions!$C:$C,"IN",
          Transactions!$Q:$Q,"Paid"))</f>
        <v/>
      </c>
      <c r="H144" s="59" t="str">
        <f>IF($A144="","",
   SUMIFS(Transactions!$P:$P,
          Transactions!$G:$G,$A144,
          Transactions!$C:$C,"OUT"))</f>
        <v/>
      </c>
      <c r="I144" s="65" t="str">
        <f t="shared" si="12"/>
        <v/>
      </c>
      <c r="J144" s="59" t="str">
        <f t="shared" si="15"/>
        <v/>
      </c>
    </row>
    <row r="145" spans="4:10" ht="22.5" customHeight="1" x14ac:dyDescent="0.25">
      <c r="D145" s="59" t="str">
        <f t="shared" si="11"/>
        <v/>
      </c>
      <c r="E145" s="59" t="str">
        <f t="shared" si="13"/>
        <v/>
      </c>
      <c r="F145" s="59" t="str">
        <f t="shared" si="14"/>
        <v/>
      </c>
      <c r="G145" s="59" t="str">
        <f>IF($A145="","",
   SUMIFS(Transactions!$P:$P,
          Transactions!$G:$G,$A145,
          Transactions!$C:$C,"IN",
          Transactions!$Q:$Q,"Paid"))</f>
        <v/>
      </c>
      <c r="H145" s="59" t="str">
        <f>IF($A145="","",
   SUMIFS(Transactions!$P:$P,
          Transactions!$G:$G,$A145,
          Transactions!$C:$C,"OUT"))</f>
        <v/>
      </c>
      <c r="I145" s="65" t="str">
        <f t="shared" si="12"/>
        <v/>
      </c>
      <c r="J145" s="59" t="str">
        <f t="shared" si="15"/>
        <v/>
      </c>
    </row>
    <row r="146" spans="4:10" ht="22.5" customHeight="1" x14ac:dyDescent="0.25">
      <c r="D146" s="59" t="str">
        <f t="shared" si="11"/>
        <v/>
      </c>
      <c r="E146" s="59" t="str">
        <f t="shared" si="13"/>
        <v/>
      </c>
      <c r="F146" s="59" t="str">
        <f t="shared" si="14"/>
        <v/>
      </c>
      <c r="G146" s="59" t="str">
        <f>IF($A146="","",
   SUMIFS(Transactions!$P:$P,
          Transactions!$G:$G,$A146,
          Transactions!$C:$C,"IN",
          Transactions!$Q:$Q,"Paid"))</f>
        <v/>
      </c>
      <c r="H146" s="59" t="str">
        <f>IF($A146="","",
   SUMIFS(Transactions!$P:$P,
          Transactions!$G:$G,$A146,
          Transactions!$C:$C,"OUT"))</f>
        <v/>
      </c>
      <c r="I146" s="65" t="str">
        <f t="shared" si="12"/>
        <v/>
      </c>
      <c r="J146" s="59" t="str">
        <f t="shared" si="15"/>
        <v/>
      </c>
    </row>
    <row r="147" spans="4:10" ht="22.5" customHeight="1" x14ac:dyDescent="0.25">
      <c r="D147" s="59" t="str">
        <f t="shared" si="11"/>
        <v/>
      </c>
      <c r="E147" s="59" t="str">
        <f t="shared" si="13"/>
        <v/>
      </c>
      <c r="F147" s="59" t="str">
        <f t="shared" si="14"/>
        <v/>
      </c>
      <c r="G147" s="59" t="str">
        <f>IF($A147="","",
   SUMIFS(Transactions!$P:$P,
          Transactions!$G:$G,$A147,
          Transactions!$C:$C,"IN",
          Transactions!$Q:$Q,"Paid"))</f>
        <v/>
      </c>
      <c r="H147" s="59" t="str">
        <f>IF($A147="","",
   SUMIFS(Transactions!$P:$P,
          Transactions!$G:$G,$A147,
          Transactions!$C:$C,"OUT"))</f>
        <v/>
      </c>
      <c r="I147" s="65" t="str">
        <f t="shared" si="12"/>
        <v/>
      </c>
      <c r="J147" s="59" t="str">
        <f t="shared" si="15"/>
        <v/>
      </c>
    </row>
    <row r="148" spans="4:10" ht="22.5" customHeight="1" x14ac:dyDescent="0.25">
      <c r="D148" s="59" t="str">
        <f t="shared" si="11"/>
        <v/>
      </c>
      <c r="E148" s="59" t="str">
        <f t="shared" si="13"/>
        <v/>
      </c>
      <c r="F148" s="59" t="str">
        <f t="shared" si="14"/>
        <v/>
      </c>
      <c r="G148" s="59" t="str">
        <f>IF($A148="","",
   SUMIFS(Transactions!$P:$P,
          Transactions!$G:$G,$A148,
          Transactions!$C:$C,"IN",
          Transactions!$Q:$Q,"Paid"))</f>
        <v/>
      </c>
      <c r="H148" s="59" t="str">
        <f>IF($A148="","",
   SUMIFS(Transactions!$P:$P,
          Transactions!$G:$G,$A148,
          Transactions!$C:$C,"OUT"))</f>
        <v/>
      </c>
      <c r="I148" s="65" t="str">
        <f t="shared" si="12"/>
        <v/>
      </c>
      <c r="J148" s="59" t="str">
        <f t="shared" si="15"/>
        <v/>
      </c>
    </row>
    <row r="149" spans="4:10" ht="22.5" customHeight="1" x14ac:dyDescent="0.25">
      <c r="D149" s="59" t="str">
        <f t="shared" si="11"/>
        <v/>
      </c>
      <c r="E149" s="59" t="str">
        <f t="shared" si="13"/>
        <v/>
      </c>
      <c r="F149" s="59" t="str">
        <f t="shared" si="14"/>
        <v/>
      </c>
      <c r="G149" s="59" t="str">
        <f>IF($A149="","",
   SUMIFS(Transactions!$P:$P,
          Transactions!$G:$G,$A149,
          Transactions!$C:$C,"IN",
          Transactions!$Q:$Q,"Paid"))</f>
        <v/>
      </c>
      <c r="H149" s="59" t="str">
        <f>IF($A149="","",
   SUMIFS(Transactions!$P:$P,
          Transactions!$G:$G,$A149,
          Transactions!$C:$C,"OUT"))</f>
        <v/>
      </c>
      <c r="I149" s="65" t="str">
        <f t="shared" si="12"/>
        <v/>
      </c>
      <c r="J149" s="59" t="str">
        <f t="shared" si="15"/>
        <v/>
      </c>
    </row>
    <row r="150" spans="4:10" ht="22.5" customHeight="1" x14ac:dyDescent="0.25">
      <c r="D150" s="59" t="str">
        <f t="shared" si="11"/>
        <v/>
      </c>
      <c r="E150" s="59" t="str">
        <f t="shared" si="13"/>
        <v/>
      </c>
      <c r="F150" s="59" t="str">
        <f t="shared" si="14"/>
        <v/>
      </c>
      <c r="G150" s="59" t="str">
        <f>IF($A150="","",
   SUMIFS(Transactions!$P:$P,
          Transactions!$G:$G,$A150,
          Transactions!$C:$C,"IN",
          Transactions!$Q:$Q,"Paid"))</f>
        <v/>
      </c>
      <c r="H150" s="59" t="str">
        <f>IF($A150="","",
   SUMIFS(Transactions!$P:$P,
          Transactions!$G:$G,$A150,
          Transactions!$C:$C,"OUT"))</f>
        <v/>
      </c>
      <c r="I150" s="65" t="str">
        <f t="shared" si="12"/>
        <v/>
      </c>
      <c r="J150" s="59" t="str">
        <f t="shared" si="15"/>
        <v/>
      </c>
    </row>
    <row r="151" spans="4:10" ht="22.5" customHeight="1" x14ac:dyDescent="0.25">
      <c r="D151" s="59" t="str">
        <f t="shared" si="11"/>
        <v/>
      </c>
      <c r="E151" s="59" t="str">
        <f t="shared" si="13"/>
        <v/>
      </c>
      <c r="F151" s="59" t="str">
        <f t="shared" si="14"/>
        <v/>
      </c>
      <c r="G151" s="59" t="str">
        <f>IF($A151="","",
   SUMIFS(Transactions!$P:$P,
          Transactions!$G:$G,$A151,
          Transactions!$C:$C,"IN",
          Transactions!$Q:$Q,"Paid"))</f>
        <v/>
      </c>
      <c r="H151" s="59" t="str">
        <f>IF($A151="","",
   SUMIFS(Transactions!$P:$P,
          Transactions!$G:$G,$A151,
          Transactions!$C:$C,"OUT"))</f>
        <v/>
      </c>
      <c r="I151" s="65" t="str">
        <f t="shared" si="12"/>
        <v/>
      </c>
      <c r="J151" s="59" t="str">
        <f t="shared" si="15"/>
        <v/>
      </c>
    </row>
    <row r="152" spans="4:10" ht="22.5" customHeight="1" x14ac:dyDescent="0.25">
      <c r="D152" s="59" t="str">
        <f t="shared" si="11"/>
        <v/>
      </c>
      <c r="E152" s="59" t="str">
        <f t="shared" si="13"/>
        <v/>
      </c>
      <c r="F152" s="59" t="str">
        <f t="shared" si="14"/>
        <v/>
      </c>
      <c r="G152" s="59" t="str">
        <f>IF($A152="","",
   SUMIFS(Transactions!$P:$P,
          Transactions!$G:$G,$A152,
          Transactions!$C:$C,"IN",
          Transactions!$Q:$Q,"Paid"))</f>
        <v/>
      </c>
      <c r="H152" s="59" t="str">
        <f>IF($A152="","",
   SUMIFS(Transactions!$P:$P,
          Transactions!$G:$G,$A152,
          Transactions!$C:$C,"OUT"))</f>
        <v/>
      </c>
      <c r="I152" s="65" t="str">
        <f t="shared" si="12"/>
        <v/>
      </c>
      <c r="J152" s="59" t="str">
        <f t="shared" si="15"/>
        <v/>
      </c>
    </row>
    <row r="153" spans="4:10" ht="22.5" customHeight="1" x14ac:dyDescent="0.25">
      <c r="D153" s="59" t="str">
        <f t="shared" si="11"/>
        <v/>
      </c>
      <c r="E153" s="59" t="str">
        <f t="shared" si="13"/>
        <v/>
      </c>
      <c r="F153" s="59" t="str">
        <f t="shared" si="14"/>
        <v/>
      </c>
      <c r="G153" s="59" t="str">
        <f>IF($A153="","",
   SUMIFS(Transactions!$P:$P,
          Transactions!$G:$G,$A153,
          Transactions!$C:$C,"IN",
          Transactions!$Q:$Q,"Paid"))</f>
        <v/>
      </c>
      <c r="H153" s="59" t="str">
        <f>IF($A153="","",
   SUMIFS(Transactions!$P:$P,
          Transactions!$G:$G,$A153,
          Transactions!$C:$C,"OUT"))</f>
        <v/>
      </c>
      <c r="I153" s="65" t="str">
        <f t="shared" si="12"/>
        <v/>
      </c>
      <c r="J153" s="59" t="str">
        <f t="shared" si="15"/>
        <v/>
      </c>
    </row>
    <row r="154" spans="4:10" ht="22.5" customHeight="1" x14ac:dyDescent="0.25">
      <c r="D154" s="59" t="str">
        <f t="shared" si="11"/>
        <v/>
      </c>
      <c r="E154" s="59" t="str">
        <f t="shared" si="13"/>
        <v/>
      </c>
      <c r="F154" s="59" t="str">
        <f t="shared" si="14"/>
        <v/>
      </c>
      <c r="G154" s="59" t="str">
        <f>IF($A154="","",
   SUMIFS(Transactions!$P:$P,
          Transactions!$G:$G,$A154,
          Transactions!$C:$C,"IN",
          Transactions!$Q:$Q,"Paid"))</f>
        <v/>
      </c>
      <c r="H154" s="59" t="str">
        <f>IF($A154="","",
   SUMIFS(Transactions!$P:$P,
          Transactions!$G:$G,$A154,
          Transactions!$C:$C,"OUT"))</f>
        <v/>
      </c>
      <c r="I154" s="65" t="str">
        <f t="shared" si="12"/>
        <v/>
      </c>
      <c r="J154" s="59" t="str">
        <f t="shared" si="15"/>
        <v/>
      </c>
    </row>
    <row r="155" spans="4:10" ht="22.5" customHeight="1" x14ac:dyDescent="0.25">
      <c r="D155" s="59" t="str">
        <f t="shared" si="11"/>
        <v/>
      </c>
      <c r="E155" s="59" t="str">
        <f t="shared" si="13"/>
        <v/>
      </c>
      <c r="F155" s="59" t="str">
        <f t="shared" si="14"/>
        <v/>
      </c>
      <c r="G155" s="59" t="str">
        <f>IF($A155="","",
   SUMIFS(Transactions!$P:$P,
          Transactions!$G:$G,$A155,
          Transactions!$C:$C,"IN",
          Transactions!$Q:$Q,"Paid"))</f>
        <v/>
      </c>
      <c r="H155" s="59" t="str">
        <f>IF($A155="","",
   SUMIFS(Transactions!$P:$P,
          Transactions!$G:$G,$A155,
          Transactions!$C:$C,"OUT"))</f>
        <v/>
      </c>
      <c r="I155" s="65" t="str">
        <f t="shared" si="12"/>
        <v/>
      </c>
      <c r="J155" s="59" t="str">
        <f t="shared" si="15"/>
        <v/>
      </c>
    </row>
    <row r="156" spans="4:10" ht="22.5" customHeight="1" x14ac:dyDescent="0.25">
      <c r="D156" s="59" t="str">
        <f t="shared" si="11"/>
        <v/>
      </c>
      <c r="E156" s="59" t="str">
        <f t="shared" si="13"/>
        <v/>
      </c>
      <c r="F156" s="59" t="str">
        <f t="shared" si="14"/>
        <v/>
      </c>
      <c r="G156" s="59" t="str">
        <f>IF($A156="","",
   SUMIFS(Transactions!$P:$P,
          Transactions!$G:$G,$A156,
          Transactions!$C:$C,"IN",
          Transactions!$Q:$Q,"Paid"))</f>
        <v/>
      </c>
      <c r="H156" s="59" t="str">
        <f>IF($A156="","",
   SUMIFS(Transactions!$P:$P,
          Transactions!$G:$G,$A156,
          Transactions!$C:$C,"OUT"))</f>
        <v/>
      </c>
      <c r="I156" s="65" t="str">
        <f t="shared" si="12"/>
        <v/>
      </c>
      <c r="J156" s="59" t="str">
        <f t="shared" si="15"/>
        <v/>
      </c>
    </row>
    <row r="157" spans="4:10" ht="22.5" customHeight="1" x14ac:dyDescent="0.25">
      <c r="D157" s="59" t="str">
        <f t="shared" si="11"/>
        <v/>
      </c>
      <c r="E157" s="59" t="str">
        <f t="shared" si="13"/>
        <v/>
      </c>
      <c r="F157" s="59" t="str">
        <f t="shared" si="14"/>
        <v/>
      </c>
      <c r="G157" s="59" t="str">
        <f>IF($A157="","",
   SUMIFS(Transactions!$P:$P,
          Transactions!$G:$G,$A157,
          Transactions!$C:$C,"IN",
          Transactions!$Q:$Q,"Paid"))</f>
        <v/>
      </c>
      <c r="H157" s="59" t="str">
        <f>IF($A157="","",
   SUMIFS(Transactions!$P:$P,
          Transactions!$G:$G,$A157,
          Transactions!$C:$C,"OUT"))</f>
        <v/>
      </c>
      <c r="I157" s="65" t="str">
        <f t="shared" si="12"/>
        <v/>
      </c>
      <c r="J157" s="59" t="str">
        <f t="shared" si="15"/>
        <v/>
      </c>
    </row>
    <row r="158" spans="4:10" ht="22.5" customHeight="1" x14ac:dyDescent="0.25">
      <c r="D158" s="59" t="str">
        <f t="shared" si="11"/>
        <v/>
      </c>
      <c r="E158" s="59" t="str">
        <f t="shared" si="13"/>
        <v/>
      </c>
      <c r="F158" s="59" t="str">
        <f t="shared" si="14"/>
        <v/>
      </c>
      <c r="G158" s="59" t="str">
        <f>IF($A158="","",
   SUMIFS(Transactions!$P:$P,
          Transactions!$G:$G,$A158,
          Transactions!$C:$C,"IN",
          Transactions!$Q:$Q,"Paid"))</f>
        <v/>
      </c>
      <c r="H158" s="59" t="str">
        <f>IF($A158="","",
   SUMIFS(Transactions!$P:$P,
          Transactions!$G:$G,$A158,
          Transactions!$C:$C,"OUT"))</f>
        <v/>
      </c>
      <c r="I158" s="65" t="str">
        <f t="shared" si="12"/>
        <v/>
      </c>
      <c r="J158" s="59" t="str">
        <f t="shared" si="15"/>
        <v/>
      </c>
    </row>
    <row r="159" spans="4:10" ht="22.5" customHeight="1" x14ac:dyDescent="0.25">
      <c r="D159" s="59" t="str">
        <f t="shared" si="11"/>
        <v/>
      </c>
      <c r="E159" s="59" t="str">
        <f t="shared" si="13"/>
        <v/>
      </c>
      <c r="F159" s="59" t="str">
        <f t="shared" si="14"/>
        <v/>
      </c>
      <c r="G159" s="59" t="str">
        <f>IF($A159="","",
   SUMIFS(Transactions!$P:$P,
          Transactions!$G:$G,$A159,
          Transactions!$C:$C,"IN",
          Transactions!$Q:$Q,"Paid"))</f>
        <v/>
      </c>
      <c r="H159" s="59" t="str">
        <f>IF($A159="","",
   SUMIFS(Transactions!$P:$P,
          Transactions!$G:$G,$A159,
          Transactions!$C:$C,"OUT"))</f>
        <v/>
      </c>
      <c r="I159" s="65" t="str">
        <f t="shared" si="12"/>
        <v/>
      </c>
      <c r="J159" s="59" t="str">
        <f t="shared" si="15"/>
        <v/>
      </c>
    </row>
    <row r="160" spans="4:10" ht="22.5" customHeight="1" x14ac:dyDescent="0.25">
      <c r="D160" s="59" t="str">
        <f t="shared" si="11"/>
        <v/>
      </c>
      <c r="E160" s="59" t="str">
        <f t="shared" si="13"/>
        <v/>
      </c>
      <c r="F160" s="59" t="str">
        <f t="shared" si="14"/>
        <v/>
      </c>
      <c r="G160" s="59" t="str">
        <f>IF($A160="","",
   SUMIFS(Transactions!$P:$P,
          Transactions!$G:$G,$A160,
          Transactions!$C:$C,"IN",
          Transactions!$Q:$Q,"Paid"))</f>
        <v/>
      </c>
      <c r="H160" s="59" t="str">
        <f>IF($A160="","",
   SUMIFS(Transactions!$P:$P,
          Transactions!$G:$G,$A160,
          Transactions!$C:$C,"OUT"))</f>
        <v/>
      </c>
      <c r="I160" s="65" t="str">
        <f t="shared" si="12"/>
        <v/>
      </c>
      <c r="J160" s="59" t="str">
        <f t="shared" si="15"/>
        <v/>
      </c>
    </row>
    <row r="161" spans="4:10" ht="22.5" customHeight="1" x14ac:dyDescent="0.25">
      <c r="D161" s="59" t="str">
        <f t="shared" si="11"/>
        <v/>
      </c>
      <c r="E161" s="59" t="str">
        <f t="shared" si="13"/>
        <v/>
      </c>
      <c r="F161" s="59" t="str">
        <f t="shared" si="14"/>
        <v/>
      </c>
      <c r="G161" s="59" t="str">
        <f>IF($A161="","",
   SUMIFS(Transactions!$P:$P,
          Transactions!$G:$G,$A161,
          Transactions!$C:$C,"IN",
          Transactions!$Q:$Q,"Paid"))</f>
        <v/>
      </c>
      <c r="H161" s="59" t="str">
        <f>IF($A161="","",
   SUMIFS(Transactions!$P:$P,
          Transactions!$G:$G,$A161,
          Transactions!$C:$C,"OUT"))</f>
        <v/>
      </c>
      <c r="I161" s="65" t="str">
        <f t="shared" si="12"/>
        <v/>
      </c>
      <c r="J161" s="59" t="str">
        <f t="shared" si="15"/>
        <v/>
      </c>
    </row>
    <row r="162" spans="4:10" ht="22.5" customHeight="1" x14ac:dyDescent="0.25">
      <c r="D162" s="59" t="str">
        <f t="shared" si="11"/>
        <v/>
      </c>
      <c r="E162" s="59" t="str">
        <f t="shared" si="13"/>
        <v/>
      </c>
      <c r="F162" s="59" t="str">
        <f t="shared" si="14"/>
        <v/>
      </c>
      <c r="G162" s="59" t="str">
        <f>IF($A162="","",
   SUMIFS(Transactions!$P:$P,
          Transactions!$G:$G,$A162,
          Transactions!$C:$C,"IN",
          Transactions!$Q:$Q,"Paid"))</f>
        <v/>
      </c>
      <c r="H162" s="59" t="str">
        <f>IF($A162="","",
   SUMIFS(Transactions!$P:$P,
          Transactions!$G:$G,$A162,
          Transactions!$C:$C,"OUT"))</f>
        <v/>
      </c>
      <c r="I162" s="65" t="str">
        <f t="shared" si="12"/>
        <v/>
      </c>
      <c r="J162" s="59" t="str">
        <f t="shared" si="15"/>
        <v/>
      </c>
    </row>
    <row r="163" spans="4:10" ht="22.5" customHeight="1" x14ac:dyDescent="0.25">
      <c r="D163" s="59" t="str">
        <f t="shared" si="11"/>
        <v/>
      </c>
      <c r="E163" s="59" t="str">
        <f t="shared" si="13"/>
        <v/>
      </c>
      <c r="F163" s="59" t="str">
        <f t="shared" si="14"/>
        <v/>
      </c>
      <c r="G163" s="59" t="str">
        <f>IF($A163="","",
   SUMIFS(Transactions!$P:$P,
          Transactions!$G:$G,$A163,
          Transactions!$C:$C,"IN",
          Transactions!$Q:$Q,"Paid"))</f>
        <v/>
      </c>
      <c r="H163" s="59" t="str">
        <f>IF($A163="","",
   SUMIFS(Transactions!$P:$P,
          Transactions!$G:$G,$A163,
          Transactions!$C:$C,"OUT"))</f>
        <v/>
      </c>
      <c r="I163" s="65" t="str">
        <f t="shared" si="12"/>
        <v/>
      </c>
      <c r="J163" s="59" t="str">
        <f t="shared" si="15"/>
        <v/>
      </c>
    </row>
    <row r="164" spans="4:10" ht="22.5" customHeight="1" x14ac:dyDescent="0.25">
      <c r="D164" s="59" t="str">
        <f t="shared" si="11"/>
        <v/>
      </c>
      <c r="E164" s="59" t="str">
        <f t="shared" si="13"/>
        <v/>
      </c>
      <c r="F164" s="59" t="str">
        <f t="shared" si="14"/>
        <v/>
      </c>
      <c r="G164" s="59" t="str">
        <f>IF($A164="","",
   SUMIFS(Transactions!$P:$P,
          Transactions!$G:$G,$A164,
          Transactions!$C:$C,"IN",
          Transactions!$Q:$Q,"Paid"))</f>
        <v/>
      </c>
      <c r="H164" s="59" t="str">
        <f>IF($A164="","",
   SUMIFS(Transactions!$P:$P,
          Transactions!$G:$G,$A164,
          Transactions!$C:$C,"OUT"))</f>
        <v/>
      </c>
      <c r="I164" s="65" t="str">
        <f t="shared" si="12"/>
        <v/>
      </c>
      <c r="J164" s="59" t="str">
        <f t="shared" si="15"/>
        <v/>
      </c>
    </row>
    <row r="165" spans="4:10" ht="22.5" customHeight="1" x14ac:dyDescent="0.25">
      <c r="D165" s="59" t="str">
        <f t="shared" si="11"/>
        <v/>
      </c>
      <c r="E165" s="59" t="str">
        <f t="shared" si="13"/>
        <v/>
      </c>
      <c r="F165" s="59" t="str">
        <f t="shared" si="14"/>
        <v/>
      </c>
      <c r="G165" s="59" t="str">
        <f>IF($A165="","",
   SUMIFS(Transactions!$P:$P,
          Transactions!$G:$G,$A165,
          Transactions!$C:$C,"IN",
          Transactions!$Q:$Q,"Paid"))</f>
        <v/>
      </c>
      <c r="H165" s="59" t="str">
        <f>IF($A165="","",
   SUMIFS(Transactions!$P:$P,
          Transactions!$G:$G,$A165,
          Transactions!$C:$C,"OUT"))</f>
        <v/>
      </c>
      <c r="I165" s="65" t="str">
        <f t="shared" si="12"/>
        <v/>
      </c>
      <c r="J165" s="59" t="str">
        <f t="shared" si="15"/>
        <v/>
      </c>
    </row>
    <row r="166" spans="4:10" ht="22.5" customHeight="1" x14ac:dyDescent="0.25">
      <c r="D166" s="59" t="str">
        <f t="shared" si="11"/>
        <v/>
      </c>
      <c r="E166" s="59" t="str">
        <f t="shared" si="13"/>
        <v/>
      </c>
      <c r="F166" s="59" t="str">
        <f t="shared" si="14"/>
        <v/>
      </c>
      <c r="G166" s="59" t="str">
        <f>IF($A166="","",
   SUMIFS(Transactions!$P:$P,
          Transactions!$G:$G,$A166,
          Transactions!$C:$C,"IN",
          Transactions!$Q:$Q,"Paid"))</f>
        <v/>
      </c>
      <c r="H166" s="59" t="str">
        <f>IF($A166="","",
   SUMIFS(Transactions!$P:$P,
          Transactions!$G:$G,$A166,
          Transactions!$C:$C,"OUT"))</f>
        <v/>
      </c>
      <c r="I166" s="65" t="str">
        <f t="shared" si="12"/>
        <v/>
      </c>
      <c r="J166" s="59" t="str">
        <f t="shared" si="15"/>
        <v/>
      </c>
    </row>
    <row r="167" spans="4:10" ht="22.5" customHeight="1" x14ac:dyDescent="0.25">
      <c r="D167" s="59" t="str">
        <f t="shared" si="11"/>
        <v/>
      </c>
      <c r="E167" s="59" t="str">
        <f t="shared" si="13"/>
        <v/>
      </c>
      <c r="F167" s="59" t="str">
        <f t="shared" si="14"/>
        <v/>
      </c>
      <c r="G167" s="59" t="str">
        <f>IF($A167="","",
   SUMIFS(Transactions!$P:$P,
          Transactions!$G:$G,$A167,
          Transactions!$C:$C,"IN",
          Transactions!$Q:$Q,"Paid"))</f>
        <v/>
      </c>
      <c r="H167" s="59" t="str">
        <f>IF($A167="","",
   SUMIFS(Transactions!$P:$P,
          Transactions!$G:$G,$A167,
          Transactions!$C:$C,"OUT"))</f>
        <v/>
      </c>
      <c r="I167" s="65" t="str">
        <f t="shared" si="12"/>
        <v/>
      </c>
      <c r="J167" s="59" t="str">
        <f t="shared" si="15"/>
        <v/>
      </c>
    </row>
    <row r="168" spans="4:10" ht="22.5" customHeight="1" x14ac:dyDescent="0.25">
      <c r="D168" s="59" t="str">
        <f t="shared" si="11"/>
        <v/>
      </c>
      <c r="E168" s="59" t="str">
        <f t="shared" si="13"/>
        <v/>
      </c>
      <c r="F168" s="59" t="str">
        <f t="shared" si="14"/>
        <v/>
      </c>
      <c r="G168" s="59" t="str">
        <f>IF($A168="","",
   SUMIFS(Transactions!$P:$P,
          Transactions!$G:$G,$A168,
          Transactions!$C:$C,"IN",
          Transactions!$Q:$Q,"Paid"))</f>
        <v/>
      </c>
      <c r="H168" s="59" t="str">
        <f>IF($A168="","",
   SUMIFS(Transactions!$P:$P,
          Transactions!$G:$G,$A168,
          Transactions!$C:$C,"OUT"))</f>
        <v/>
      </c>
      <c r="I168" s="65" t="str">
        <f t="shared" si="12"/>
        <v/>
      </c>
      <c r="J168" s="59" t="str">
        <f t="shared" si="15"/>
        <v/>
      </c>
    </row>
    <row r="169" spans="4:10" ht="22.5" customHeight="1" x14ac:dyDescent="0.25">
      <c r="D169" s="59" t="str">
        <f t="shared" si="11"/>
        <v/>
      </c>
      <c r="E169" s="59" t="str">
        <f t="shared" si="13"/>
        <v/>
      </c>
      <c r="F169" s="59" t="str">
        <f t="shared" si="14"/>
        <v/>
      </c>
      <c r="G169" s="59" t="str">
        <f>IF($A169="","",
   SUMIFS(Transactions!$P:$P,
          Transactions!$G:$G,$A169,
          Transactions!$C:$C,"IN",
          Transactions!$Q:$Q,"Paid"))</f>
        <v/>
      </c>
      <c r="H169" s="59" t="str">
        <f>IF($A169="","",
   SUMIFS(Transactions!$P:$P,
          Transactions!$G:$G,$A169,
          Transactions!$C:$C,"OUT"))</f>
        <v/>
      </c>
      <c r="I169" s="65" t="str">
        <f t="shared" si="12"/>
        <v/>
      </c>
      <c r="J169" s="59" t="str">
        <f t="shared" si="15"/>
        <v/>
      </c>
    </row>
    <row r="170" spans="4:10" ht="22.5" customHeight="1" x14ac:dyDescent="0.25">
      <c r="D170" s="59" t="str">
        <f t="shared" si="11"/>
        <v/>
      </c>
      <c r="E170" s="59" t="str">
        <f t="shared" si="13"/>
        <v/>
      </c>
      <c r="F170" s="59" t="str">
        <f t="shared" si="14"/>
        <v/>
      </c>
      <c r="G170" s="59" t="str">
        <f>IF($A170="","",
   SUMIFS(Transactions!$P:$P,
          Transactions!$G:$G,$A170,
          Transactions!$C:$C,"IN",
          Transactions!$Q:$Q,"Paid"))</f>
        <v/>
      </c>
      <c r="H170" s="59" t="str">
        <f>IF($A170="","",
   SUMIFS(Transactions!$P:$P,
          Transactions!$G:$G,$A170,
          Transactions!$C:$C,"OUT"))</f>
        <v/>
      </c>
      <c r="I170" s="65" t="str">
        <f t="shared" si="12"/>
        <v/>
      </c>
      <c r="J170" s="59" t="str">
        <f t="shared" si="15"/>
        <v/>
      </c>
    </row>
    <row r="171" spans="4:10" ht="22.5" customHeight="1" x14ac:dyDescent="0.25">
      <c r="D171" s="59" t="str">
        <f t="shared" si="11"/>
        <v/>
      </c>
      <c r="E171" s="59" t="str">
        <f t="shared" si="13"/>
        <v/>
      </c>
      <c r="F171" s="59" t="str">
        <f t="shared" si="14"/>
        <v/>
      </c>
      <c r="G171" s="59" t="str">
        <f>IF($A171="","",
   SUMIFS(Transactions!$P:$P,
          Transactions!$G:$G,$A171,
          Transactions!$C:$C,"IN",
          Transactions!$Q:$Q,"Paid"))</f>
        <v/>
      </c>
      <c r="H171" s="59" t="str">
        <f>IF($A171="","",
   SUMIFS(Transactions!$P:$P,
          Transactions!$G:$G,$A171,
          Transactions!$C:$C,"OUT"))</f>
        <v/>
      </c>
      <c r="I171" s="65" t="str">
        <f t="shared" si="12"/>
        <v/>
      </c>
      <c r="J171" s="59" t="str">
        <f t="shared" si="15"/>
        <v/>
      </c>
    </row>
    <row r="172" spans="4:10" ht="22.5" customHeight="1" x14ac:dyDescent="0.25">
      <c r="D172" s="59" t="str">
        <f t="shared" si="11"/>
        <v/>
      </c>
      <c r="E172" s="59" t="str">
        <f t="shared" si="13"/>
        <v/>
      </c>
      <c r="F172" s="59" t="str">
        <f t="shared" si="14"/>
        <v/>
      </c>
      <c r="G172" s="59" t="str">
        <f>IF($A172="","",
   SUMIFS(Transactions!$P:$P,
          Transactions!$G:$G,$A172,
          Transactions!$C:$C,"IN",
          Transactions!$Q:$Q,"Paid"))</f>
        <v/>
      </c>
      <c r="H172" s="59" t="str">
        <f>IF($A172="","",
   SUMIFS(Transactions!$P:$P,
          Transactions!$G:$G,$A172,
          Transactions!$C:$C,"OUT"))</f>
        <v/>
      </c>
      <c r="I172" s="65" t="str">
        <f t="shared" si="12"/>
        <v/>
      </c>
      <c r="J172" s="59" t="str">
        <f t="shared" si="15"/>
        <v/>
      </c>
    </row>
    <row r="173" spans="4:10" ht="22.5" customHeight="1" x14ac:dyDescent="0.25">
      <c r="D173" s="59" t="str">
        <f t="shared" si="11"/>
        <v/>
      </c>
      <c r="E173" s="59" t="str">
        <f t="shared" si="13"/>
        <v/>
      </c>
      <c r="F173" s="59" t="str">
        <f t="shared" si="14"/>
        <v/>
      </c>
      <c r="G173" s="59" t="str">
        <f>IF($A173="","",
   SUMIFS(Transactions!$P:$P,
          Transactions!$G:$G,$A173,
          Transactions!$C:$C,"IN",
          Transactions!$Q:$Q,"Paid"))</f>
        <v/>
      </c>
      <c r="H173" s="59" t="str">
        <f>IF($A173="","",
   SUMIFS(Transactions!$P:$P,
          Transactions!$G:$G,$A173,
          Transactions!$C:$C,"OUT"))</f>
        <v/>
      </c>
      <c r="I173" s="65" t="str">
        <f t="shared" si="12"/>
        <v/>
      </c>
      <c r="J173" s="59" t="str">
        <f t="shared" si="15"/>
        <v/>
      </c>
    </row>
    <row r="174" spans="4:10" ht="22.5" customHeight="1" x14ac:dyDescent="0.25">
      <c r="D174" s="59" t="str">
        <f t="shared" si="11"/>
        <v/>
      </c>
      <c r="E174" s="59" t="str">
        <f t="shared" si="13"/>
        <v/>
      </c>
      <c r="F174" s="59" t="str">
        <f t="shared" si="14"/>
        <v/>
      </c>
      <c r="G174" s="59" t="str">
        <f>IF($A174="","",
   SUMIFS(Transactions!$P:$P,
          Transactions!$G:$G,$A174,
          Transactions!$C:$C,"IN",
          Transactions!$Q:$Q,"Paid"))</f>
        <v/>
      </c>
      <c r="H174" s="59" t="str">
        <f>IF($A174="","",
   SUMIFS(Transactions!$P:$P,
          Transactions!$G:$G,$A174,
          Transactions!$C:$C,"OUT"))</f>
        <v/>
      </c>
      <c r="I174" s="65" t="str">
        <f t="shared" si="12"/>
        <v/>
      </c>
      <c r="J174" s="59" t="str">
        <f t="shared" si="15"/>
        <v/>
      </c>
    </row>
    <row r="175" spans="4:10" ht="22.5" customHeight="1" x14ac:dyDescent="0.25">
      <c r="D175" s="59" t="str">
        <f t="shared" si="11"/>
        <v/>
      </c>
      <c r="E175" s="59" t="str">
        <f t="shared" si="13"/>
        <v/>
      </c>
      <c r="F175" s="59" t="str">
        <f t="shared" si="14"/>
        <v/>
      </c>
      <c r="G175" s="59" t="str">
        <f>IF($A175="","",
   SUMIFS(Transactions!$P:$P,
          Transactions!$G:$G,$A175,
          Transactions!$C:$C,"IN",
          Transactions!$Q:$Q,"Paid"))</f>
        <v/>
      </c>
      <c r="H175" s="59" t="str">
        <f>IF($A175="","",
   SUMIFS(Transactions!$P:$P,
          Transactions!$G:$G,$A175,
          Transactions!$C:$C,"OUT"))</f>
        <v/>
      </c>
      <c r="I175" s="65" t="str">
        <f t="shared" si="12"/>
        <v/>
      </c>
      <c r="J175" s="59" t="str">
        <f t="shared" si="15"/>
        <v/>
      </c>
    </row>
    <row r="176" spans="4:10" ht="22.5" customHeight="1" x14ac:dyDescent="0.25">
      <c r="D176" s="59" t="str">
        <f t="shared" si="11"/>
        <v/>
      </c>
      <c r="E176" s="59" t="str">
        <f t="shared" si="13"/>
        <v/>
      </c>
      <c r="F176" s="59" t="str">
        <f t="shared" si="14"/>
        <v/>
      </c>
      <c r="G176" s="59" t="str">
        <f>IF($A176="","",
   SUMIFS(Transactions!$P:$P,
          Transactions!$G:$G,$A176,
          Transactions!$C:$C,"IN",
          Transactions!$Q:$Q,"Paid"))</f>
        <v/>
      </c>
      <c r="H176" s="59" t="str">
        <f>IF($A176="","",
   SUMIFS(Transactions!$P:$P,
          Transactions!$G:$G,$A176,
          Transactions!$C:$C,"OUT"))</f>
        <v/>
      </c>
      <c r="I176" s="65" t="str">
        <f t="shared" si="12"/>
        <v/>
      </c>
      <c r="J176" s="59" t="str">
        <f t="shared" si="15"/>
        <v/>
      </c>
    </row>
    <row r="177" spans="4:10" ht="22.5" customHeight="1" x14ac:dyDescent="0.25">
      <c r="D177" s="59" t="str">
        <f t="shared" si="11"/>
        <v/>
      </c>
      <c r="E177" s="59" t="str">
        <f t="shared" si="13"/>
        <v/>
      </c>
      <c r="F177" s="59" t="str">
        <f t="shared" si="14"/>
        <v/>
      </c>
      <c r="G177" s="59" t="str">
        <f>IF($A177="","",
   SUMIFS(Transactions!$P:$P,
          Transactions!$G:$G,$A177,
          Transactions!$C:$C,"IN",
          Transactions!$Q:$Q,"Paid"))</f>
        <v/>
      </c>
      <c r="H177" s="59" t="str">
        <f>IF($A177="","",
   SUMIFS(Transactions!$P:$P,
          Transactions!$G:$G,$A177,
          Transactions!$C:$C,"OUT"))</f>
        <v/>
      </c>
      <c r="I177" s="65" t="str">
        <f t="shared" si="12"/>
        <v/>
      </c>
      <c r="J177" s="59" t="str">
        <f t="shared" si="15"/>
        <v/>
      </c>
    </row>
    <row r="178" spans="4:10" ht="22.5" customHeight="1" x14ac:dyDescent="0.25">
      <c r="D178" s="59" t="str">
        <f t="shared" si="11"/>
        <v/>
      </c>
      <c r="E178" s="59" t="str">
        <f t="shared" si="13"/>
        <v/>
      </c>
      <c r="F178" s="59" t="str">
        <f t="shared" si="14"/>
        <v/>
      </c>
      <c r="G178" s="59" t="str">
        <f>IF($A178="","",
   SUMIFS(Transactions!$P:$P,
          Transactions!$G:$G,$A178,
          Transactions!$C:$C,"IN",
          Transactions!$Q:$Q,"Paid"))</f>
        <v/>
      </c>
      <c r="H178" s="59" t="str">
        <f>IF($A178="","",
   SUMIFS(Transactions!$P:$P,
          Transactions!$G:$G,$A178,
          Transactions!$C:$C,"OUT"))</f>
        <v/>
      </c>
      <c r="I178" s="65" t="str">
        <f t="shared" si="12"/>
        <v/>
      </c>
      <c r="J178" s="59" t="str">
        <f t="shared" si="15"/>
        <v/>
      </c>
    </row>
    <row r="179" spans="4:10" ht="22.5" customHeight="1" x14ac:dyDescent="0.25">
      <c r="D179" s="59" t="str">
        <f t="shared" si="11"/>
        <v/>
      </c>
      <c r="E179" s="59" t="str">
        <f t="shared" si="13"/>
        <v/>
      </c>
      <c r="F179" s="59" t="str">
        <f t="shared" si="14"/>
        <v/>
      </c>
      <c r="G179" s="59" t="str">
        <f>IF($A179="","",
   SUMIFS(Transactions!$P:$P,
          Transactions!$G:$G,$A179,
          Transactions!$C:$C,"IN",
          Transactions!$Q:$Q,"Paid"))</f>
        <v/>
      </c>
      <c r="H179" s="59" t="str">
        <f>IF($A179="","",
   SUMIFS(Transactions!$P:$P,
          Transactions!$G:$G,$A179,
          Transactions!$C:$C,"OUT"))</f>
        <v/>
      </c>
      <c r="I179" s="65" t="str">
        <f t="shared" si="12"/>
        <v/>
      </c>
      <c r="J179" s="59" t="str">
        <f t="shared" si="15"/>
        <v/>
      </c>
    </row>
    <row r="180" spans="4:10" ht="22.5" customHeight="1" x14ac:dyDescent="0.25">
      <c r="D180" s="59" t="str">
        <f t="shared" si="11"/>
        <v/>
      </c>
      <c r="E180" s="59" t="str">
        <f t="shared" si="13"/>
        <v/>
      </c>
      <c r="F180" s="59" t="str">
        <f t="shared" si="14"/>
        <v/>
      </c>
      <c r="G180" s="59" t="str">
        <f>IF($A180="","",
   SUMIFS(Transactions!$P:$P,
          Transactions!$G:$G,$A180,
          Transactions!$C:$C,"IN",
          Transactions!$Q:$Q,"Paid"))</f>
        <v/>
      </c>
      <c r="H180" s="59" t="str">
        <f>IF($A180="","",
   SUMIFS(Transactions!$P:$P,
          Transactions!$G:$G,$A180,
          Transactions!$C:$C,"OUT"))</f>
        <v/>
      </c>
      <c r="I180" s="65" t="str">
        <f t="shared" si="12"/>
        <v/>
      </c>
      <c r="J180" s="59" t="str">
        <f t="shared" si="15"/>
        <v/>
      </c>
    </row>
    <row r="181" spans="4:10" ht="22.5" customHeight="1" x14ac:dyDescent="0.25">
      <c r="D181" s="59" t="str">
        <f t="shared" si="11"/>
        <v/>
      </c>
      <c r="E181" s="59" t="str">
        <f t="shared" si="13"/>
        <v/>
      </c>
      <c r="F181" s="59" t="str">
        <f t="shared" si="14"/>
        <v/>
      </c>
      <c r="G181" s="59" t="str">
        <f>IF($A181="","",
   SUMIFS(Transactions!$P:$P,
          Transactions!$G:$G,$A181,
          Transactions!$C:$C,"IN",
          Transactions!$Q:$Q,"Paid"))</f>
        <v/>
      </c>
      <c r="H181" s="59" t="str">
        <f>IF($A181="","",
   SUMIFS(Transactions!$P:$P,
          Transactions!$G:$G,$A181,
          Transactions!$C:$C,"OUT"))</f>
        <v/>
      </c>
      <c r="I181" s="65" t="str">
        <f t="shared" si="12"/>
        <v/>
      </c>
      <c r="J181" s="59" t="str">
        <f t="shared" si="15"/>
        <v/>
      </c>
    </row>
    <row r="182" spans="4:10" ht="22.5" customHeight="1" x14ac:dyDescent="0.25">
      <c r="D182" s="59" t="str">
        <f t="shared" si="11"/>
        <v/>
      </c>
      <c r="E182" s="59" t="str">
        <f t="shared" si="13"/>
        <v/>
      </c>
      <c r="F182" s="59" t="str">
        <f t="shared" si="14"/>
        <v/>
      </c>
      <c r="G182" s="59" t="str">
        <f>IF($A182="","",
   SUMIFS(Transactions!$P:$P,
          Transactions!$G:$G,$A182,
          Transactions!$C:$C,"IN",
          Transactions!$Q:$Q,"Paid"))</f>
        <v/>
      </c>
      <c r="H182" s="59" t="str">
        <f>IF($A182="","",
   SUMIFS(Transactions!$P:$P,
          Transactions!$G:$G,$A182,
          Transactions!$C:$C,"OUT"))</f>
        <v/>
      </c>
      <c r="I182" s="65" t="str">
        <f t="shared" si="12"/>
        <v/>
      </c>
      <c r="J182" s="59" t="str">
        <f t="shared" si="15"/>
        <v/>
      </c>
    </row>
    <row r="183" spans="4:10" ht="22.5" customHeight="1" x14ac:dyDescent="0.25">
      <c r="D183" s="59" t="str">
        <f t="shared" si="11"/>
        <v/>
      </c>
      <c r="E183" s="59" t="str">
        <f t="shared" si="13"/>
        <v/>
      </c>
      <c r="F183" s="59" t="str">
        <f t="shared" si="14"/>
        <v/>
      </c>
      <c r="G183" s="59" t="str">
        <f>IF($A183="","",
   SUMIFS(Transactions!$P:$P,
          Transactions!$G:$G,$A183,
          Transactions!$C:$C,"IN",
          Transactions!$Q:$Q,"Paid"))</f>
        <v/>
      </c>
      <c r="H183" s="59" t="str">
        <f>IF($A183="","",
   SUMIFS(Transactions!$P:$P,
          Transactions!$G:$G,$A183,
          Transactions!$C:$C,"OUT"))</f>
        <v/>
      </c>
      <c r="I183" s="65" t="str">
        <f t="shared" si="12"/>
        <v/>
      </c>
      <c r="J183" s="59" t="str">
        <f t="shared" si="15"/>
        <v/>
      </c>
    </row>
    <row r="184" spans="4:10" ht="22.5" customHeight="1" x14ac:dyDescent="0.25">
      <c r="D184" s="59" t="str">
        <f t="shared" si="11"/>
        <v/>
      </c>
      <c r="E184" s="59" t="str">
        <f t="shared" si="13"/>
        <v/>
      </c>
      <c r="F184" s="59" t="str">
        <f t="shared" si="14"/>
        <v/>
      </c>
      <c r="G184" s="59" t="str">
        <f>IF($A184="","",
   SUMIFS(Transactions!$P:$P,
          Transactions!$G:$G,$A184,
          Transactions!$C:$C,"IN",
          Transactions!$Q:$Q,"Paid"))</f>
        <v/>
      </c>
      <c r="H184" s="59" t="str">
        <f>IF($A184="","",
   SUMIFS(Transactions!$P:$P,
          Transactions!$G:$G,$A184,
          Transactions!$C:$C,"OUT"))</f>
        <v/>
      </c>
      <c r="I184" s="65" t="str">
        <f t="shared" si="12"/>
        <v/>
      </c>
      <c r="J184" s="59" t="str">
        <f t="shared" si="15"/>
        <v/>
      </c>
    </row>
    <row r="185" spans="4:10" ht="22.5" customHeight="1" x14ac:dyDescent="0.25">
      <c r="D185" s="59" t="str">
        <f t="shared" si="11"/>
        <v/>
      </c>
      <c r="E185" s="59" t="str">
        <f t="shared" si="13"/>
        <v/>
      </c>
      <c r="F185" s="59" t="str">
        <f t="shared" si="14"/>
        <v/>
      </c>
      <c r="G185" s="59" t="str">
        <f>IF($A185="","",
   SUMIFS(Transactions!$P:$P,
          Transactions!$G:$G,$A185,
          Transactions!$C:$C,"IN",
          Transactions!$Q:$Q,"Paid"))</f>
        <v/>
      </c>
      <c r="H185" s="59" t="str">
        <f>IF($A185="","",
   SUMIFS(Transactions!$P:$P,
          Transactions!$G:$G,$A185,
          Transactions!$C:$C,"OUT"))</f>
        <v/>
      </c>
      <c r="I185" s="65" t="str">
        <f t="shared" si="12"/>
        <v/>
      </c>
      <c r="J185" s="59" t="str">
        <f t="shared" si="15"/>
        <v/>
      </c>
    </row>
    <row r="186" spans="4:10" ht="22.5" customHeight="1" x14ac:dyDescent="0.25">
      <c r="D186" s="59" t="str">
        <f t="shared" si="11"/>
        <v/>
      </c>
      <c r="E186" s="59" t="str">
        <f t="shared" si="13"/>
        <v/>
      </c>
      <c r="F186" s="59" t="str">
        <f t="shared" si="14"/>
        <v/>
      </c>
      <c r="G186" s="59" t="str">
        <f>IF($A186="","",
   SUMIFS(Transactions!$P:$P,
          Transactions!$G:$G,$A186,
          Transactions!$C:$C,"IN",
          Transactions!$Q:$Q,"Paid"))</f>
        <v/>
      </c>
      <c r="H186" s="59" t="str">
        <f>IF($A186="","",
   SUMIFS(Transactions!$P:$P,
          Transactions!$G:$G,$A186,
          Transactions!$C:$C,"OUT"))</f>
        <v/>
      </c>
      <c r="I186" s="65" t="str">
        <f t="shared" si="12"/>
        <v/>
      </c>
      <c r="J186" s="59" t="str">
        <f t="shared" si="15"/>
        <v/>
      </c>
    </row>
    <row r="187" spans="4:10" ht="22.5" customHeight="1" x14ac:dyDescent="0.25">
      <c r="D187" s="59" t="str">
        <f t="shared" si="11"/>
        <v/>
      </c>
      <c r="E187" s="59" t="str">
        <f t="shared" si="13"/>
        <v/>
      </c>
      <c r="F187" s="59" t="str">
        <f t="shared" si="14"/>
        <v/>
      </c>
      <c r="G187" s="59" t="str">
        <f>IF($A187="","",
   SUMIFS(Transactions!$P:$P,
          Transactions!$G:$G,$A187,
          Transactions!$C:$C,"IN",
          Transactions!$Q:$Q,"Paid"))</f>
        <v/>
      </c>
      <c r="H187" s="59" t="str">
        <f>IF($A187="","",
   SUMIFS(Transactions!$P:$P,
          Transactions!$G:$G,$A187,
          Transactions!$C:$C,"OUT"))</f>
        <v/>
      </c>
      <c r="I187" s="65" t="str">
        <f t="shared" si="12"/>
        <v/>
      </c>
      <c r="J187" s="59" t="str">
        <f t="shared" si="15"/>
        <v/>
      </c>
    </row>
    <row r="188" spans="4:10" ht="22.5" customHeight="1" x14ac:dyDescent="0.25">
      <c r="D188" s="59" t="str">
        <f t="shared" si="11"/>
        <v/>
      </c>
      <c r="E188" s="59" t="str">
        <f t="shared" si="13"/>
        <v/>
      </c>
      <c r="F188" s="59" t="str">
        <f t="shared" si="14"/>
        <v/>
      </c>
      <c r="G188" s="59" t="str">
        <f>IF($A188="","",
   SUMIFS(Transactions!$P:$P,
          Transactions!$G:$G,$A188,
          Transactions!$C:$C,"IN",
          Transactions!$Q:$Q,"Paid"))</f>
        <v/>
      </c>
      <c r="H188" s="59" t="str">
        <f>IF($A188="","",
   SUMIFS(Transactions!$P:$P,
          Transactions!$G:$G,$A188,
          Transactions!$C:$C,"OUT"))</f>
        <v/>
      </c>
      <c r="I188" s="65" t="str">
        <f t="shared" si="12"/>
        <v/>
      </c>
      <c r="J188" s="59" t="str">
        <f t="shared" si="15"/>
        <v/>
      </c>
    </row>
    <row r="189" spans="4:10" ht="22.5" customHeight="1" x14ac:dyDescent="0.25">
      <c r="D189" s="59" t="str">
        <f t="shared" si="11"/>
        <v/>
      </c>
      <c r="E189" s="59" t="str">
        <f t="shared" si="13"/>
        <v/>
      </c>
      <c r="F189" s="59" t="str">
        <f t="shared" si="14"/>
        <v/>
      </c>
      <c r="G189" s="59" t="str">
        <f>IF($A189="","",
   SUMIFS(Transactions!$P:$P,
          Transactions!$G:$G,$A189,
          Transactions!$C:$C,"IN",
          Transactions!$Q:$Q,"Paid"))</f>
        <v/>
      </c>
      <c r="H189" s="59" t="str">
        <f>IF($A189="","",
   SUMIFS(Transactions!$P:$P,
          Transactions!$G:$G,$A189,
          Transactions!$C:$C,"OUT"))</f>
        <v/>
      </c>
      <c r="I189" s="65" t="str">
        <f t="shared" si="12"/>
        <v/>
      </c>
      <c r="J189" s="59" t="str">
        <f t="shared" si="15"/>
        <v/>
      </c>
    </row>
    <row r="190" spans="4:10" ht="22.5" customHeight="1" x14ac:dyDescent="0.25">
      <c r="D190" s="59" t="str">
        <f t="shared" si="11"/>
        <v/>
      </c>
      <c r="E190" s="59" t="str">
        <f t="shared" si="13"/>
        <v/>
      </c>
      <c r="F190" s="59" t="str">
        <f t="shared" si="14"/>
        <v/>
      </c>
      <c r="G190" s="59" t="str">
        <f>IF($A190="","",
   SUMIFS(Transactions!$P:$P,
          Transactions!$G:$G,$A190,
          Transactions!$C:$C,"IN",
          Transactions!$Q:$Q,"Paid"))</f>
        <v/>
      </c>
      <c r="H190" s="59" t="str">
        <f>IF($A190="","",
   SUMIFS(Transactions!$P:$P,
          Transactions!$G:$G,$A190,
          Transactions!$C:$C,"OUT"))</f>
        <v/>
      </c>
      <c r="I190" s="65" t="str">
        <f t="shared" si="12"/>
        <v/>
      </c>
      <c r="J190" s="59" t="str">
        <f t="shared" si="15"/>
        <v/>
      </c>
    </row>
    <row r="191" spans="4:10" ht="22.5" customHeight="1" x14ac:dyDescent="0.25">
      <c r="D191" s="59" t="str">
        <f t="shared" si="11"/>
        <v/>
      </c>
      <c r="E191" s="59" t="str">
        <f t="shared" si="13"/>
        <v/>
      </c>
      <c r="F191" s="59" t="str">
        <f t="shared" si="14"/>
        <v/>
      </c>
      <c r="G191" s="59" t="str">
        <f>IF($A191="","",
   SUMIFS(Transactions!$P:$P,
          Transactions!$G:$G,$A191,
          Transactions!$C:$C,"IN",
          Transactions!$Q:$Q,"Paid"))</f>
        <v/>
      </c>
      <c r="H191" s="59" t="str">
        <f>IF($A191="","",
   SUMIFS(Transactions!$P:$P,
          Transactions!$G:$G,$A191,
          Transactions!$C:$C,"OUT"))</f>
        <v/>
      </c>
      <c r="I191" s="65" t="str">
        <f t="shared" si="12"/>
        <v/>
      </c>
      <c r="J191" s="59" t="str">
        <f t="shared" si="15"/>
        <v/>
      </c>
    </row>
    <row r="192" spans="4:10" ht="22.5" customHeight="1" x14ac:dyDescent="0.25">
      <c r="D192" s="59" t="str">
        <f t="shared" si="11"/>
        <v/>
      </c>
      <c r="E192" s="59" t="str">
        <f t="shared" si="13"/>
        <v/>
      </c>
      <c r="F192" s="59" t="str">
        <f t="shared" si="14"/>
        <v/>
      </c>
      <c r="G192" s="59" t="str">
        <f>IF($A192="","",
   SUMIFS(Transactions!$P:$P,
          Transactions!$G:$G,$A192,
          Transactions!$C:$C,"IN",
          Transactions!$Q:$Q,"Paid"))</f>
        <v/>
      </c>
      <c r="H192" s="59" t="str">
        <f>IF($A192="","",
   SUMIFS(Transactions!$P:$P,
          Transactions!$G:$G,$A192,
          Transactions!$C:$C,"OUT"))</f>
        <v/>
      </c>
      <c r="I192" s="65" t="str">
        <f t="shared" si="12"/>
        <v/>
      </c>
      <c r="J192" s="59" t="str">
        <f t="shared" si="15"/>
        <v/>
      </c>
    </row>
    <row r="193" spans="4:10" ht="22.5" customHeight="1" x14ac:dyDescent="0.25">
      <c r="D193" s="59" t="str">
        <f t="shared" si="11"/>
        <v/>
      </c>
      <c r="E193" s="59" t="str">
        <f t="shared" si="13"/>
        <v/>
      </c>
      <c r="F193" s="59" t="str">
        <f t="shared" si="14"/>
        <v/>
      </c>
      <c r="G193" s="59" t="str">
        <f>IF($A193="","",
   SUMIFS(Transactions!$P:$P,
          Transactions!$G:$G,$A193,
          Transactions!$C:$C,"IN",
          Transactions!$Q:$Q,"Paid"))</f>
        <v/>
      </c>
      <c r="H193" s="59" t="str">
        <f>IF($A193="","",
   SUMIFS(Transactions!$P:$P,
          Transactions!$G:$G,$A193,
          Transactions!$C:$C,"OUT"))</f>
        <v/>
      </c>
      <c r="I193" s="65" t="str">
        <f t="shared" si="12"/>
        <v/>
      </c>
      <c r="J193" s="59" t="str">
        <f t="shared" si="15"/>
        <v/>
      </c>
    </row>
    <row r="194" spans="4:10" ht="22.5" customHeight="1" x14ac:dyDescent="0.25">
      <c r="D194" s="59" t="str">
        <f t="shared" si="11"/>
        <v/>
      </c>
      <c r="E194" s="59" t="str">
        <f t="shared" si="13"/>
        <v/>
      </c>
      <c r="F194" s="59" t="str">
        <f t="shared" si="14"/>
        <v/>
      </c>
      <c r="G194" s="59" t="str">
        <f>IF($A194="","",
   SUMIFS(Transactions!$P:$P,
          Transactions!$G:$G,$A194,
          Transactions!$C:$C,"IN",
          Transactions!$Q:$Q,"Paid"))</f>
        <v/>
      </c>
      <c r="H194" s="59" t="str">
        <f>IF($A194="","",
   SUMIFS(Transactions!$P:$P,
          Transactions!$G:$G,$A194,
          Transactions!$C:$C,"OUT"))</f>
        <v/>
      </c>
      <c r="I194" s="65" t="str">
        <f t="shared" si="12"/>
        <v/>
      </c>
      <c r="J194" s="59" t="str">
        <f t="shared" si="15"/>
        <v/>
      </c>
    </row>
    <row r="195" spans="4:10" ht="22.5" customHeight="1" x14ac:dyDescent="0.25">
      <c r="D195" s="59" t="str">
        <f t="shared" ref="D195:D258" si="16">IF(C195="","",ROUND(C195*0.15,2))</f>
        <v/>
      </c>
      <c r="E195" s="59" t="str">
        <f t="shared" si="13"/>
        <v/>
      </c>
      <c r="F195" s="59" t="str">
        <f t="shared" si="14"/>
        <v/>
      </c>
      <c r="G195" s="59" t="str">
        <f>IF($A195="","",
   SUMIFS(Transactions!$P:$P,
          Transactions!$G:$G,$A195,
          Transactions!$C:$C,"IN",
          Transactions!$Q:$Q,"Paid"))</f>
        <v/>
      </c>
      <c r="H195" s="59" t="str">
        <f>IF($A195="","",
   SUMIFS(Transactions!$P:$P,
          Transactions!$G:$G,$A195,
          Transactions!$C:$C,"OUT"))</f>
        <v/>
      </c>
      <c r="I195" s="65" t="str">
        <f t="shared" ref="I195:I258" si="17">IF(C195="","",C195-H195)</f>
        <v/>
      </c>
      <c r="J195" s="59" t="str">
        <f t="shared" si="15"/>
        <v/>
      </c>
    </row>
    <row r="196" spans="4:10" ht="22.5" customHeight="1" x14ac:dyDescent="0.25">
      <c r="D196" s="59" t="str">
        <f t="shared" si="16"/>
        <v/>
      </c>
      <c r="E196" s="59" t="str">
        <f t="shared" ref="E196:E259" si="18">IF(C196="","",C196+D196)</f>
        <v/>
      </c>
      <c r="F196" s="59" t="str">
        <f t="shared" ref="F196:F259" si="19">IF(E196="","",E196*0.5)</f>
        <v/>
      </c>
      <c r="G196" s="59" t="str">
        <f>IF($A196="","",
   SUMIFS(Transactions!$P:$P,
          Transactions!$G:$G,$A196,
          Transactions!$C:$C,"IN",
          Transactions!$Q:$Q,"Paid"))</f>
        <v/>
      </c>
      <c r="H196" s="59" t="str">
        <f>IF($A196="","",
   SUMIFS(Transactions!$P:$P,
          Transactions!$G:$G,$A196,
          Transactions!$C:$C,"OUT"))</f>
        <v/>
      </c>
      <c r="I196" s="65" t="str">
        <f t="shared" si="17"/>
        <v/>
      </c>
      <c r="J196" s="59" t="str">
        <f t="shared" ref="J196:J259" si="20">IF(E196="","",E196-G196)</f>
        <v/>
      </c>
    </row>
    <row r="197" spans="4:10" ht="22.5" customHeight="1" x14ac:dyDescent="0.25">
      <c r="D197" s="59" t="str">
        <f t="shared" si="16"/>
        <v/>
      </c>
      <c r="E197" s="59" t="str">
        <f t="shared" si="18"/>
        <v/>
      </c>
      <c r="F197" s="59" t="str">
        <f t="shared" si="19"/>
        <v/>
      </c>
      <c r="G197" s="59" t="str">
        <f>IF($A197="","",
   SUMIFS(Transactions!$P:$P,
          Transactions!$G:$G,$A197,
          Transactions!$C:$C,"IN",
          Transactions!$Q:$Q,"Paid"))</f>
        <v/>
      </c>
      <c r="H197" s="59" t="str">
        <f>IF($A197="","",
   SUMIFS(Transactions!$P:$P,
          Transactions!$G:$G,$A197,
          Transactions!$C:$C,"OUT"))</f>
        <v/>
      </c>
      <c r="I197" s="65" t="str">
        <f t="shared" si="17"/>
        <v/>
      </c>
      <c r="J197" s="59" t="str">
        <f t="shared" si="20"/>
        <v/>
      </c>
    </row>
    <row r="198" spans="4:10" ht="22.5" customHeight="1" x14ac:dyDescent="0.25">
      <c r="D198" s="59" t="str">
        <f t="shared" si="16"/>
        <v/>
      </c>
      <c r="E198" s="59" t="str">
        <f t="shared" si="18"/>
        <v/>
      </c>
      <c r="F198" s="59" t="str">
        <f t="shared" si="19"/>
        <v/>
      </c>
      <c r="G198" s="59" t="str">
        <f>IF($A198="","",
   SUMIFS(Transactions!$P:$P,
          Transactions!$G:$G,$A198,
          Transactions!$C:$C,"IN",
          Transactions!$Q:$Q,"Paid"))</f>
        <v/>
      </c>
      <c r="H198" s="59" t="str">
        <f>IF($A198="","",
   SUMIFS(Transactions!$P:$P,
          Transactions!$G:$G,$A198,
          Transactions!$C:$C,"OUT"))</f>
        <v/>
      </c>
      <c r="I198" s="65" t="str">
        <f t="shared" si="17"/>
        <v/>
      </c>
      <c r="J198" s="59" t="str">
        <f t="shared" si="20"/>
        <v/>
      </c>
    </row>
    <row r="199" spans="4:10" ht="22.5" customHeight="1" x14ac:dyDescent="0.25">
      <c r="D199" s="59" t="str">
        <f t="shared" si="16"/>
        <v/>
      </c>
      <c r="E199" s="59" t="str">
        <f t="shared" si="18"/>
        <v/>
      </c>
      <c r="F199" s="59" t="str">
        <f t="shared" si="19"/>
        <v/>
      </c>
      <c r="G199" s="59" t="str">
        <f>IF($A199="","",
   SUMIFS(Transactions!$P:$P,
          Transactions!$G:$G,$A199,
          Transactions!$C:$C,"IN",
          Transactions!$Q:$Q,"Paid"))</f>
        <v/>
      </c>
      <c r="H199" s="59" t="str">
        <f>IF($A199="","",
   SUMIFS(Transactions!$P:$P,
          Transactions!$G:$G,$A199,
          Transactions!$C:$C,"OUT"))</f>
        <v/>
      </c>
      <c r="I199" s="65" t="str">
        <f t="shared" si="17"/>
        <v/>
      </c>
      <c r="J199" s="59" t="str">
        <f t="shared" si="20"/>
        <v/>
      </c>
    </row>
    <row r="200" spans="4:10" ht="22.5" customHeight="1" x14ac:dyDescent="0.25">
      <c r="D200" s="59" t="str">
        <f t="shared" si="16"/>
        <v/>
      </c>
      <c r="E200" s="59" t="str">
        <f t="shared" si="18"/>
        <v/>
      </c>
      <c r="F200" s="59" t="str">
        <f t="shared" si="19"/>
        <v/>
      </c>
      <c r="G200" s="59" t="str">
        <f>IF($A200="","",
   SUMIFS(Transactions!$P:$P,
          Transactions!$G:$G,$A200,
          Transactions!$C:$C,"IN",
          Transactions!$Q:$Q,"Paid"))</f>
        <v/>
      </c>
      <c r="H200" s="59" t="str">
        <f>IF($A200="","",
   SUMIFS(Transactions!$P:$P,
          Transactions!$G:$G,$A200,
          Transactions!$C:$C,"OUT"))</f>
        <v/>
      </c>
      <c r="I200" s="65" t="str">
        <f t="shared" si="17"/>
        <v/>
      </c>
      <c r="J200" s="59" t="str">
        <f t="shared" si="20"/>
        <v/>
      </c>
    </row>
    <row r="201" spans="4:10" ht="22.5" customHeight="1" x14ac:dyDescent="0.25">
      <c r="D201" s="59" t="str">
        <f t="shared" si="16"/>
        <v/>
      </c>
      <c r="E201" s="59" t="str">
        <f t="shared" si="18"/>
        <v/>
      </c>
      <c r="F201" s="59" t="str">
        <f t="shared" si="19"/>
        <v/>
      </c>
      <c r="G201" s="59" t="str">
        <f>IF($A201="","",
   SUMIFS(Transactions!$P:$P,
          Transactions!$G:$G,$A201,
          Transactions!$C:$C,"IN",
          Transactions!$Q:$Q,"Paid"))</f>
        <v/>
      </c>
      <c r="H201" s="59" t="str">
        <f>IF($A201="","",
   SUMIFS(Transactions!$P:$P,
          Transactions!$G:$G,$A201,
          Transactions!$C:$C,"OUT"))</f>
        <v/>
      </c>
      <c r="I201" s="65" t="str">
        <f t="shared" si="17"/>
        <v/>
      </c>
      <c r="J201" s="59" t="str">
        <f t="shared" si="20"/>
        <v/>
      </c>
    </row>
    <row r="202" spans="4:10" ht="22.5" customHeight="1" x14ac:dyDescent="0.25">
      <c r="D202" s="59" t="str">
        <f t="shared" si="16"/>
        <v/>
      </c>
      <c r="E202" s="59" t="str">
        <f t="shared" si="18"/>
        <v/>
      </c>
      <c r="F202" s="59" t="str">
        <f t="shared" si="19"/>
        <v/>
      </c>
      <c r="G202" s="59" t="str">
        <f>IF($A202="","",
   SUMIFS(Transactions!$P:$P,
          Transactions!$G:$G,$A202,
          Transactions!$C:$C,"IN",
          Transactions!$Q:$Q,"Paid"))</f>
        <v/>
      </c>
      <c r="H202" s="59" t="str">
        <f>IF($A202="","",
   SUMIFS(Transactions!$P:$P,
          Transactions!$G:$G,$A202,
          Transactions!$C:$C,"OUT"))</f>
        <v/>
      </c>
      <c r="I202" s="65" t="str">
        <f t="shared" si="17"/>
        <v/>
      </c>
      <c r="J202" s="59" t="str">
        <f t="shared" si="20"/>
        <v/>
      </c>
    </row>
    <row r="203" spans="4:10" ht="22.5" customHeight="1" x14ac:dyDescent="0.25">
      <c r="D203" s="59" t="str">
        <f t="shared" si="16"/>
        <v/>
      </c>
      <c r="E203" s="59" t="str">
        <f t="shared" si="18"/>
        <v/>
      </c>
      <c r="F203" s="59" t="str">
        <f t="shared" si="19"/>
        <v/>
      </c>
      <c r="G203" s="59" t="str">
        <f>IF($A203="","",
   SUMIFS(Transactions!$P:$P,
          Transactions!$G:$G,$A203,
          Transactions!$C:$C,"IN",
          Transactions!$Q:$Q,"Paid"))</f>
        <v/>
      </c>
      <c r="H203" s="59" t="str">
        <f>IF($A203="","",
   SUMIFS(Transactions!$P:$P,
          Transactions!$G:$G,$A203,
          Transactions!$C:$C,"OUT"))</f>
        <v/>
      </c>
      <c r="I203" s="65" t="str">
        <f t="shared" si="17"/>
        <v/>
      </c>
      <c r="J203" s="59" t="str">
        <f t="shared" si="20"/>
        <v/>
      </c>
    </row>
    <row r="204" spans="4:10" ht="22.5" customHeight="1" x14ac:dyDescent="0.25">
      <c r="D204" s="59" t="str">
        <f t="shared" si="16"/>
        <v/>
      </c>
      <c r="E204" s="59" t="str">
        <f t="shared" si="18"/>
        <v/>
      </c>
      <c r="F204" s="59" t="str">
        <f t="shared" si="19"/>
        <v/>
      </c>
      <c r="G204" s="59" t="str">
        <f>IF($A204="","",
   SUMIFS(Transactions!$P:$P,
          Transactions!$G:$G,$A204,
          Transactions!$C:$C,"IN",
          Transactions!$Q:$Q,"Paid"))</f>
        <v/>
      </c>
      <c r="H204" s="59" t="str">
        <f>IF($A204="","",
   SUMIFS(Transactions!$P:$P,
          Transactions!$G:$G,$A204,
          Transactions!$C:$C,"OUT"))</f>
        <v/>
      </c>
      <c r="I204" s="65" t="str">
        <f t="shared" si="17"/>
        <v/>
      </c>
      <c r="J204" s="59" t="str">
        <f t="shared" si="20"/>
        <v/>
      </c>
    </row>
    <row r="205" spans="4:10" ht="22.5" customHeight="1" x14ac:dyDescent="0.25">
      <c r="D205" s="59" t="str">
        <f t="shared" si="16"/>
        <v/>
      </c>
      <c r="E205" s="59" t="str">
        <f t="shared" si="18"/>
        <v/>
      </c>
      <c r="F205" s="59" t="str">
        <f t="shared" si="19"/>
        <v/>
      </c>
      <c r="G205" s="59" t="str">
        <f>IF($A205="","",
   SUMIFS(Transactions!$P:$P,
          Transactions!$G:$G,$A205,
          Transactions!$C:$C,"IN",
          Transactions!$Q:$Q,"Paid"))</f>
        <v/>
      </c>
      <c r="H205" s="59" t="str">
        <f>IF($A205="","",
   SUMIFS(Transactions!$P:$P,
          Transactions!$G:$G,$A205,
          Transactions!$C:$C,"OUT"))</f>
        <v/>
      </c>
      <c r="I205" s="65" t="str">
        <f t="shared" si="17"/>
        <v/>
      </c>
      <c r="J205" s="59" t="str">
        <f t="shared" si="20"/>
        <v/>
      </c>
    </row>
    <row r="206" spans="4:10" ht="22.5" customHeight="1" x14ac:dyDescent="0.25">
      <c r="D206" s="59" t="str">
        <f t="shared" si="16"/>
        <v/>
      </c>
      <c r="E206" s="59" t="str">
        <f t="shared" si="18"/>
        <v/>
      </c>
      <c r="F206" s="59" t="str">
        <f t="shared" si="19"/>
        <v/>
      </c>
      <c r="G206" s="59" t="str">
        <f>IF($A206="","",
   SUMIFS(Transactions!$P:$P,
          Transactions!$G:$G,$A206,
          Transactions!$C:$C,"IN",
          Transactions!$Q:$Q,"Paid"))</f>
        <v/>
      </c>
      <c r="H206" s="59" t="str">
        <f>IF($A206="","",
   SUMIFS(Transactions!$P:$P,
          Transactions!$G:$G,$A206,
          Transactions!$C:$C,"OUT"))</f>
        <v/>
      </c>
      <c r="I206" s="65" t="str">
        <f t="shared" si="17"/>
        <v/>
      </c>
      <c r="J206" s="59" t="str">
        <f t="shared" si="20"/>
        <v/>
      </c>
    </row>
    <row r="207" spans="4:10" ht="22.5" customHeight="1" x14ac:dyDescent="0.25">
      <c r="D207" s="59" t="str">
        <f t="shared" si="16"/>
        <v/>
      </c>
      <c r="E207" s="59" t="str">
        <f t="shared" si="18"/>
        <v/>
      </c>
      <c r="F207" s="59" t="str">
        <f t="shared" si="19"/>
        <v/>
      </c>
      <c r="G207" s="59" t="str">
        <f>IF($A207="","",
   SUMIFS(Transactions!$P:$P,
          Transactions!$G:$G,$A207,
          Transactions!$C:$C,"IN",
          Transactions!$Q:$Q,"Paid"))</f>
        <v/>
      </c>
      <c r="H207" s="59" t="str">
        <f>IF($A207="","",
   SUMIFS(Transactions!$P:$P,
          Transactions!$G:$G,$A207,
          Transactions!$C:$C,"OUT"))</f>
        <v/>
      </c>
      <c r="I207" s="65" t="str">
        <f t="shared" si="17"/>
        <v/>
      </c>
      <c r="J207" s="59" t="str">
        <f t="shared" si="20"/>
        <v/>
      </c>
    </row>
    <row r="208" spans="4:10" ht="22.5" customHeight="1" x14ac:dyDescent="0.25">
      <c r="D208" s="59" t="str">
        <f t="shared" si="16"/>
        <v/>
      </c>
      <c r="E208" s="59" t="str">
        <f t="shared" si="18"/>
        <v/>
      </c>
      <c r="F208" s="59" t="str">
        <f t="shared" si="19"/>
        <v/>
      </c>
      <c r="G208" s="59" t="str">
        <f>IF($A208="","",
   SUMIFS(Transactions!$P:$P,
          Transactions!$G:$G,$A208,
          Transactions!$C:$C,"IN",
          Transactions!$Q:$Q,"Paid"))</f>
        <v/>
      </c>
      <c r="H208" s="59" t="str">
        <f>IF($A208="","",
   SUMIFS(Transactions!$P:$P,
          Transactions!$G:$G,$A208,
          Transactions!$C:$C,"OUT"))</f>
        <v/>
      </c>
      <c r="I208" s="65" t="str">
        <f t="shared" si="17"/>
        <v/>
      </c>
      <c r="J208" s="59" t="str">
        <f t="shared" si="20"/>
        <v/>
      </c>
    </row>
    <row r="209" spans="4:10" ht="22.5" customHeight="1" x14ac:dyDescent="0.25">
      <c r="D209" s="59" t="str">
        <f t="shared" si="16"/>
        <v/>
      </c>
      <c r="E209" s="59" t="str">
        <f t="shared" si="18"/>
        <v/>
      </c>
      <c r="F209" s="59" t="str">
        <f t="shared" si="19"/>
        <v/>
      </c>
      <c r="G209" s="59" t="str">
        <f>IF($A209="","",
   SUMIFS(Transactions!$P:$P,
          Transactions!$G:$G,$A209,
          Transactions!$C:$C,"IN",
          Transactions!$Q:$Q,"Paid"))</f>
        <v/>
      </c>
      <c r="H209" s="59" t="str">
        <f>IF($A209="","",
   SUMIFS(Transactions!$P:$P,
          Transactions!$G:$G,$A209,
          Transactions!$C:$C,"OUT"))</f>
        <v/>
      </c>
      <c r="I209" s="65" t="str">
        <f t="shared" si="17"/>
        <v/>
      </c>
      <c r="J209" s="59" t="str">
        <f t="shared" si="20"/>
        <v/>
      </c>
    </row>
    <row r="210" spans="4:10" ht="22.5" customHeight="1" x14ac:dyDescent="0.25">
      <c r="D210" s="59" t="str">
        <f t="shared" si="16"/>
        <v/>
      </c>
      <c r="E210" s="59" t="str">
        <f t="shared" si="18"/>
        <v/>
      </c>
      <c r="F210" s="59" t="str">
        <f t="shared" si="19"/>
        <v/>
      </c>
      <c r="G210" s="59" t="str">
        <f>IF($A210="","",
   SUMIFS(Transactions!$P:$P,
          Transactions!$G:$G,$A210,
          Transactions!$C:$C,"IN",
          Transactions!$Q:$Q,"Paid"))</f>
        <v/>
      </c>
      <c r="H210" s="59" t="str">
        <f>IF($A210="","",
   SUMIFS(Transactions!$P:$P,
          Transactions!$G:$G,$A210,
          Transactions!$C:$C,"OUT"))</f>
        <v/>
      </c>
      <c r="I210" s="65" t="str">
        <f t="shared" si="17"/>
        <v/>
      </c>
      <c r="J210" s="59" t="str">
        <f t="shared" si="20"/>
        <v/>
      </c>
    </row>
    <row r="211" spans="4:10" ht="22.5" customHeight="1" x14ac:dyDescent="0.25">
      <c r="D211" s="59" t="str">
        <f t="shared" si="16"/>
        <v/>
      </c>
      <c r="E211" s="59" t="str">
        <f t="shared" si="18"/>
        <v/>
      </c>
      <c r="F211" s="59" t="str">
        <f t="shared" si="19"/>
        <v/>
      </c>
      <c r="G211" s="59" t="str">
        <f>IF($A211="","",
   SUMIFS(Transactions!$P:$P,
          Transactions!$G:$G,$A211,
          Transactions!$C:$C,"IN",
          Transactions!$Q:$Q,"Paid"))</f>
        <v/>
      </c>
      <c r="H211" s="59" t="str">
        <f>IF($A211="","",
   SUMIFS(Transactions!$P:$P,
          Transactions!$G:$G,$A211,
          Transactions!$C:$C,"OUT"))</f>
        <v/>
      </c>
      <c r="I211" s="65" t="str">
        <f t="shared" si="17"/>
        <v/>
      </c>
      <c r="J211" s="59" t="str">
        <f t="shared" si="20"/>
        <v/>
      </c>
    </row>
    <row r="212" spans="4:10" ht="22.5" customHeight="1" x14ac:dyDescent="0.25">
      <c r="D212" s="59" t="str">
        <f t="shared" si="16"/>
        <v/>
      </c>
      <c r="E212" s="59" t="str">
        <f t="shared" si="18"/>
        <v/>
      </c>
      <c r="F212" s="59" t="str">
        <f t="shared" si="19"/>
        <v/>
      </c>
      <c r="G212" s="59" t="str">
        <f>IF($A212="","",
   SUMIFS(Transactions!$P:$P,
          Transactions!$G:$G,$A212,
          Transactions!$C:$C,"IN",
          Transactions!$Q:$Q,"Paid"))</f>
        <v/>
      </c>
      <c r="H212" s="59" t="str">
        <f>IF($A212="","",
   SUMIFS(Transactions!$P:$P,
          Transactions!$G:$G,$A212,
          Transactions!$C:$C,"OUT"))</f>
        <v/>
      </c>
      <c r="I212" s="65" t="str">
        <f t="shared" si="17"/>
        <v/>
      </c>
      <c r="J212" s="59" t="str">
        <f t="shared" si="20"/>
        <v/>
      </c>
    </row>
    <row r="213" spans="4:10" ht="22.5" customHeight="1" x14ac:dyDescent="0.25">
      <c r="D213" s="59" t="str">
        <f t="shared" si="16"/>
        <v/>
      </c>
      <c r="E213" s="59" t="str">
        <f t="shared" si="18"/>
        <v/>
      </c>
      <c r="F213" s="59" t="str">
        <f t="shared" si="19"/>
        <v/>
      </c>
      <c r="G213" s="59" t="str">
        <f>IF($A213="","",
   SUMIFS(Transactions!$P:$P,
          Transactions!$G:$G,$A213,
          Transactions!$C:$C,"IN",
          Transactions!$Q:$Q,"Paid"))</f>
        <v/>
      </c>
      <c r="H213" s="59" t="str">
        <f>IF($A213="","",
   SUMIFS(Transactions!$P:$P,
          Transactions!$G:$G,$A213,
          Transactions!$C:$C,"OUT"))</f>
        <v/>
      </c>
      <c r="I213" s="65" t="str">
        <f t="shared" si="17"/>
        <v/>
      </c>
      <c r="J213" s="59" t="str">
        <f t="shared" si="20"/>
        <v/>
      </c>
    </row>
    <row r="214" spans="4:10" ht="22.5" customHeight="1" x14ac:dyDescent="0.25">
      <c r="D214" s="59" t="str">
        <f t="shared" si="16"/>
        <v/>
      </c>
      <c r="E214" s="59" t="str">
        <f t="shared" si="18"/>
        <v/>
      </c>
      <c r="F214" s="59" t="str">
        <f t="shared" si="19"/>
        <v/>
      </c>
      <c r="G214" s="59" t="str">
        <f>IF($A214="","",
   SUMIFS(Transactions!$P:$P,
          Transactions!$G:$G,$A214,
          Transactions!$C:$C,"IN",
          Transactions!$Q:$Q,"Paid"))</f>
        <v/>
      </c>
      <c r="H214" s="59" t="str">
        <f>IF($A214="","",
   SUMIFS(Transactions!$P:$P,
          Transactions!$G:$G,$A214,
          Transactions!$C:$C,"OUT"))</f>
        <v/>
      </c>
      <c r="I214" s="65" t="str">
        <f t="shared" si="17"/>
        <v/>
      </c>
      <c r="J214" s="59" t="str">
        <f t="shared" si="20"/>
        <v/>
      </c>
    </row>
    <row r="215" spans="4:10" ht="22.5" customHeight="1" x14ac:dyDescent="0.25">
      <c r="D215" s="59" t="str">
        <f t="shared" si="16"/>
        <v/>
      </c>
      <c r="E215" s="59" t="str">
        <f t="shared" si="18"/>
        <v/>
      </c>
      <c r="F215" s="59" t="str">
        <f t="shared" si="19"/>
        <v/>
      </c>
      <c r="G215" s="59" t="str">
        <f>IF($A215="","",
   SUMIFS(Transactions!$P:$P,
          Transactions!$G:$G,$A215,
          Transactions!$C:$C,"IN",
          Transactions!$Q:$Q,"Paid"))</f>
        <v/>
      </c>
      <c r="H215" s="59" t="str">
        <f>IF($A215="","",
   SUMIFS(Transactions!$P:$P,
          Transactions!$G:$G,$A215,
          Transactions!$C:$C,"OUT"))</f>
        <v/>
      </c>
      <c r="I215" s="65" t="str">
        <f t="shared" si="17"/>
        <v/>
      </c>
      <c r="J215" s="59" t="str">
        <f t="shared" si="20"/>
        <v/>
      </c>
    </row>
    <row r="216" spans="4:10" ht="22.5" customHeight="1" x14ac:dyDescent="0.25">
      <c r="D216" s="59" t="str">
        <f t="shared" si="16"/>
        <v/>
      </c>
      <c r="E216" s="59" t="str">
        <f t="shared" si="18"/>
        <v/>
      </c>
      <c r="F216" s="59" t="str">
        <f t="shared" si="19"/>
        <v/>
      </c>
      <c r="G216" s="59" t="str">
        <f>IF($A216="","",
   SUMIFS(Transactions!$P:$P,
          Transactions!$G:$G,$A216,
          Transactions!$C:$C,"IN",
          Transactions!$Q:$Q,"Paid"))</f>
        <v/>
      </c>
      <c r="H216" s="59" t="str">
        <f>IF($A216="","",
   SUMIFS(Transactions!$P:$P,
          Transactions!$G:$G,$A216,
          Transactions!$C:$C,"OUT"))</f>
        <v/>
      </c>
      <c r="I216" s="65" t="str">
        <f t="shared" si="17"/>
        <v/>
      </c>
      <c r="J216" s="59" t="str">
        <f t="shared" si="20"/>
        <v/>
      </c>
    </row>
    <row r="217" spans="4:10" ht="22.5" customHeight="1" x14ac:dyDescent="0.25">
      <c r="D217" s="59" t="str">
        <f t="shared" si="16"/>
        <v/>
      </c>
      <c r="E217" s="59" t="str">
        <f t="shared" si="18"/>
        <v/>
      </c>
      <c r="F217" s="59" t="str">
        <f t="shared" si="19"/>
        <v/>
      </c>
      <c r="G217" s="59" t="str">
        <f>IF($A217="","",
   SUMIFS(Transactions!$P:$P,
          Transactions!$G:$G,$A217,
          Transactions!$C:$C,"IN",
          Transactions!$Q:$Q,"Paid"))</f>
        <v/>
      </c>
      <c r="H217" s="59" t="str">
        <f>IF($A217="","",
   SUMIFS(Transactions!$P:$P,
          Transactions!$G:$G,$A217,
          Transactions!$C:$C,"OUT"))</f>
        <v/>
      </c>
      <c r="I217" s="65" t="str">
        <f t="shared" si="17"/>
        <v/>
      </c>
      <c r="J217" s="59" t="str">
        <f t="shared" si="20"/>
        <v/>
      </c>
    </row>
    <row r="218" spans="4:10" ht="22.5" customHeight="1" x14ac:dyDescent="0.25">
      <c r="D218" s="59" t="str">
        <f t="shared" si="16"/>
        <v/>
      </c>
      <c r="E218" s="59" t="str">
        <f t="shared" si="18"/>
        <v/>
      </c>
      <c r="F218" s="59" t="str">
        <f t="shared" si="19"/>
        <v/>
      </c>
      <c r="G218" s="59" t="str">
        <f>IF($A218="","",
   SUMIFS(Transactions!$P:$P,
          Transactions!$G:$G,$A218,
          Transactions!$C:$C,"IN",
          Transactions!$Q:$Q,"Paid"))</f>
        <v/>
      </c>
      <c r="H218" s="59" t="str">
        <f>IF($A218="","",
   SUMIFS(Transactions!$P:$P,
          Transactions!$G:$G,$A218,
          Transactions!$C:$C,"OUT"))</f>
        <v/>
      </c>
      <c r="I218" s="65" t="str">
        <f t="shared" si="17"/>
        <v/>
      </c>
      <c r="J218" s="59" t="str">
        <f t="shared" si="20"/>
        <v/>
      </c>
    </row>
    <row r="219" spans="4:10" ht="22.5" customHeight="1" x14ac:dyDescent="0.25">
      <c r="D219" s="59" t="str">
        <f t="shared" si="16"/>
        <v/>
      </c>
      <c r="E219" s="59" t="str">
        <f t="shared" si="18"/>
        <v/>
      </c>
      <c r="F219" s="59" t="str">
        <f t="shared" si="19"/>
        <v/>
      </c>
      <c r="G219" s="59" t="str">
        <f>IF($A219="","",
   SUMIFS(Transactions!$P:$P,
          Transactions!$G:$G,$A219,
          Transactions!$C:$C,"IN",
          Transactions!$Q:$Q,"Paid"))</f>
        <v/>
      </c>
      <c r="H219" s="59" t="str">
        <f>IF($A219="","",
   SUMIFS(Transactions!$P:$P,
          Transactions!$G:$G,$A219,
          Transactions!$C:$C,"OUT"))</f>
        <v/>
      </c>
      <c r="I219" s="65" t="str">
        <f t="shared" si="17"/>
        <v/>
      </c>
      <c r="J219" s="59" t="str">
        <f t="shared" si="20"/>
        <v/>
      </c>
    </row>
    <row r="220" spans="4:10" ht="22.5" customHeight="1" x14ac:dyDescent="0.25">
      <c r="D220" s="59" t="str">
        <f t="shared" si="16"/>
        <v/>
      </c>
      <c r="E220" s="59" t="str">
        <f t="shared" si="18"/>
        <v/>
      </c>
      <c r="F220" s="59" t="str">
        <f t="shared" si="19"/>
        <v/>
      </c>
      <c r="G220" s="59" t="str">
        <f>IF($A220="","",
   SUMIFS(Transactions!$P:$P,
          Transactions!$G:$G,$A220,
          Transactions!$C:$C,"IN",
          Transactions!$Q:$Q,"Paid"))</f>
        <v/>
      </c>
      <c r="H220" s="59" t="str">
        <f>IF($A220="","",
   SUMIFS(Transactions!$P:$P,
          Transactions!$G:$G,$A220,
          Transactions!$C:$C,"OUT"))</f>
        <v/>
      </c>
      <c r="I220" s="65" t="str">
        <f t="shared" si="17"/>
        <v/>
      </c>
      <c r="J220" s="59" t="str">
        <f t="shared" si="20"/>
        <v/>
      </c>
    </row>
    <row r="221" spans="4:10" ht="22.5" customHeight="1" x14ac:dyDescent="0.25">
      <c r="D221" s="59" t="str">
        <f t="shared" si="16"/>
        <v/>
      </c>
      <c r="E221" s="59" t="str">
        <f t="shared" si="18"/>
        <v/>
      </c>
      <c r="F221" s="59" t="str">
        <f t="shared" si="19"/>
        <v/>
      </c>
      <c r="G221" s="59" t="str">
        <f>IF($A221="","",
   SUMIFS(Transactions!$P:$P,
          Transactions!$G:$G,$A221,
          Transactions!$C:$C,"IN",
          Transactions!$Q:$Q,"Paid"))</f>
        <v/>
      </c>
      <c r="H221" s="59" t="str">
        <f>IF($A221="","",
   SUMIFS(Transactions!$P:$P,
          Transactions!$G:$G,$A221,
          Transactions!$C:$C,"OUT"))</f>
        <v/>
      </c>
      <c r="I221" s="65" t="str">
        <f t="shared" si="17"/>
        <v/>
      </c>
      <c r="J221" s="59" t="str">
        <f t="shared" si="20"/>
        <v/>
      </c>
    </row>
    <row r="222" spans="4:10" ht="22.5" customHeight="1" x14ac:dyDescent="0.25">
      <c r="D222" s="59" t="str">
        <f t="shared" si="16"/>
        <v/>
      </c>
      <c r="E222" s="59" t="str">
        <f t="shared" si="18"/>
        <v/>
      </c>
      <c r="F222" s="59" t="str">
        <f t="shared" si="19"/>
        <v/>
      </c>
      <c r="G222" s="59" t="str">
        <f>IF($A222="","",
   SUMIFS(Transactions!$P:$P,
          Transactions!$G:$G,$A222,
          Transactions!$C:$C,"IN",
          Transactions!$Q:$Q,"Paid"))</f>
        <v/>
      </c>
      <c r="H222" s="59" t="str">
        <f>IF($A222="","",
   SUMIFS(Transactions!$P:$P,
          Transactions!$G:$G,$A222,
          Transactions!$C:$C,"OUT"))</f>
        <v/>
      </c>
      <c r="I222" s="65" t="str">
        <f t="shared" si="17"/>
        <v/>
      </c>
      <c r="J222" s="59" t="str">
        <f t="shared" si="20"/>
        <v/>
      </c>
    </row>
    <row r="223" spans="4:10" ht="22.5" customHeight="1" x14ac:dyDescent="0.25">
      <c r="D223" s="59" t="str">
        <f t="shared" si="16"/>
        <v/>
      </c>
      <c r="E223" s="59" t="str">
        <f t="shared" si="18"/>
        <v/>
      </c>
      <c r="F223" s="59" t="str">
        <f t="shared" si="19"/>
        <v/>
      </c>
      <c r="G223" s="59" t="str">
        <f>IF($A223="","",
   SUMIFS(Transactions!$P:$P,
          Transactions!$G:$G,$A223,
          Transactions!$C:$C,"IN",
          Transactions!$Q:$Q,"Paid"))</f>
        <v/>
      </c>
      <c r="H223" s="59" t="str">
        <f>IF($A223="","",
   SUMIFS(Transactions!$P:$P,
          Transactions!$G:$G,$A223,
          Transactions!$C:$C,"OUT"))</f>
        <v/>
      </c>
      <c r="I223" s="65" t="str">
        <f t="shared" si="17"/>
        <v/>
      </c>
      <c r="J223" s="59" t="str">
        <f t="shared" si="20"/>
        <v/>
      </c>
    </row>
    <row r="224" spans="4:10" ht="22.5" customHeight="1" x14ac:dyDescent="0.25">
      <c r="D224" s="59" t="str">
        <f t="shared" si="16"/>
        <v/>
      </c>
      <c r="E224" s="59" t="str">
        <f t="shared" si="18"/>
        <v/>
      </c>
      <c r="F224" s="59" t="str">
        <f t="shared" si="19"/>
        <v/>
      </c>
      <c r="G224" s="59" t="str">
        <f>IF($A224="","",
   SUMIFS(Transactions!$P:$P,
          Transactions!$G:$G,$A224,
          Transactions!$C:$C,"IN",
          Transactions!$Q:$Q,"Paid"))</f>
        <v/>
      </c>
      <c r="H224" s="59" t="str">
        <f>IF($A224="","",
   SUMIFS(Transactions!$P:$P,
          Transactions!$G:$G,$A224,
          Transactions!$C:$C,"OUT"))</f>
        <v/>
      </c>
      <c r="I224" s="65" t="str">
        <f t="shared" si="17"/>
        <v/>
      </c>
      <c r="J224" s="59" t="str">
        <f t="shared" si="20"/>
        <v/>
      </c>
    </row>
    <row r="225" spans="4:10" ht="22.5" customHeight="1" x14ac:dyDescent="0.25">
      <c r="D225" s="59" t="str">
        <f t="shared" si="16"/>
        <v/>
      </c>
      <c r="E225" s="59" t="str">
        <f t="shared" si="18"/>
        <v/>
      </c>
      <c r="F225" s="59" t="str">
        <f t="shared" si="19"/>
        <v/>
      </c>
      <c r="G225" s="59" t="str">
        <f>IF($A225="","",
   SUMIFS(Transactions!$P:$P,
          Transactions!$G:$G,$A225,
          Transactions!$C:$C,"IN",
          Transactions!$Q:$Q,"Paid"))</f>
        <v/>
      </c>
      <c r="H225" s="59" t="str">
        <f>IF($A225="","",
   SUMIFS(Transactions!$P:$P,
          Transactions!$G:$G,$A225,
          Transactions!$C:$C,"OUT"))</f>
        <v/>
      </c>
      <c r="I225" s="65" t="str">
        <f t="shared" si="17"/>
        <v/>
      </c>
      <c r="J225" s="59" t="str">
        <f t="shared" si="20"/>
        <v/>
      </c>
    </row>
    <row r="226" spans="4:10" ht="22.5" customHeight="1" x14ac:dyDescent="0.25">
      <c r="D226" s="59" t="str">
        <f t="shared" si="16"/>
        <v/>
      </c>
      <c r="E226" s="59" t="str">
        <f t="shared" si="18"/>
        <v/>
      </c>
      <c r="F226" s="59" t="str">
        <f t="shared" si="19"/>
        <v/>
      </c>
      <c r="G226" s="59" t="str">
        <f>IF($A226="","",
   SUMIFS(Transactions!$P:$P,
          Transactions!$G:$G,$A226,
          Transactions!$C:$C,"IN",
          Transactions!$Q:$Q,"Paid"))</f>
        <v/>
      </c>
      <c r="H226" s="59" t="str">
        <f>IF($A226="","",
   SUMIFS(Transactions!$P:$P,
          Transactions!$G:$G,$A226,
          Transactions!$C:$C,"OUT"))</f>
        <v/>
      </c>
      <c r="I226" s="65" t="str">
        <f t="shared" si="17"/>
        <v/>
      </c>
      <c r="J226" s="59" t="str">
        <f t="shared" si="20"/>
        <v/>
      </c>
    </row>
    <row r="227" spans="4:10" ht="22.5" customHeight="1" x14ac:dyDescent="0.25">
      <c r="D227" s="59" t="str">
        <f t="shared" si="16"/>
        <v/>
      </c>
      <c r="E227" s="59" t="str">
        <f t="shared" si="18"/>
        <v/>
      </c>
      <c r="F227" s="59" t="str">
        <f t="shared" si="19"/>
        <v/>
      </c>
      <c r="G227" s="59" t="str">
        <f>IF($A227="","",
   SUMIFS(Transactions!$P:$P,
          Transactions!$G:$G,$A227,
          Transactions!$C:$C,"IN",
          Transactions!$Q:$Q,"Paid"))</f>
        <v/>
      </c>
      <c r="H227" s="59" t="str">
        <f>IF($A227="","",
   SUMIFS(Transactions!$P:$P,
          Transactions!$G:$G,$A227,
          Transactions!$C:$C,"OUT"))</f>
        <v/>
      </c>
      <c r="I227" s="65" t="str">
        <f t="shared" si="17"/>
        <v/>
      </c>
      <c r="J227" s="59" t="str">
        <f t="shared" si="20"/>
        <v/>
      </c>
    </row>
    <row r="228" spans="4:10" ht="22.5" customHeight="1" x14ac:dyDescent="0.25">
      <c r="D228" s="59" t="str">
        <f t="shared" si="16"/>
        <v/>
      </c>
      <c r="E228" s="59" t="str">
        <f t="shared" si="18"/>
        <v/>
      </c>
      <c r="F228" s="59" t="str">
        <f t="shared" si="19"/>
        <v/>
      </c>
      <c r="G228" s="59" t="str">
        <f>IF($A228="","",
   SUMIFS(Transactions!$P:$P,
          Transactions!$G:$G,$A228,
          Transactions!$C:$C,"IN",
          Transactions!$Q:$Q,"Paid"))</f>
        <v/>
      </c>
      <c r="H228" s="59" t="str">
        <f>IF($A228="","",
   SUMIFS(Transactions!$P:$P,
          Transactions!$G:$G,$A228,
          Transactions!$C:$C,"OUT"))</f>
        <v/>
      </c>
      <c r="I228" s="65" t="str">
        <f t="shared" si="17"/>
        <v/>
      </c>
      <c r="J228" s="59" t="str">
        <f t="shared" si="20"/>
        <v/>
      </c>
    </row>
    <row r="229" spans="4:10" ht="22.5" customHeight="1" x14ac:dyDescent="0.25">
      <c r="D229" s="59" t="str">
        <f t="shared" si="16"/>
        <v/>
      </c>
      <c r="E229" s="59" t="str">
        <f t="shared" si="18"/>
        <v/>
      </c>
      <c r="F229" s="59" t="str">
        <f t="shared" si="19"/>
        <v/>
      </c>
      <c r="G229" s="59" t="str">
        <f>IF($A229="","",
   SUMIFS(Transactions!$P:$P,
          Transactions!$G:$G,$A229,
          Transactions!$C:$C,"IN",
          Transactions!$Q:$Q,"Paid"))</f>
        <v/>
      </c>
      <c r="H229" s="59" t="str">
        <f>IF($A229="","",
   SUMIFS(Transactions!$P:$P,
          Transactions!$G:$G,$A229,
          Transactions!$C:$C,"OUT"))</f>
        <v/>
      </c>
      <c r="I229" s="65" t="str">
        <f t="shared" si="17"/>
        <v/>
      </c>
      <c r="J229" s="59" t="str">
        <f t="shared" si="20"/>
        <v/>
      </c>
    </row>
    <row r="230" spans="4:10" ht="22.5" customHeight="1" x14ac:dyDescent="0.25">
      <c r="D230" s="59" t="str">
        <f t="shared" si="16"/>
        <v/>
      </c>
      <c r="E230" s="59" t="str">
        <f t="shared" si="18"/>
        <v/>
      </c>
      <c r="F230" s="59" t="str">
        <f t="shared" si="19"/>
        <v/>
      </c>
      <c r="G230" s="59" t="str">
        <f>IF($A230="","",
   SUMIFS(Transactions!$P:$P,
          Transactions!$G:$G,$A230,
          Transactions!$C:$C,"IN",
          Transactions!$Q:$Q,"Paid"))</f>
        <v/>
      </c>
      <c r="H230" s="59" t="str">
        <f>IF($A230="","",
   SUMIFS(Transactions!$P:$P,
          Transactions!$G:$G,$A230,
          Transactions!$C:$C,"OUT"))</f>
        <v/>
      </c>
      <c r="I230" s="65" t="str">
        <f t="shared" si="17"/>
        <v/>
      </c>
      <c r="J230" s="59" t="str">
        <f t="shared" si="20"/>
        <v/>
      </c>
    </row>
    <row r="231" spans="4:10" ht="22.5" customHeight="1" x14ac:dyDescent="0.25">
      <c r="D231" s="59" t="str">
        <f t="shared" si="16"/>
        <v/>
      </c>
      <c r="E231" s="59" t="str">
        <f t="shared" si="18"/>
        <v/>
      </c>
      <c r="F231" s="59" t="str">
        <f t="shared" si="19"/>
        <v/>
      </c>
      <c r="G231" s="59" t="str">
        <f>IF($A231="","",
   SUMIFS(Transactions!$P:$P,
          Transactions!$G:$G,$A231,
          Transactions!$C:$C,"IN",
          Transactions!$Q:$Q,"Paid"))</f>
        <v/>
      </c>
      <c r="H231" s="59" t="str">
        <f>IF($A231="","",
   SUMIFS(Transactions!$P:$P,
          Transactions!$G:$G,$A231,
          Transactions!$C:$C,"OUT"))</f>
        <v/>
      </c>
      <c r="I231" s="65" t="str">
        <f t="shared" si="17"/>
        <v/>
      </c>
      <c r="J231" s="59" t="str">
        <f t="shared" si="20"/>
        <v/>
      </c>
    </row>
    <row r="232" spans="4:10" ht="22.5" customHeight="1" x14ac:dyDescent="0.25">
      <c r="D232" s="59" t="str">
        <f t="shared" si="16"/>
        <v/>
      </c>
      <c r="E232" s="59" t="str">
        <f t="shared" si="18"/>
        <v/>
      </c>
      <c r="F232" s="59" t="str">
        <f t="shared" si="19"/>
        <v/>
      </c>
      <c r="G232" s="59" t="str">
        <f>IF($A232="","",
   SUMIFS(Transactions!$P:$P,
          Transactions!$G:$G,$A232,
          Transactions!$C:$C,"IN",
          Transactions!$Q:$Q,"Paid"))</f>
        <v/>
      </c>
      <c r="H232" s="59" t="str">
        <f>IF($A232="","",
   SUMIFS(Transactions!$P:$P,
          Transactions!$G:$G,$A232,
          Transactions!$C:$C,"OUT"))</f>
        <v/>
      </c>
      <c r="I232" s="65" t="str">
        <f t="shared" si="17"/>
        <v/>
      </c>
      <c r="J232" s="59" t="str">
        <f t="shared" si="20"/>
        <v/>
      </c>
    </row>
    <row r="233" spans="4:10" ht="22.5" customHeight="1" x14ac:dyDescent="0.25">
      <c r="D233" s="59" t="str">
        <f t="shared" si="16"/>
        <v/>
      </c>
      <c r="E233" s="59" t="str">
        <f t="shared" si="18"/>
        <v/>
      </c>
      <c r="F233" s="59" t="str">
        <f t="shared" si="19"/>
        <v/>
      </c>
      <c r="G233" s="59" t="str">
        <f>IF($A233="","",
   SUMIFS(Transactions!$P:$P,
          Transactions!$G:$G,$A233,
          Transactions!$C:$C,"IN",
          Transactions!$Q:$Q,"Paid"))</f>
        <v/>
      </c>
      <c r="H233" s="59" t="str">
        <f>IF($A233="","",
   SUMIFS(Transactions!$P:$P,
          Transactions!$G:$G,$A233,
          Transactions!$C:$C,"OUT"))</f>
        <v/>
      </c>
      <c r="I233" s="65" t="str">
        <f t="shared" si="17"/>
        <v/>
      </c>
      <c r="J233" s="59" t="str">
        <f t="shared" si="20"/>
        <v/>
      </c>
    </row>
    <row r="234" spans="4:10" ht="22.5" customHeight="1" x14ac:dyDescent="0.25">
      <c r="D234" s="59" t="str">
        <f t="shared" si="16"/>
        <v/>
      </c>
      <c r="E234" s="59" t="str">
        <f t="shared" si="18"/>
        <v/>
      </c>
      <c r="F234" s="59" t="str">
        <f t="shared" si="19"/>
        <v/>
      </c>
      <c r="G234" s="59" t="str">
        <f>IF($A234="","",
   SUMIFS(Transactions!$P:$P,
          Transactions!$G:$G,$A234,
          Transactions!$C:$C,"IN",
          Transactions!$Q:$Q,"Paid"))</f>
        <v/>
      </c>
      <c r="H234" s="59" t="str">
        <f>IF($A234="","",
   SUMIFS(Transactions!$P:$P,
          Transactions!$G:$G,$A234,
          Transactions!$C:$C,"OUT"))</f>
        <v/>
      </c>
      <c r="I234" s="65" t="str">
        <f t="shared" si="17"/>
        <v/>
      </c>
      <c r="J234" s="59" t="str">
        <f t="shared" si="20"/>
        <v/>
      </c>
    </row>
    <row r="235" spans="4:10" ht="22.5" customHeight="1" x14ac:dyDescent="0.25">
      <c r="D235" s="59" t="str">
        <f t="shared" si="16"/>
        <v/>
      </c>
      <c r="E235" s="59" t="str">
        <f t="shared" si="18"/>
        <v/>
      </c>
      <c r="F235" s="59" t="str">
        <f t="shared" si="19"/>
        <v/>
      </c>
      <c r="G235" s="59" t="str">
        <f>IF($A235="","",
   SUMIFS(Transactions!$P:$P,
          Transactions!$G:$G,$A235,
          Transactions!$C:$C,"IN",
          Transactions!$Q:$Q,"Paid"))</f>
        <v/>
      </c>
      <c r="H235" s="59" t="str">
        <f>IF($A235="","",
   SUMIFS(Transactions!$P:$P,
          Transactions!$G:$G,$A235,
          Transactions!$C:$C,"OUT"))</f>
        <v/>
      </c>
      <c r="I235" s="65" t="str">
        <f t="shared" si="17"/>
        <v/>
      </c>
      <c r="J235" s="59" t="str">
        <f t="shared" si="20"/>
        <v/>
      </c>
    </row>
    <row r="236" spans="4:10" ht="22.5" customHeight="1" x14ac:dyDescent="0.25">
      <c r="D236" s="59" t="str">
        <f t="shared" si="16"/>
        <v/>
      </c>
      <c r="E236" s="59" t="str">
        <f t="shared" si="18"/>
        <v/>
      </c>
      <c r="F236" s="59" t="str">
        <f t="shared" si="19"/>
        <v/>
      </c>
      <c r="G236" s="59" t="str">
        <f>IF($A236="","",
   SUMIFS(Transactions!$P:$P,
          Transactions!$G:$G,$A236,
          Transactions!$C:$C,"IN",
          Transactions!$Q:$Q,"Paid"))</f>
        <v/>
      </c>
      <c r="H236" s="59" t="str">
        <f>IF($A236="","",
   SUMIFS(Transactions!$P:$P,
          Transactions!$G:$G,$A236,
          Transactions!$C:$C,"OUT"))</f>
        <v/>
      </c>
      <c r="I236" s="65" t="str">
        <f t="shared" si="17"/>
        <v/>
      </c>
      <c r="J236" s="59" t="str">
        <f t="shared" si="20"/>
        <v/>
      </c>
    </row>
    <row r="237" spans="4:10" ht="22.5" customHeight="1" x14ac:dyDescent="0.25">
      <c r="D237" s="59" t="str">
        <f t="shared" si="16"/>
        <v/>
      </c>
      <c r="E237" s="59" t="str">
        <f t="shared" si="18"/>
        <v/>
      </c>
      <c r="F237" s="59" t="str">
        <f t="shared" si="19"/>
        <v/>
      </c>
      <c r="G237" s="59" t="str">
        <f>IF($A237="","",
   SUMIFS(Transactions!$P:$P,
          Transactions!$G:$G,$A237,
          Transactions!$C:$C,"IN",
          Transactions!$Q:$Q,"Paid"))</f>
        <v/>
      </c>
      <c r="H237" s="59" t="str">
        <f>IF($A237="","",
   SUMIFS(Transactions!$P:$P,
          Transactions!$G:$G,$A237,
          Transactions!$C:$C,"OUT"))</f>
        <v/>
      </c>
      <c r="I237" s="65" t="str">
        <f t="shared" si="17"/>
        <v/>
      </c>
      <c r="J237" s="59" t="str">
        <f t="shared" si="20"/>
        <v/>
      </c>
    </row>
    <row r="238" spans="4:10" ht="22.5" customHeight="1" x14ac:dyDescent="0.25">
      <c r="D238" s="59" t="str">
        <f t="shared" si="16"/>
        <v/>
      </c>
      <c r="E238" s="59" t="str">
        <f t="shared" si="18"/>
        <v/>
      </c>
      <c r="F238" s="59" t="str">
        <f t="shared" si="19"/>
        <v/>
      </c>
      <c r="G238" s="59" t="str">
        <f>IF($A238="","",
   SUMIFS(Transactions!$P:$P,
          Transactions!$G:$G,$A238,
          Transactions!$C:$C,"IN",
          Transactions!$Q:$Q,"Paid"))</f>
        <v/>
      </c>
      <c r="H238" s="59" t="str">
        <f>IF($A238="","",
   SUMIFS(Transactions!$P:$P,
          Transactions!$G:$G,$A238,
          Transactions!$C:$C,"OUT"))</f>
        <v/>
      </c>
      <c r="I238" s="65" t="str">
        <f t="shared" si="17"/>
        <v/>
      </c>
      <c r="J238" s="59" t="str">
        <f t="shared" si="20"/>
        <v/>
      </c>
    </row>
    <row r="239" spans="4:10" ht="22.5" customHeight="1" x14ac:dyDescent="0.25">
      <c r="D239" s="59" t="str">
        <f t="shared" si="16"/>
        <v/>
      </c>
      <c r="E239" s="59" t="str">
        <f t="shared" si="18"/>
        <v/>
      </c>
      <c r="F239" s="59" t="str">
        <f t="shared" si="19"/>
        <v/>
      </c>
      <c r="G239" s="59" t="str">
        <f>IF($A239="","",
   SUMIFS(Transactions!$P:$P,
          Transactions!$G:$G,$A239,
          Transactions!$C:$C,"IN",
          Transactions!$Q:$Q,"Paid"))</f>
        <v/>
      </c>
      <c r="H239" s="59" t="str">
        <f>IF($A239="","",
   SUMIFS(Transactions!$P:$P,
          Transactions!$G:$G,$A239,
          Transactions!$C:$C,"OUT"))</f>
        <v/>
      </c>
      <c r="I239" s="65" t="str">
        <f t="shared" si="17"/>
        <v/>
      </c>
      <c r="J239" s="59" t="str">
        <f t="shared" si="20"/>
        <v/>
      </c>
    </row>
    <row r="240" spans="4:10" ht="22.5" customHeight="1" x14ac:dyDescent="0.25">
      <c r="D240" s="59" t="str">
        <f t="shared" si="16"/>
        <v/>
      </c>
      <c r="E240" s="59" t="str">
        <f t="shared" si="18"/>
        <v/>
      </c>
      <c r="F240" s="59" t="str">
        <f t="shared" si="19"/>
        <v/>
      </c>
      <c r="G240" s="59" t="str">
        <f>IF($A240="","",
   SUMIFS(Transactions!$P:$P,
          Transactions!$G:$G,$A240,
          Transactions!$C:$C,"IN",
          Transactions!$Q:$Q,"Paid"))</f>
        <v/>
      </c>
      <c r="H240" s="59" t="str">
        <f>IF($A240="","",
   SUMIFS(Transactions!$P:$P,
          Transactions!$G:$G,$A240,
          Transactions!$C:$C,"OUT"))</f>
        <v/>
      </c>
      <c r="I240" s="65" t="str">
        <f t="shared" si="17"/>
        <v/>
      </c>
      <c r="J240" s="59" t="str">
        <f t="shared" si="20"/>
        <v/>
      </c>
    </row>
    <row r="241" spans="4:10" ht="22.5" customHeight="1" x14ac:dyDescent="0.25">
      <c r="D241" s="59" t="str">
        <f t="shared" si="16"/>
        <v/>
      </c>
      <c r="E241" s="59" t="str">
        <f t="shared" si="18"/>
        <v/>
      </c>
      <c r="F241" s="59" t="str">
        <f t="shared" si="19"/>
        <v/>
      </c>
      <c r="G241" s="59" t="str">
        <f>IF($A241="","",
   SUMIFS(Transactions!$P:$P,
          Transactions!$G:$G,$A241,
          Transactions!$C:$C,"IN",
          Transactions!$Q:$Q,"Paid"))</f>
        <v/>
      </c>
      <c r="H241" s="59" t="str">
        <f>IF($A241="","",
   SUMIFS(Transactions!$P:$P,
          Transactions!$G:$G,$A241,
          Transactions!$C:$C,"OUT"))</f>
        <v/>
      </c>
      <c r="I241" s="65" t="str">
        <f t="shared" si="17"/>
        <v/>
      </c>
      <c r="J241" s="59" t="str">
        <f t="shared" si="20"/>
        <v/>
      </c>
    </row>
    <row r="242" spans="4:10" ht="22.5" customHeight="1" x14ac:dyDescent="0.25">
      <c r="D242" s="59" t="str">
        <f t="shared" si="16"/>
        <v/>
      </c>
      <c r="E242" s="59" t="str">
        <f t="shared" si="18"/>
        <v/>
      </c>
      <c r="F242" s="59" t="str">
        <f t="shared" si="19"/>
        <v/>
      </c>
      <c r="G242" s="59" t="str">
        <f>IF($A242="","",
   SUMIFS(Transactions!$P:$P,
          Transactions!$G:$G,$A242,
          Transactions!$C:$C,"IN",
          Transactions!$Q:$Q,"Paid"))</f>
        <v/>
      </c>
      <c r="H242" s="59" t="str">
        <f>IF($A242="","",
   SUMIFS(Transactions!$P:$P,
          Transactions!$G:$G,$A242,
          Transactions!$C:$C,"OUT"))</f>
        <v/>
      </c>
      <c r="I242" s="65" t="str">
        <f t="shared" si="17"/>
        <v/>
      </c>
      <c r="J242" s="59" t="str">
        <f t="shared" si="20"/>
        <v/>
      </c>
    </row>
    <row r="243" spans="4:10" ht="22.5" customHeight="1" x14ac:dyDescent="0.25">
      <c r="D243" s="59" t="str">
        <f t="shared" si="16"/>
        <v/>
      </c>
      <c r="E243" s="59" t="str">
        <f t="shared" si="18"/>
        <v/>
      </c>
      <c r="F243" s="59" t="str">
        <f t="shared" si="19"/>
        <v/>
      </c>
      <c r="G243" s="59" t="str">
        <f>IF($A243="","",
   SUMIFS(Transactions!$P:$P,
          Transactions!$G:$G,$A243,
          Transactions!$C:$C,"IN",
          Transactions!$Q:$Q,"Paid"))</f>
        <v/>
      </c>
      <c r="H243" s="59" t="str">
        <f>IF($A243="","",
   SUMIFS(Transactions!$P:$P,
          Transactions!$G:$G,$A243,
          Transactions!$C:$C,"OUT"))</f>
        <v/>
      </c>
      <c r="I243" s="65" t="str">
        <f t="shared" si="17"/>
        <v/>
      </c>
      <c r="J243" s="59" t="str">
        <f t="shared" si="20"/>
        <v/>
      </c>
    </row>
    <row r="244" spans="4:10" ht="22.5" customHeight="1" x14ac:dyDescent="0.25">
      <c r="D244" s="59" t="str">
        <f t="shared" si="16"/>
        <v/>
      </c>
      <c r="E244" s="59" t="str">
        <f t="shared" si="18"/>
        <v/>
      </c>
      <c r="F244" s="59" t="str">
        <f t="shared" si="19"/>
        <v/>
      </c>
      <c r="G244" s="59" t="str">
        <f>IF($A244="","",
   SUMIFS(Transactions!$P:$P,
          Transactions!$G:$G,$A244,
          Transactions!$C:$C,"IN",
          Transactions!$Q:$Q,"Paid"))</f>
        <v/>
      </c>
      <c r="H244" s="59" t="str">
        <f>IF($A244="","",
   SUMIFS(Transactions!$P:$P,
          Transactions!$G:$G,$A244,
          Transactions!$C:$C,"OUT"))</f>
        <v/>
      </c>
      <c r="I244" s="65" t="str">
        <f t="shared" si="17"/>
        <v/>
      </c>
      <c r="J244" s="59" t="str">
        <f t="shared" si="20"/>
        <v/>
      </c>
    </row>
    <row r="245" spans="4:10" ht="22.5" customHeight="1" x14ac:dyDescent="0.25">
      <c r="D245" s="59" t="str">
        <f t="shared" si="16"/>
        <v/>
      </c>
      <c r="E245" s="59" t="str">
        <f t="shared" si="18"/>
        <v/>
      </c>
      <c r="F245" s="59" t="str">
        <f t="shared" si="19"/>
        <v/>
      </c>
      <c r="G245" s="59" t="str">
        <f>IF($A245="","",
   SUMIFS(Transactions!$P:$P,
          Transactions!$G:$G,$A245,
          Transactions!$C:$C,"IN",
          Transactions!$Q:$Q,"Paid"))</f>
        <v/>
      </c>
      <c r="H245" s="59" t="str">
        <f>IF($A245="","",
   SUMIFS(Transactions!$P:$P,
          Transactions!$G:$G,$A245,
          Transactions!$C:$C,"OUT"))</f>
        <v/>
      </c>
      <c r="I245" s="65" t="str">
        <f t="shared" si="17"/>
        <v/>
      </c>
      <c r="J245" s="59" t="str">
        <f t="shared" si="20"/>
        <v/>
      </c>
    </row>
    <row r="246" spans="4:10" ht="22.5" customHeight="1" x14ac:dyDescent="0.25">
      <c r="D246" s="59" t="str">
        <f t="shared" si="16"/>
        <v/>
      </c>
      <c r="E246" s="59" t="str">
        <f t="shared" si="18"/>
        <v/>
      </c>
      <c r="F246" s="59" t="str">
        <f t="shared" si="19"/>
        <v/>
      </c>
      <c r="G246" s="59" t="str">
        <f>IF($A246="","",
   SUMIFS(Transactions!$P:$P,
          Transactions!$G:$G,$A246,
          Transactions!$C:$C,"IN",
          Transactions!$Q:$Q,"Paid"))</f>
        <v/>
      </c>
      <c r="H246" s="59" t="str">
        <f>IF($A246="","",
   SUMIFS(Transactions!$P:$P,
          Transactions!$G:$G,$A246,
          Transactions!$C:$C,"OUT"))</f>
        <v/>
      </c>
      <c r="I246" s="65" t="str">
        <f t="shared" si="17"/>
        <v/>
      </c>
      <c r="J246" s="59" t="str">
        <f t="shared" si="20"/>
        <v/>
      </c>
    </row>
    <row r="247" spans="4:10" ht="22.5" customHeight="1" x14ac:dyDescent="0.25">
      <c r="D247" s="59" t="str">
        <f t="shared" si="16"/>
        <v/>
      </c>
      <c r="E247" s="59" t="str">
        <f t="shared" si="18"/>
        <v/>
      </c>
      <c r="F247" s="59" t="str">
        <f t="shared" si="19"/>
        <v/>
      </c>
      <c r="G247" s="59" t="str">
        <f>IF($A247="","",
   SUMIFS(Transactions!$P:$P,
          Transactions!$G:$G,$A247,
          Transactions!$C:$C,"IN",
          Transactions!$Q:$Q,"Paid"))</f>
        <v/>
      </c>
      <c r="H247" s="59" t="str">
        <f>IF($A247="","",
   SUMIFS(Transactions!$P:$P,
          Transactions!$G:$G,$A247,
          Transactions!$C:$C,"OUT"))</f>
        <v/>
      </c>
      <c r="I247" s="65" t="str">
        <f t="shared" si="17"/>
        <v/>
      </c>
      <c r="J247" s="59" t="str">
        <f t="shared" si="20"/>
        <v/>
      </c>
    </row>
    <row r="248" spans="4:10" ht="22.5" customHeight="1" x14ac:dyDescent="0.25">
      <c r="D248" s="59" t="str">
        <f t="shared" si="16"/>
        <v/>
      </c>
      <c r="E248" s="59" t="str">
        <f t="shared" si="18"/>
        <v/>
      </c>
      <c r="F248" s="59" t="str">
        <f t="shared" si="19"/>
        <v/>
      </c>
      <c r="G248" s="59" t="str">
        <f>IF($A248="","",
   SUMIFS(Transactions!$P:$P,
          Transactions!$G:$G,$A248,
          Transactions!$C:$C,"IN",
          Transactions!$Q:$Q,"Paid"))</f>
        <v/>
      </c>
      <c r="H248" s="59" t="str">
        <f>IF($A248="","",
   SUMIFS(Transactions!$P:$P,
          Transactions!$G:$G,$A248,
          Transactions!$C:$C,"OUT"))</f>
        <v/>
      </c>
      <c r="I248" s="65" t="str">
        <f t="shared" si="17"/>
        <v/>
      </c>
      <c r="J248" s="59" t="str">
        <f t="shared" si="20"/>
        <v/>
      </c>
    </row>
    <row r="249" spans="4:10" ht="22.5" customHeight="1" x14ac:dyDescent="0.25">
      <c r="D249" s="59" t="str">
        <f t="shared" si="16"/>
        <v/>
      </c>
      <c r="E249" s="59" t="str">
        <f t="shared" si="18"/>
        <v/>
      </c>
      <c r="F249" s="59" t="str">
        <f t="shared" si="19"/>
        <v/>
      </c>
      <c r="G249" s="59" t="str">
        <f>IF($A249="","",
   SUMIFS(Transactions!$P:$P,
          Transactions!$G:$G,$A249,
          Transactions!$C:$C,"IN",
          Transactions!$Q:$Q,"Paid"))</f>
        <v/>
      </c>
      <c r="H249" s="59" t="str">
        <f>IF($A249="","",
   SUMIFS(Transactions!$P:$P,
          Transactions!$G:$G,$A249,
          Transactions!$C:$C,"OUT"))</f>
        <v/>
      </c>
      <c r="I249" s="65" t="str">
        <f t="shared" si="17"/>
        <v/>
      </c>
      <c r="J249" s="59" t="str">
        <f t="shared" si="20"/>
        <v/>
      </c>
    </row>
    <row r="250" spans="4:10" ht="22.5" customHeight="1" x14ac:dyDescent="0.25">
      <c r="D250" s="59" t="str">
        <f t="shared" si="16"/>
        <v/>
      </c>
      <c r="E250" s="59" t="str">
        <f t="shared" si="18"/>
        <v/>
      </c>
      <c r="F250" s="59" t="str">
        <f t="shared" si="19"/>
        <v/>
      </c>
      <c r="G250" s="59" t="str">
        <f>IF($A250="","",
   SUMIFS(Transactions!$P:$P,
          Transactions!$G:$G,$A250,
          Transactions!$C:$C,"IN",
          Transactions!$Q:$Q,"Paid"))</f>
        <v/>
      </c>
      <c r="H250" s="59" t="str">
        <f>IF($A250="","",
   SUMIFS(Transactions!$P:$P,
          Transactions!$G:$G,$A250,
          Transactions!$C:$C,"OUT"))</f>
        <v/>
      </c>
      <c r="I250" s="65" t="str">
        <f t="shared" si="17"/>
        <v/>
      </c>
      <c r="J250" s="59" t="str">
        <f t="shared" si="20"/>
        <v/>
      </c>
    </row>
    <row r="251" spans="4:10" ht="22.5" customHeight="1" x14ac:dyDescent="0.25">
      <c r="D251" s="59" t="str">
        <f t="shared" si="16"/>
        <v/>
      </c>
      <c r="E251" s="59" t="str">
        <f t="shared" si="18"/>
        <v/>
      </c>
      <c r="F251" s="59" t="str">
        <f t="shared" si="19"/>
        <v/>
      </c>
      <c r="G251" s="59" t="str">
        <f>IF($A251="","",
   SUMIFS(Transactions!$P:$P,
          Transactions!$G:$G,$A251,
          Transactions!$C:$C,"IN",
          Transactions!$Q:$Q,"Paid"))</f>
        <v/>
      </c>
      <c r="H251" s="59" t="str">
        <f>IF($A251="","",
   SUMIFS(Transactions!$P:$P,
          Transactions!$G:$G,$A251,
          Transactions!$C:$C,"OUT"))</f>
        <v/>
      </c>
      <c r="I251" s="65" t="str">
        <f t="shared" si="17"/>
        <v/>
      </c>
      <c r="J251" s="59" t="str">
        <f t="shared" si="20"/>
        <v/>
      </c>
    </row>
    <row r="252" spans="4:10" ht="22.5" customHeight="1" x14ac:dyDescent="0.25">
      <c r="D252" s="59" t="str">
        <f t="shared" si="16"/>
        <v/>
      </c>
      <c r="E252" s="59" t="str">
        <f t="shared" si="18"/>
        <v/>
      </c>
      <c r="F252" s="59" t="str">
        <f t="shared" si="19"/>
        <v/>
      </c>
      <c r="G252" s="59" t="str">
        <f>IF($A252="","",
   SUMIFS(Transactions!$P:$P,
          Transactions!$G:$G,$A252,
          Transactions!$C:$C,"IN",
          Transactions!$Q:$Q,"Paid"))</f>
        <v/>
      </c>
      <c r="H252" s="59" t="str">
        <f>IF($A252="","",
   SUMIFS(Transactions!$P:$P,
          Transactions!$G:$G,$A252,
          Transactions!$C:$C,"OUT"))</f>
        <v/>
      </c>
      <c r="I252" s="65" t="str">
        <f t="shared" si="17"/>
        <v/>
      </c>
      <c r="J252" s="59" t="str">
        <f t="shared" si="20"/>
        <v/>
      </c>
    </row>
    <row r="253" spans="4:10" ht="22.5" customHeight="1" x14ac:dyDescent="0.25">
      <c r="D253" s="59" t="str">
        <f t="shared" si="16"/>
        <v/>
      </c>
      <c r="E253" s="59" t="str">
        <f t="shared" si="18"/>
        <v/>
      </c>
      <c r="F253" s="59" t="str">
        <f t="shared" si="19"/>
        <v/>
      </c>
      <c r="G253" s="59" t="str">
        <f>IF($A253="","",
   SUMIFS(Transactions!$P:$P,
          Transactions!$G:$G,$A253,
          Transactions!$C:$C,"IN",
          Transactions!$Q:$Q,"Paid"))</f>
        <v/>
      </c>
      <c r="H253" s="59" t="str">
        <f>IF($A253="","",
   SUMIFS(Transactions!$P:$P,
          Transactions!$G:$G,$A253,
          Transactions!$C:$C,"OUT"))</f>
        <v/>
      </c>
      <c r="I253" s="65" t="str">
        <f t="shared" si="17"/>
        <v/>
      </c>
      <c r="J253" s="59" t="str">
        <f t="shared" si="20"/>
        <v/>
      </c>
    </row>
    <row r="254" spans="4:10" ht="22.5" customHeight="1" x14ac:dyDescent="0.25">
      <c r="D254" s="59" t="str">
        <f t="shared" si="16"/>
        <v/>
      </c>
      <c r="E254" s="59" t="str">
        <f t="shared" si="18"/>
        <v/>
      </c>
      <c r="F254" s="59" t="str">
        <f t="shared" si="19"/>
        <v/>
      </c>
      <c r="G254" s="59" t="str">
        <f>IF($A254="","",
   SUMIFS(Transactions!$P:$P,
          Transactions!$G:$G,$A254,
          Transactions!$C:$C,"IN",
          Transactions!$Q:$Q,"Paid"))</f>
        <v/>
      </c>
      <c r="H254" s="59" t="str">
        <f>IF($A254="","",
   SUMIFS(Transactions!$P:$P,
          Transactions!$G:$G,$A254,
          Transactions!$C:$C,"OUT"))</f>
        <v/>
      </c>
      <c r="I254" s="65" t="str">
        <f t="shared" si="17"/>
        <v/>
      </c>
      <c r="J254" s="59" t="str">
        <f t="shared" si="20"/>
        <v/>
      </c>
    </row>
    <row r="255" spans="4:10" ht="22.5" customHeight="1" x14ac:dyDescent="0.25">
      <c r="D255" s="59" t="str">
        <f t="shared" si="16"/>
        <v/>
      </c>
      <c r="E255" s="59" t="str">
        <f t="shared" si="18"/>
        <v/>
      </c>
      <c r="F255" s="59" t="str">
        <f t="shared" si="19"/>
        <v/>
      </c>
      <c r="G255" s="59" t="str">
        <f>IF($A255="","",
   SUMIFS(Transactions!$P:$P,
          Transactions!$G:$G,$A255,
          Transactions!$C:$C,"IN",
          Transactions!$Q:$Q,"Paid"))</f>
        <v/>
      </c>
      <c r="H255" s="59" t="str">
        <f>IF($A255="","",
   SUMIFS(Transactions!$P:$P,
          Transactions!$G:$G,$A255,
          Transactions!$C:$C,"OUT"))</f>
        <v/>
      </c>
      <c r="I255" s="65" t="str">
        <f t="shared" si="17"/>
        <v/>
      </c>
      <c r="J255" s="59" t="str">
        <f t="shared" si="20"/>
        <v/>
      </c>
    </row>
    <row r="256" spans="4:10" ht="22.5" customHeight="1" x14ac:dyDescent="0.25">
      <c r="D256" s="59" t="str">
        <f t="shared" si="16"/>
        <v/>
      </c>
      <c r="E256" s="59" t="str">
        <f t="shared" si="18"/>
        <v/>
      </c>
      <c r="F256" s="59" t="str">
        <f t="shared" si="19"/>
        <v/>
      </c>
      <c r="G256" s="59" t="str">
        <f>IF($A256="","",
   SUMIFS(Transactions!$P:$P,
          Transactions!$G:$G,$A256,
          Transactions!$C:$C,"IN",
          Transactions!$Q:$Q,"Paid"))</f>
        <v/>
      </c>
      <c r="H256" s="59" t="str">
        <f>IF($A256="","",
   SUMIFS(Transactions!$P:$P,
          Transactions!$G:$G,$A256,
          Transactions!$C:$C,"OUT"))</f>
        <v/>
      </c>
      <c r="I256" s="65" t="str">
        <f t="shared" si="17"/>
        <v/>
      </c>
      <c r="J256" s="59" t="str">
        <f t="shared" si="20"/>
        <v/>
      </c>
    </row>
    <row r="257" spans="4:10" ht="22.5" customHeight="1" x14ac:dyDescent="0.25">
      <c r="D257" s="59" t="str">
        <f t="shared" si="16"/>
        <v/>
      </c>
      <c r="E257" s="59" t="str">
        <f t="shared" si="18"/>
        <v/>
      </c>
      <c r="F257" s="59" t="str">
        <f t="shared" si="19"/>
        <v/>
      </c>
      <c r="G257" s="59" t="str">
        <f>IF($A257="","",
   SUMIFS(Transactions!$P:$P,
          Transactions!$G:$G,$A257,
          Transactions!$C:$C,"IN",
          Transactions!$Q:$Q,"Paid"))</f>
        <v/>
      </c>
      <c r="H257" s="59" t="str">
        <f>IF($A257="","",
   SUMIFS(Transactions!$P:$P,
          Transactions!$G:$G,$A257,
          Transactions!$C:$C,"OUT"))</f>
        <v/>
      </c>
      <c r="I257" s="65" t="str">
        <f t="shared" si="17"/>
        <v/>
      </c>
      <c r="J257" s="59" t="str">
        <f t="shared" si="20"/>
        <v/>
      </c>
    </row>
    <row r="258" spans="4:10" ht="22.5" customHeight="1" x14ac:dyDescent="0.25">
      <c r="D258" s="59" t="str">
        <f t="shared" si="16"/>
        <v/>
      </c>
      <c r="E258" s="59" t="str">
        <f t="shared" si="18"/>
        <v/>
      </c>
      <c r="F258" s="59" t="str">
        <f t="shared" si="19"/>
        <v/>
      </c>
      <c r="G258" s="59" t="str">
        <f>IF($A258="","",
   SUMIFS(Transactions!$P:$P,
          Transactions!$G:$G,$A258,
          Transactions!$C:$C,"IN",
          Transactions!$Q:$Q,"Paid"))</f>
        <v/>
      </c>
      <c r="H258" s="59" t="str">
        <f>IF($A258="","",
   SUMIFS(Transactions!$P:$P,
          Transactions!$G:$G,$A258,
          Transactions!$C:$C,"OUT"))</f>
        <v/>
      </c>
      <c r="I258" s="65" t="str">
        <f t="shared" si="17"/>
        <v/>
      </c>
      <c r="J258" s="59" t="str">
        <f t="shared" si="20"/>
        <v/>
      </c>
    </row>
    <row r="259" spans="4:10" ht="22.5" customHeight="1" x14ac:dyDescent="0.25">
      <c r="D259" s="59" t="str">
        <f t="shared" ref="D259:D322" si="21">IF(C259="","",ROUND(C259*0.15,2))</f>
        <v/>
      </c>
      <c r="E259" s="59" t="str">
        <f t="shared" si="18"/>
        <v/>
      </c>
      <c r="F259" s="59" t="str">
        <f t="shared" si="19"/>
        <v/>
      </c>
      <c r="G259" s="59" t="str">
        <f>IF($A259="","",
   SUMIFS(Transactions!$P:$P,
          Transactions!$G:$G,$A259,
          Transactions!$C:$C,"IN",
          Transactions!$Q:$Q,"Paid"))</f>
        <v/>
      </c>
      <c r="H259" s="59" t="str">
        <f>IF($A259="","",
   SUMIFS(Transactions!$P:$P,
          Transactions!$G:$G,$A259,
          Transactions!$C:$C,"OUT"))</f>
        <v/>
      </c>
      <c r="I259" s="65" t="str">
        <f t="shared" ref="I259:I322" si="22">IF(C259="","",C259-H259)</f>
        <v/>
      </c>
      <c r="J259" s="59" t="str">
        <f t="shared" si="20"/>
        <v/>
      </c>
    </row>
    <row r="260" spans="4:10" ht="22.5" customHeight="1" x14ac:dyDescent="0.25">
      <c r="D260" s="59" t="str">
        <f t="shared" si="21"/>
        <v/>
      </c>
      <c r="E260" s="59" t="str">
        <f t="shared" ref="E260:E323" si="23">IF(C260="","",C260+D260)</f>
        <v/>
      </c>
      <c r="F260" s="59" t="str">
        <f t="shared" ref="F260:F323" si="24">IF(E260="","",E260*0.5)</f>
        <v/>
      </c>
      <c r="G260" s="59" t="str">
        <f>IF($A260="","",
   SUMIFS(Transactions!$P:$P,
          Transactions!$G:$G,$A260,
          Transactions!$C:$C,"IN",
          Transactions!$Q:$Q,"Paid"))</f>
        <v/>
      </c>
      <c r="H260" s="59" t="str">
        <f>IF($A260="","",
   SUMIFS(Transactions!$P:$P,
          Transactions!$G:$G,$A260,
          Transactions!$C:$C,"OUT"))</f>
        <v/>
      </c>
      <c r="I260" s="65" t="str">
        <f t="shared" si="22"/>
        <v/>
      </c>
      <c r="J260" s="59" t="str">
        <f t="shared" ref="J260:J323" si="25">IF(E260="","",E260-G260)</f>
        <v/>
      </c>
    </row>
    <row r="261" spans="4:10" ht="22.5" customHeight="1" x14ac:dyDescent="0.25">
      <c r="D261" s="59" t="str">
        <f t="shared" si="21"/>
        <v/>
      </c>
      <c r="E261" s="59" t="str">
        <f t="shared" si="23"/>
        <v/>
      </c>
      <c r="F261" s="59" t="str">
        <f t="shared" si="24"/>
        <v/>
      </c>
      <c r="G261" s="59" t="str">
        <f>IF($A261="","",
   SUMIFS(Transactions!$P:$P,
          Transactions!$G:$G,$A261,
          Transactions!$C:$C,"IN",
          Transactions!$Q:$Q,"Paid"))</f>
        <v/>
      </c>
      <c r="H261" s="59" t="str">
        <f>IF($A261="","",
   SUMIFS(Transactions!$P:$P,
          Transactions!$G:$G,$A261,
          Transactions!$C:$C,"OUT"))</f>
        <v/>
      </c>
      <c r="I261" s="65" t="str">
        <f t="shared" si="22"/>
        <v/>
      </c>
      <c r="J261" s="59" t="str">
        <f t="shared" si="25"/>
        <v/>
      </c>
    </row>
    <row r="262" spans="4:10" ht="22.5" customHeight="1" x14ac:dyDescent="0.25">
      <c r="D262" s="59" t="str">
        <f t="shared" si="21"/>
        <v/>
      </c>
      <c r="E262" s="59" t="str">
        <f t="shared" si="23"/>
        <v/>
      </c>
      <c r="F262" s="59" t="str">
        <f t="shared" si="24"/>
        <v/>
      </c>
      <c r="G262" s="59" t="str">
        <f>IF($A262="","",
   SUMIFS(Transactions!$P:$P,
          Transactions!$G:$G,$A262,
          Transactions!$C:$C,"IN",
          Transactions!$Q:$Q,"Paid"))</f>
        <v/>
      </c>
      <c r="H262" s="59" t="str">
        <f>IF($A262="","",
   SUMIFS(Transactions!$P:$P,
          Transactions!$G:$G,$A262,
          Transactions!$C:$C,"OUT"))</f>
        <v/>
      </c>
      <c r="I262" s="65" t="str">
        <f t="shared" si="22"/>
        <v/>
      </c>
      <c r="J262" s="59" t="str">
        <f t="shared" si="25"/>
        <v/>
      </c>
    </row>
    <row r="263" spans="4:10" ht="22.5" customHeight="1" x14ac:dyDescent="0.25">
      <c r="D263" s="59" t="str">
        <f t="shared" si="21"/>
        <v/>
      </c>
      <c r="E263" s="59" t="str">
        <f t="shared" si="23"/>
        <v/>
      </c>
      <c r="F263" s="59" t="str">
        <f t="shared" si="24"/>
        <v/>
      </c>
      <c r="G263" s="59" t="str">
        <f>IF($A263="","",
   SUMIFS(Transactions!$P:$P,
          Transactions!$G:$G,$A263,
          Transactions!$C:$C,"IN",
          Transactions!$Q:$Q,"Paid"))</f>
        <v/>
      </c>
      <c r="H263" s="59" t="str">
        <f>IF($A263="","",
   SUMIFS(Transactions!$P:$P,
          Transactions!$G:$G,$A263,
          Transactions!$C:$C,"OUT"))</f>
        <v/>
      </c>
      <c r="I263" s="65" t="str">
        <f t="shared" si="22"/>
        <v/>
      </c>
      <c r="J263" s="59" t="str">
        <f t="shared" si="25"/>
        <v/>
      </c>
    </row>
    <row r="264" spans="4:10" ht="22.5" customHeight="1" x14ac:dyDescent="0.25">
      <c r="D264" s="59" t="str">
        <f t="shared" si="21"/>
        <v/>
      </c>
      <c r="E264" s="59" t="str">
        <f t="shared" si="23"/>
        <v/>
      </c>
      <c r="F264" s="59" t="str">
        <f t="shared" si="24"/>
        <v/>
      </c>
      <c r="G264" s="59" t="str">
        <f>IF($A264="","",
   SUMIFS(Transactions!$P:$P,
          Transactions!$G:$G,$A264,
          Transactions!$C:$C,"IN",
          Transactions!$Q:$Q,"Paid"))</f>
        <v/>
      </c>
      <c r="H264" s="59" t="str">
        <f>IF($A264="","",
   SUMIFS(Transactions!$P:$P,
          Transactions!$G:$G,$A264,
          Transactions!$C:$C,"OUT"))</f>
        <v/>
      </c>
      <c r="I264" s="65" t="str">
        <f t="shared" si="22"/>
        <v/>
      </c>
      <c r="J264" s="59" t="str">
        <f t="shared" si="25"/>
        <v/>
      </c>
    </row>
    <row r="265" spans="4:10" ht="22.5" customHeight="1" x14ac:dyDescent="0.25">
      <c r="D265" s="59" t="str">
        <f t="shared" si="21"/>
        <v/>
      </c>
      <c r="E265" s="59" t="str">
        <f t="shared" si="23"/>
        <v/>
      </c>
      <c r="F265" s="59" t="str">
        <f t="shared" si="24"/>
        <v/>
      </c>
      <c r="G265" s="59" t="str">
        <f>IF($A265="","",
   SUMIFS(Transactions!$P:$P,
          Transactions!$G:$G,$A265,
          Transactions!$C:$C,"IN",
          Transactions!$Q:$Q,"Paid"))</f>
        <v/>
      </c>
      <c r="H265" s="59" t="str">
        <f>IF($A265="","",
   SUMIFS(Transactions!$P:$P,
          Transactions!$G:$G,$A265,
          Transactions!$C:$C,"OUT"))</f>
        <v/>
      </c>
      <c r="I265" s="65" t="str">
        <f t="shared" si="22"/>
        <v/>
      </c>
      <c r="J265" s="59" t="str">
        <f t="shared" si="25"/>
        <v/>
      </c>
    </row>
    <row r="266" spans="4:10" ht="22.5" customHeight="1" x14ac:dyDescent="0.25">
      <c r="D266" s="59" t="str">
        <f t="shared" si="21"/>
        <v/>
      </c>
      <c r="E266" s="59" t="str">
        <f t="shared" si="23"/>
        <v/>
      </c>
      <c r="F266" s="59" t="str">
        <f t="shared" si="24"/>
        <v/>
      </c>
      <c r="G266" s="59" t="str">
        <f>IF($A266="","",
   SUMIFS(Transactions!$P:$P,
          Transactions!$G:$G,$A266,
          Transactions!$C:$C,"IN",
          Transactions!$Q:$Q,"Paid"))</f>
        <v/>
      </c>
      <c r="H266" s="59" t="str">
        <f>IF($A266="","",
   SUMIFS(Transactions!$P:$P,
          Transactions!$G:$G,$A266,
          Transactions!$C:$C,"OUT"))</f>
        <v/>
      </c>
      <c r="I266" s="65" t="str">
        <f t="shared" si="22"/>
        <v/>
      </c>
      <c r="J266" s="59" t="str">
        <f t="shared" si="25"/>
        <v/>
      </c>
    </row>
    <row r="267" spans="4:10" ht="22.5" customHeight="1" x14ac:dyDescent="0.25">
      <c r="D267" s="59" t="str">
        <f t="shared" si="21"/>
        <v/>
      </c>
      <c r="E267" s="59" t="str">
        <f t="shared" si="23"/>
        <v/>
      </c>
      <c r="F267" s="59" t="str">
        <f t="shared" si="24"/>
        <v/>
      </c>
      <c r="G267" s="59" t="str">
        <f>IF($A267="","",
   SUMIFS(Transactions!$P:$P,
          Transactions!$G:$G,$A267,
          Transactions!$C:$C,"IN",
          Transactions!$Q:$Q,"Paid"))</f>
        <v/>
      </c>
      <c r="H267" s="59" t="str">
        <f>IF($A267="","",
   SUMIFS(Transactions!$P:$P,
          Transactions!$G:$G,$A267,
          Transactions!$C:$C,"OUT"))</f>
        <v/>
      </c>
      <c r="I267" s="65" t="str">
        <f t="shared" si="22"/>
        <v/>
      </c>
      <c r="J267" s="59" t="str">
        <f t="shared" si="25"/>
        <v/>
      </c>
    </row>
    <row r="268" spans="4:10" ht="22.5" customHeight="1" x14ac:dyDescent="0.25">
      <c r="D268" s="59" t="str">
        <f t="shared" si="21"/>
        <v/>
      </c>
      <c r="E268" s="59" t="str">
        <f t="shared" si="23"/>
        <v/>
      </c>
      <c r="F268" s="59" t="str">
        <f t="shared" si="24"/>
        <v/>
      </c>
      <c r="G268" s="59" t="str">
        <f>IF($A268="","",
   SUMIFS(Transactions!$P:$P,
          Transactions!$G:$G,$A268,
          Transactions!$C:$C,"IN",
          Transactions!$Q:$Q,"Paid"))</f>
        <v/>
      </c>
      <c r="H268" s="59" t="str">
        <f>IF($A268="","",
   SUMIFS(Transactions!$P:$P,
          Transactions!$G:$G,$A268,
          Transactions!$C:$C,"OUT"))</f>
        <v/>
      </c>
      <c r="I268" s="65" t="str">
        <f t="shared" si="22"/>
        <v/>
      </c>
      <c r="J268" s="59" t="str">
        <f t="shared" si="25"/>
        <v/>
      </c>
    </row>
    <row r="269" spans="4:10" ht="22.5" customHeight="1" x14ac:dyDescent="0.25">
      <c r="D269" s="59" t="str">
        <f t="shared" si="21"/>
        <v/>
      </c>
      <c r="E269" s="59" t="str">
        <f t="shared" si="23"/>
        <v/>
      </c>
      <c r="F269" s="59" t="str">
        <f t="shared" si="24"/>
        <v/>
      </c>
      <c r="G269" s="59" t="str">
        <f>IF($A269="","",
   SUMIFS(Transactions!$P:$P,
          Transactions!$G:$G,$A269,
          Transactions!$C:$C,"IN",
          Transactions!$Q:$Q,"Paid"))</f>
        <v/>
      </c>
      <c r="H269" s="59" t="str">
        <f>IF($A269="","",
   SUMIFS(Transactions!$P:$P,
          Transactions!$G:$G,$A269,
          Transactions!$C:$C,"OUT"))</f>
        <v/>
      </c>
      <c r="I269" s="65" t="str">
        <f t="shared" si="22"/>
        <v/>
      </c>
      <c r="J269" s="59" t="str">
        <f t="shared" si="25"/>
        <v/>
      </c>
    </row>
    <row r="270" spans="4:10" ht="22.5" customHeight="1" x14ac:dyDescent="0.25">
      <c r="D270" s="59" t="str">
        <f t="shared" si="21"/>
        <v/>
      </c>
      <c r="E270" s="59" t="str">
        <f t="shared" si="23"/>
        <v/>
      </c>
      <c r="F270" s="59" t="str">
        <f t="shared" si="24"/>
        <v/>
      </c>
      <c r="G270" s="59" t="str">
        <f>IF($A270="","",
   SUMIFS(Transactions!$P:$P,
          Transactions!$G:$G,$A270,
          Transactions!$C:$C,"IN",
          Transactions!$Q:$Q,"Paid"))</f>
        <v/>
      </c>
      <c r="H270" s="59" t="str">
        <f>IF($A270="","",
   SUMIFS(Transactions!$P:$P,
          Transactions!$G:$G,$A270,
          Transactions!$C:$C,"OUT"))</f>
        <v/>
      </c>
      <c r="I270" s="65" t="str">
        <f t="shared" si="22"/>
        <v/>
      </c>
      <c r="J270" s="59" t="str">
        <f t="shared" si="25"/>
        <v/>
      </c>
    </row>
    <row r="271" spans="4:10" ht="22.5" customHeight="1" x14ac:dyDescent="0.25">
      <c r="D271" s="59" t="str">
        <f t="shared" si="21"/>
        <v/>
      </c>
      <c r="E271" s="59" t="str">
        <f t="shared" si="23"/>
        <v/>
      </c>
      <c r="F271" s="59" t="str">
        <f t="shared" si="24"/>
        <v/>
      </c>
      <c r="G271" s="59" t="str">
        <f>IF($A271="","",
   SUMIFS(Transactions!$P:$P,
          Transactions!$G:$G,$A271,
          Transactions!$C:$C,"IN",
          Transactions!$Q:$Q,"Paid"))</f>
        <v/>
      </c>
      <c r="H271" s="59" t="str">
        <f>IF($A271="","",
   SUMIFS(Transactions!$P:$P,
          Transactions!$G:$G,$A271,
          Transactions!$C:$C,"OUT"))</f>
        <v/>
      </c>
      <c r="I271" s="65" t="str">
        <f t="shared" si="22"/>
        <v/>
      </c>
      <c r="J271" s="59" t="str">
        <f t="shared" si="25"/>
        <v/>
      </c>
    </row>
    <row r="272" spans="4:10" ht="22.5" customHeight="1" x14ac:dyDescent="0.25">
      <c r="D272" s="59" t="str">
        <f t="shared" si="21"/>
        <v/>
      </c>
      <c r="E272" s="59" t="str">
        <f t="shared" si="23"/>
        <v/>
      </c>
      <c r="F272" s="59" t="str">
        <f t="shared" si="24"/>
        <v/>
      </c>
      <c r="G272" s="59" t="str">
        <f>IF($A272="","",
   SUMIFS(Transactions!$P:$P,
          Transactions!$G:$G,$A272,
          Transactions!$C:$C,"IN",
          Transactions!$Q:$Q,"Paid"))</f>
        <v/>
      </c>
      <c r="H272" s="59" t="str">
        <f>IF($A272="","",
   SUMIFS(Transactions!$P:$P,
          Transactions!$G:$G,$A272,
          Transactions!$C:$C,"OUT"))</f>
        <v/>
      </c>
      <c r="I272" s="65" t="str">
        <f t="shared" si="22"/>
        <v/>
      </c>
      <c r="J272" s="59" t="str">
        <f t="shared" si="25"/>
        <v/>
      </c>
    </row>
    <row r="273" spans="4:10" ht="22.5" customHeight="1" x14ac:dyDescent="0.25">
      <c r="D273" s="59" t="str">
        <f t="shared" si="21"/>
        <v/>
      </c>
      <c r="E273" s="59" t="str">
        <f t="shared" si="23"/>
        <v/>
      </c>
      <c r="F273" s="59" t="str">
        <f t="shared" si="24"/>
        <v/>
      </c>
      <c r="G273" s="59" t="str">
        <f>IF($A273="","",
   SUMIFS(Transactions!$P:$P,
          Transactions!$G:$G,$A273,
          Transactions!$C:$C,"IN",
          Transactions!$Q:$Q,"Paid"))</f>
        <v/>
      </c>
      <c r="H273" s="59" t="str">
        <f>IF($A273="","",
   SUMIFS(Transactions!$P:$P,
          Transactions!$G:$G,$A273,
          Transactions!$C:$C,"OUT"))</f>
        <v/>
      </c>
      <c r="I273" s="65" t="str">
        <f t="shared" si="22"/>
        <v/>
      </c>
      <c r="J273" s="59" t="str">
        <f t="shared" si="25"/>
        <v/>
      </c>
    </row>
    <row r="274" spans="4:10" ht="22.5" customHeight="1" x14ac:dyDescent="0.25">
      <c r="D274" s="59" t="str">
        <f t="shared" si="21"/>
        <v/>
      </c>
      <c r="E274" s="59" t="str">
        <f t="shared" si="23"/>
        <v/>
      </c>
      <c r="F274" s="59" t="str">
        <f t="shared" si="24"/>
        <v/>
      </c>
      <c r="G274" s="59" t="str">
        <f>IF($A274="","",
   SUMIFS(Transactions!$P:$P,
          Transactions!$G:$G,$A274,
          Transactions!$C:$C,"IN",
          Transactions!$Q:$Q,"Paid"))</f>
        <v/>
      </c>
      <c r="H274" s="59" t="str">
        <f>IF($A274="","",
   SUMIFS(Transactions!$P:$P,
          Transactions!$G:$G,$A274,
          Transactions!$C:$C,"OUT"))</f>
        <v/>
      </c>
      <c r="I274" s="65" t="str">
        <f t="shared" si="22"/>
        <v/>
      </c>
      <c r="J274" s="59" t="str">
        <f t="shared" si="25"/>
        <v/>
      </c>
    </row>
    <row r="275" spans="4:10" ht="22.5" customHeight="1" x14ac:dyDescent="0.25">
      <c r="D275" s="59" t="str">
        <f t="shared" si="21"/>
        <v/>
      </c>
      <c r="E275" s="59" t="str">
        <f t="shared" si="23"/>
        <v/>
      </c>
      <c r="F275" s="59" t="str">
        <f t="shared" si="24"/>
        <v/>
      </c>
      <c r="G275" s="59" t="str">
        <f>IF($A275="","",
   SUMIFS(Transactions!$P:$P,
          Transactions!$G:$G,$A275,
          Transactions!$C:$C,"IN",
          Transactions!$Q:$Q,"Paid"))</f>
        <v/>
      </c>
      <c r="H275" s="59" t="str">
        <f>IF($A275="","",
   SUMIFS(Transactions!$P:$P,
          Transactions!$G:$G,$A275,
          Transactions!$C:$C,"OUT"))</f>
        <v/>
      </c>
      <c r="I275" s="65" t="str">
        <f t="shared" si="22"/>
        <v/>
      </c>
      <c r="J275" s="59" t="str">
        <f t="shared" si="25"/>
        <v/>
      </c>
    </row>
    <row r="276" spans="4:10" ht="22.5" customHeight="1" x14ac:dyDescent="0.25">
      <c r="D276" s="59" t="str">
        <f t="shared" si="21"/>
        <v/>
      </c>
      <c r="E276" s="59" t="str">
        <f t="shared" si="23"/>
        <v/>
      </c>
      <c r="F276" s="59" t="str">
        <f t="shared" si="24"/>
        <v/>
      </c>
      <c r="G276" s="59" t="str">
        <f>IF($A276="","",
   SUMIFS(Transactions!$P:$P,
          Transactions!$G:$G,$A276,
          Transactions!$C:$C,"IN",
          Transactions!$Q:$Q,"Paid"))</f>
        <v/>
      </c>
      <c r="H276" s="59" t="str">
        <f>IF($A276="","",
   SUMIFS(Transactions!$P:$P,
          Transactions!$G:$G,$A276,
          Transactions!$C:$C,"OUT"))</f>
        <v/>
      </c>
      <c r="I276" s="65" t="str">
        <f t="shared" si="22"/>
        <v/>
      </c>
      <c r="J276" s="59" t="str">
        <f t="shared" si="25"/>
        <v/>
      </c>
    </row>
    <row r="277" spans="4:10" ht="22.5" customHeight="1" x14ac:dyDescent="0.25">
      <c r="D277" s="59" t="str">
        <f t="shared" si="21"/>
        <v/>
      </c>
      <c r="E277" s="59" t="str">
        <f t="shared" si="23"/>
        <v/>
      </c>
      <c r="F277" s="59" t="str">
        <f t="shared" si="24"/>
        <v/>
      </c>
      <c r="G277" s="59" t="str">
        <f>IF($A277="","",
   SUMIFS(Transactions!$P:$P,
          Transactions!$G:$G,$A277,
          Transactions!$C:$C,"IN",
          Transactions!$Q:$Q,"Paid"))</f>
        <v/>
      </c>
      <c r="H277" s="59" t="str">
        <f>IF($A277="","",
   SUMIFS(Transactions!$P:$P,
          Transactions!$G:$G,$A277,
          Transactions!$C:$C,"OUT"))</f>
        <v/>
      </c>
      <c r="I277" s="65" t="str">
        <f t="shared" si="22"/>
        <v/>
      </c>
      <c r="J277" s="59" t="str">
        <f t="shared" si="25"/>
        <v/>
      </c>
    </row>
    <row r="278" spans="4:10" ht="22.5" customHeight="1" x14ac:dyDescent="0.25">
      <c r="D278" s="59" t="str">
        <f t="shared" si="21"/>
        <v/>
      </c>
      <c r="E278" s="59" t="str">
        <f t="shared" si="23"/>
        <v/>
      </c>
      <c r="F278" s="59" t="str">
        <f t="shared" si="24"/>
        <v/>
      </c>
      <c r="G278" s="59" t="str">
        <f>IF($A278="","",
   SUMIFS(Transactions!$P:$P,
          Transactions!$G:$G,$A278,
          Transactions!$C:$C,"IN",
          Transactions!$Q:$Q,"Paid"))</f>
        <v/>
      </c>
      <c r="H278" s="59" t="str">
        <f>IF($A278="","",
   SUMIFS(Transactions!$P:$P,
          Transactions!$G:$G,$A278,
          Transactions!$C:$C,"OUT"))</f>
        <v/>
      </c>
      <c r="I278" s="65" t="str">
        <f t="shared" si="22"/>
        <v/>
      </c>
      <c r="J278" s="59" t="str">
        <f t="shared" si="25"/>
        <v/>
      </c>
    </row>
    <row r="279" spans="4:10" ht="22.5" customHeight="1" x14ac:dyDescent="0.25">
      <c r="D279" s="59" t="str">
        <f t="shared" si="21"/>
        <v/>
      </c>
      <c r="E279" s="59" t="str">
        <f t="shared" si="23"/>
        <v/>
      </c>
      <c r="F279" s="59" t="str">
        <f t="shared" si="24"/>
        <v/>
      </c>
      <c r="G279" s="59" t="str">
        <f>IF($A279="","",
   SUMIFS(Transactions!$P:$P,
          Transactions!$G:$G,$A279,
          Transactions!$C:$C,"IN",
          Transactions!$Q:$Q,"Paid"))</f>
        <v/>
      </c>
      <c r="H279" s="59" t="str">
        <f>IF($A279="","",
   SUMIFS(Transactions!$P:$P,
          Transactions!$G:$G,$A279,
          Transactions!$C:$C,"OUT"))</f>
        <v/>
      </c>
      <c r="I279" s="65" t="str">
        <f t="shared" si="22"/>
        <v/>
      </c>
      <c r="J279" s="59" t="str">
        <f t="shared" si="25"/>
        <v/>
      </c>
    </row>
    <row r="280" spans="4:10" ht="22.5" customHeight="1" x14ac:dyDescent="0.25">
      <c r="D280" s="59" t="str">
        <f t="shared" si="21"/>
        <v/>
      </c>
      <c r="E280" s="59" t="str">
        <f t="shared" si="23"/>
        <v/>
      </c>
      <c r="F280" s="59" t="str">
        <f t="shared" si="24"/>
        <v/>
      </c>
      <c r="G280" s="59" t="str">
        <f>IF($A280="","",
   SUMIFS(Transactions!$P:$P,
          Transactions!$G:$G,$A280,
          Transactions!$C:$C,"IN",
          Transactions!$Q:$Q,"Paid"))</f>
        <v/>
      </c>
      <c r="H280" s="59" t="str">
        <f>IF($A280="","",
   SUMIFS(Transactions!$P:$P,
          Transactions!$G:$G,$A280,
          Transactions!$C:$C,"OUT"))</f>
        <v/>
      </c>
      <c r="I280" s="65" t="str">
        <f t="shared" si="22"/>
        <v/>
      </c>
      <c r="J280" s="59" t="str">
        <f t="shared" si="25"/>
        <v/>
      </c>
    </row>
    <row r="281" spans="4:10" ht="22.5" customHeight="1" x14ac:dyDescent="0.25">
      <c r="D281" s="59" t="str">
        <f t="shared" si="21"/>
        <v/>
      </c>
      <c r="E281" s="59" t="str">
        <f t="shared" si="23"/>
        <v/>
      </c>
      <c r="F281" s="59" t="str">
        <f t="shared" si="24"/>
        <v/>
      </c>
      <c r="G281" s="59" t="str">
        <f>IF($A281="","",
   SUMIFS(Transactions!$P:$P,
          Transactions!$G:$G,$A281,
          Transactions!$C:$C,"IN",
          Transactions!$Q:$Q,"Paid"))</f>
        <v/>
      </c>
      <c r="H281" s="59" t="str">
        <f>IF($A281="","",
   SUMIFS(Transactions!$P:$P,
          Transactions!$G:$G,$A281,
          Transactions!$C:$C,"OUT"))</f>
        <v/>
      </c>
      <c r="I281" s="65" t="str">
        <f t="shared" si="22"/>
        <v/>
      </c>
      <c r="J281" s="59" t="str">
        <f t="shared" si="25"/>
        <v/>
      </c>
    </row>
    <row r="282" spans="4:10" ht="22.5" customHeight="1" x14ac:dyDescent="0.25">
      <c r="D282" s="59" t="str">
        <f t="shared" si="21"/>
        <v/>
      </c>
      <c r="E282" s="59" t="str">
        <f t="shared" si="23"/>
        <v/>
      </c>
      <c r="F282" s="59" t="str">
        <f t="shared" si="24"/>
        <v/>
      </c>
      <c r="G282" s="59" t="str">
        <f>IF($A282="","",
   SUMIFS(Transactions!$P:$P,
          Transactions!$G:$G,$A282,
          Transactions!$C:$C,"IN",
          Transactions!$Q:$Q,"Paid"))</f>
        <v/>
      </c>
      <c r="H282" s="59" t="str">
        <f>IF($A282="","",
   SUMIFS(Transactions!$P:$P,
          Transactions!$G:$G,$A282,
          Transactions!$C:$C,"OUT"))</f>
        <v/>
      </c>
      <c r="I282" s="65" t="str">
        <f t="shared" si="22"/>
        <v/>
      </c>
      <c r="J282" s="59" t="str">
        <f t="shared" si="25"/>
        <v/>
      </c>
    </row>
    <row r="283" spans="4:10" ht="22.5" customHeight="1" x14ac:dyDescent="0.25">
      <c r="D283" s="59" t="str">
        <f t="shared" si="21"/>
        <v/>
      </c>
      <c r="E283" s="59" t="str">
        <f t="shared" si="23"/>
        <v/>
      </c>
      <c r="F283" s="59" t="str">
        <f t="shared" si="24"/>
        <v/>
      </c>
      <c r="G283" s="59" t="str">
        <f>IF($A283="","",
   SUMIFS(Transactions!$P:$P,
          Transactions!$G:$G,$A283,
          Transactions!$C:$C,"IN",
          Transactions!$Q:$Q,"Paid"))</f>
        <v/>
      </c>
      <c r="H283" s="59" t="str">
        <f>IF($A283="","",
   SUMIFS(Transactions!$P:$P,
          Transactions!$G:$G,$A283,
          Transactions!$C:$C,"OUT"))</f>
        <v/>
      </c>
      <c r="I283" s="65" t="str">
        <f t="shared" si="22"/>
        <v/>
      </c>
      <c r="J283" s="59" t="str">
        <f t="shared" si="25"/>
        <v/>
      </c>
    </row>
    <row r="284" spans="4:10" ht="22.5" customHeight="1" x14ac:dyDescent="0.25">
      <c r="D284" s="59" t="str">
        <f t="shared" si="21"/>
        <v/>
      </c>
      <c r="E284" s="59" t="str">
        <f t="shared" si="23"/>
        <v/>
      </c>
      <c r="F284" s="59" t="str">
        <f t="shared" si="24"/>
        <v/>
      </c>
      <c r="G284" s="59" t="str">
        <f>IF($A284="","",
   SUMIFS(Transactions!$P:$P,
          Transactions!$G:$G,$A284,
          Transactions!$C:$C,"IN",
          Transactions!$Q:$Q,"Paid"))</f>
        <v/>
      </c>
      <c r="H284" s="59" t="str">
        <f>IF($A284="","",
   SUMIFS(Transactions!$P:$P,
          Transactions!$G:$G,$A284,
          Transactions!$C:$C,"OUT"))</f>
        <v/>
      </c>
      <c r="I284" s="65" t="str">
        <f t="shared" si="22"/>
        <v/>
      </c>
      <c r="J284" s="59" t="str">
        <f t="shared" si="25"/>
        <v/>
      </c>
    </row>
    <row r="285" spans="4:10" ht="22.5" customHeight="1" x14ac:dyDescent="0.25">
      <c r="D285" s="59" t="str">
        <f t="shared" si="21"/>
        <v/>
      </c>
      <c r="E285" s="59" t="str">
        <f t="shared" si="23"/>
        <v/>
      </c>
      <c r="F285" s="59" t="str">
        <f t="shared" si="24"/>
        <v/>
      </c>
      <c r="G285" s="59" t="str">
        <f>IF($A285="","",
   SUMIFS(Transactions!$P:$P,
          Transactions!$G:$G,$A285,
          Transactions!$C:$C,"IN",
          Transactions!$Q:$Q,"Paid"))</f>
        <v/>
      </c>
      <c r="H285" s="59" t="str">
        <f>IF($A285="","",
   SUMIFS(Transactions!$P:$P,
          Transactions!$G:$G,$A285,
          Transactions!$C:$C,"OUT"))</f>
        <v/>
      </c>
      <c r="I285" s="65" t="str">
        <f t="shared" si="22"/>
        <v/>
      </c>
      <c r="J285" s="59" t="str">
        <f t="shared" si="25"/>
        <v/>
      </c>
    </row>
    <row r="286" spans="4:10" ht="22.5" customHeight="1" x14ac:dyDescent="0.25">
      <c r="D286" s="59" t="str">
        <f t="shared" si="21"/>
        <v/>
      </c>
      <c r="E286" s="59" t="str">
        <f t="shared" si="23"/>
        <v/>
      </c>
      <c r="F286" s="59" t="str">
        <f t="shared" si="24"/>
        <v/>
      </c>
      <c r="G286" s="59" t="str">
        <f>IF($A286="","",
   SUMIFS(Transactions!$P:$P,
          Transactions!$G:$G,$A286,
          Transactions!$C:$C,"IN",
          Transactions!$Q:$Q,"Paid"))</f>
        <v/>
      </c>
      <c r="H286" s="59" t="str">
        <f>IF($A286="","",
   SUMIFS(Transactions!$P:$P,
          Transactions!$G:$G,$A286,
          Transactions!$C:$C,"OUT"))</f>
        <v/>
      </c>
      <c r="I286" s="65" t="str">
        <f t="shared" si="22"/>
        <v/>
      </c>
      <c r="J286" s="59" t="str">
        <f t="shared" si="25"/>
        <v/>
      </c>
    </row>
    <row r="287" spans="4:10" ht="22.5" customHeight="1" x14ac:dyDescent="0.25">
      <c r="D287" s="59" t="str">
        <f t="shared" si="21"/>
        <v/>
      </c>
      <c r="E287" s="59" t="str">
        <f t="shared" si="23"/>
        <v/>
      </c>
      <c r="F287" s="59" t="str">
        <f t="shared" si="24"/>
        <v/>
      </c>
      <c r="G287" s="59" t="str">
        <f>IF($A287="","",
   SUMIFS(Transactions!$P:$P,
          Transactions!$G:$G,$A287,
          Transactions!$C:$C,"IN",
          Transactions!$Q:$Q,"Paid"))</f>
        <v/>
      </c>
      <c r="H287" s="59" t="str">
        <f>IF($A287="","",
   SUMIFS(Transactions!$P:$P,
          Transactions!$G:$G,$A287,
          Transactions!$C:$C,"OUT"))</f>
        <v/>
      </c>
      <c r="I287" s="65" t="str">
        <f t="shared" si="22"/>
        <v/>
      </c>
      <c r="J287" s="59" t="str">
        <f t="shared" si="25"/>
        <v/>
      </c>
    </row>
    <row r="288" spans="4:10" ht="22.5" customHeight="1" x14ac:dyDescent="0.25">
      <c r="D288" s="59" t="str">
        <f t="shared" si="21"/>
        <v/>
      </c>
      <c r="E288" s="59" t="str">
        <f t="shared" si="23"/>
        <v/>
      </c>
      <c r="F288" s="59" t="str">
        <f t="shared" si="24"/>
        <v/>
      </c>
      <c r="G288" s="59" t="str">
        <f>IF($A288="","",
   SUMIFS(Transactions!$P:$P,
          Transactions!$G:$G,$A288,
          Transactions!$C:$C,"IN",
          Transactions!$Q:$Q,"Paid"))</f>
        <v/>
      </c>
      <c r="H288" s="59" t="str">
        <f>IF($A288="","",
   SUMIFS(Transactions!$P:$P,
          Transactions!$G:$G,$A288,
          Transactions!$C:$C,"OUT"))</f>
        <v/>
      </c>
      <c r="I288" s="65" t="str">
        <f t="shared" si="22"/>
        <v/>
      </c>
      <c r="J288" s="59" t="str">
        <f t="shared" si="25"/>
        <v/>
      </c>
    </row>
    <row r="289" spans="4:10" ht="22.5" customHeight="1" x14ac:dyDescent="0.25">
      <c r="D289" s="59" t="str">
        <f t="shared" si="21"/>
        <v/>
      </c>
      <c r="E289" s="59" t="str">
        <f t="shared" si="23"/>
        <v/>
      </c>
      <c r="F289" s="59" t="str">
        <f t="shared" si="24"/>
        <v/>
      </c>
      <c r="G289" s="59" t="str">
        <f>IF($A289="","",
   SUMIFS(Transactions!$P:$P,
          Transactions!$G:$G,$A289,
          Transactions!$C:$C,"IN",
          Transactions!$Q:$Q,"Paid"))</f>
        <v/>
      </c>
      <c r="H289" s="59" t="str">
        <f>IF($A289="","",
   SUMIFS(Transactions!$P:$P,
          Transactions!$G:$G,$A289,
          Transactions!$C:$C,"OUT"))</f>
        <v/>
      </c>
      <c r="I289" s="65" t="str">
        <f t="shared" si="22"/>
        <v/>
      </c>
      <c r="J289" s="59" t="str">
        <f t="shared" si="25"/>
        <v/>
      </c>
    </row>
    <row r="290" spans="4:10" ht="22.5" customHeight="1" x14ac:dyDescent="0.25">
      <c r="D290" s="59" t="str">
        <f t="shared" si="21"/>
        <v/>
      </c>
      <c r="E290" s="59" t="str">
        <f t="shared" si="23"/>
        <v/>
      </c>
      <c r="F290" s="59" t="str">
        <f t="shared" si="24"/>
        <v/>
      </c>
      <c r="G290" s="59" t="str">
        <f>IF($A290="","",
   SUMIFS(Transactions!$P:$P,
          Transactions!$G:$G,$A290,
          Transactions!$C:$C,"IN",
          Transactions!$Q:$Q,"Paid"))</f>
        <v/>
      </c>
      <c r="H290" s="59" t="str">
        <f>IF($A290="","",
   SUMIFS(Transactions!$P:$P,
          Transactions!$G:$G,$A290,
          Transactions!$C:$C,"OUT"))</f>
        <v/>
      </c>
      <c r="I290" s="65" t="str">
        <f t="shared" si="22"/>
        <v/>
      </c>
      <c r="J290" s="59" t="str">
        <f t="shared" si="25"/>
        <v/>
      </c>
    </row>
    <row r="291" spans="4:10" ht="22.5" customHeight="1" x14ac:dyDescent="0.25">
      <c r="D291" s="59" t="str">
        <f t="shared" si="21"/>
        <v/>
      </c>
      <c r="E291" s="59" t="str">
        <f t="shared" si="23"/>
        <v/>
      </c>
      <c r="F291" s="59" t="str">
        <f t="shared" si="24"/>
        <v/>
      </c>
      <c r="G291" s="59" t="str">
        <f>IF($A291="","",
   SUMIFS(Transactions!$P:$P,
          Transactions!$G:$G,$A291,
          Transactions!$C:$C,"IN",
          Transactions!$Q:$Q,"Paid"))</f>
        <v/>
      </c>
      <c r="H291" s="59" t="str">
        <f>IF($A291="","",
   SUMIFS(Transactions!$P:$P,
          Transactions!$G:$G,$A291,
          Transactions!$C:$C,"OUT"))</f>
        <v/>
      </c>
      <c r="I291" s="65" t="str">
        <f t="shared" si="22"/>
        <v/>
      </c>
      <c r="J291" s="59" t="str">
        <f t="shared" si="25"/>
        <v/>
      </c>
    </row>
    <row r="292" spans="4:10" ht="22.5" customHeight="1" x14ac:dyDescent="0.25">
      <c r="D292" s="59" t="str">
        <f t="shared" si="21"/>
        <v/>
      </c>
      <c r="E292" s="59" t="str">
        <f t="shared" si="23"/>
        <v/>
      </c>
      <c r="F292" s="59" t="str">
        <f t="shared" si="24"/>
        <v/>
      </c>
      <c r="G292" s="59" t="str">
        <f>IF($A292="","",
   SUMIFS(Transactions!$P:$P,
          Transactions!$G:$G,$A292,
          Transactions!$C:$C,"IN",
          Transactions!$Q:$Q,"Paid"))</f>
        <v/>
      </c>
      <c r="H292" s="59" t="str">
        <f>IF($A292="","",
   SUMIFS(Transactions!$P:$P,
          Transactions!$G:$G,$A292,
          Transactions!$C:$C,"OUT"))</f>
        <v/>
      </c>
      <c r="I292" s="65" t="str">
        <f t="shared" si="22"/>
        <v/>
      </c>
      <c r="J292" s="59" t="str">
        <f t="shared" si="25"/>
        <v/>
      </c>
    </row>
    <row r="293" spans="4:10" ht="22.5" customHeight="1" x14ac:dyDescent="0.25">
      <c r="D293" s="59" t="str">
        <f t="shared" si="21"/>
        <v/>
      </c>
      <c r="E293" s="59" t="str">
        <f t="shared" si="23"/>
        <v/>
      </c>
      <c r="F293" s="59" t="str">
        <f t="shared" si="24"/>
        <v/>
      </c>
      <c r="G293" s="59" t="str">
        <f>IF($A293="","",
   SUMIFS(Transactions!$P:$P,
          Transactions!$G:$G,$A293,
          Transactions!$C:$C,"IN",
          Transactions!$Q:$Q,"Paid"))</f>
        <v/>
      </c>
      <c r="H293" s="59" t="str">
        <f>IF($A293="","",
   SUMIFS(Transactions!$P:$P,
          Transactions!$G:$G,$A293,
          Transactions!$C:$C,"OUT"))</f>
        <v/>
      </c>
      <c r="I293" s="65" t="str">
        <f t="shared" si="22"/>
        <v/>
      </c>
      <c r="J293" s="59" t="str">
        <f t="shared" si="25"/>
        <v/>
      </c>
    </row>
    <row r="294" spans="4:10" ht="22.5" customHeight="1" x14ac:dyDescent="0.25">
      <c r="D294" s="59" t="str">
        <f t="shared" si="21"/>
        <v/>
      </c>
      <c r="E294" s="59" t="str">
        <f t="shared" si="23"/>
        <v/>
      </c>
      <c r="F294" s="59" t="str">
        <f t="shared" si="24"/>
        <v/>
      </c>
      <c r="G294" s="59" t="str">
        <f>IF($A294="","",
   SUMIFS(Transactions!$P:$P,
          Transactions!$G:$G,$A294,
          Transactions!$C:$C,"IN",
          Transactions!$Q:$Q,"Paid"))</f>
        <v/>
      </c>
      <c r="H294" s="59" t="str">
        <f>IF($A294="","",
   SUMIFS(Transactions!$P:$P,
          Transactions!$G:$G,$A294,
          Transactions!$C:$C,"OUT"))</f>
        <v/>
      </c>
      <c r="I294" s="65" t="str">
        <f t="shared" si="22"/>
        <v/>
      </c>
      <c r="J294" s="59" t="str">
        <f t="shared" si="25"/>
        <v/>
      </c>
    </row>
    <row r="295" spans="4:10" ht="22.5" customHeight="1" x14ac:dyDescent="0.25">
      <c r="D295" s="59" t="str">
        <f t="shared" si="21"/>
        <v/>
      </c>
      <c r="E295" s="59" t="str">
        <f t="shared" si="23"/>
        <v/>
      </c>
      <c r="F295" s="59" t="str">
        <f t="shared" si="24"/>
        <v/>
      </c>
      <c r="G295" s="59" t="str">
        <f>IF($A295="","",
   SUMIFS(Transactions!$P:$P,
          Transactions!$G:$G,$A295,
          Transactions!$C:$C,"IN",
          Transactions!$Q:$Q,"Paid"))</f>
        <v/>
      </c>
      <c r="H295" s="59" t="str">
        <f>IF($A295="","",
   SUMIFS(Transactions!$P:$P,
          Transactions!$G:$G,$A295,
          Transactions!$C:$C,"OUT"))</f>
        <v/>
      </c>
      <c r="I295" s="65" t="str">
        <f t="shared" si="22"/>
        <v/>
      </c>
      <c r="J295" s="59" t="str">
        <f t="shared" si="25"/>
        <v/>
      </c>
    </row>
    <row r="296" spans="4:10" ht="22.5" customHeight="1" x14ac:dyDescent="0.25">
      <c r="D296" s="59" t="str">
        <f t="shared" si="21"/>
        <v/>
      </c>
      <c r="E296" s="59" t="str">
        <f t="shared" si="23"/>
        <v/>
      </c>
      <c r="F296" s="59" t="str">
        <f t="shared" si="24"/>
        <v/>
      </c>
      <c r="G296" s="59" t="str">
        <f>IF($A296="","",
   SUMIFS(Transactions!$P:$P,
          Transactions!$G:$G,$A296,
          Transactions!$C:$C,"IN",
          Transactions!$Q:$Q,"Paid"))</f>
        <v/>
      </c>
      <c r="H296" s="59" t="str">
        <f>IF($A296="","",
   SUMIFS(Transactions!$P:$P,
          Transactions!$G:$G,$A296,
          Transactions!$C:$C,"OUT"))</f>
        <v/>
      </c>
      <c r="I296" s="65" t="str">
        <f t="shared" si="22"/>
        <v/>
      </c>
      <c r="J296" s="59" t="str">
        <f t="shared" si="25"/>
        <v/>
      </c>
    </row>
    <row r="297" spans="4:10" ht="22.5" customHeight="1" x14ac:dyDescent="0.25">
      <c r="D297" s="59" t="str">
        <f t="shared" si="21"/>
        <v/>
      </c>
      <c r="E297" s="59" t="str">
        <f t="shared" si="23"/>
        <v/>
      </c>
      <c r="F297" s="59" t="str">
        <f t="shared" si="24"/>
        <v/>
      </c>
      <c r="G297" s="59" t="str">
        <f>IF($A297="","",
   SUMIFS(Transactions!$P:$P,
          Transactions!$G:$G,$A297,
          Transactions!$C:$C,"IN",
          Transactions!$Q:$Q,"Paid"))</f>
        <v/>
      </c>
      <c r="H297" s="59" t="str">
        <f>IF($A297="","",
   SUMIFS(Transactions!$P:$P,
          Transactions!$G:$G,$A297,
          Transactions!$C:$C,"OUT"))</f>
        <v/>
      </c>
      <c r="I297" s="65" t="str">
        <f t="shared" si="22"/>
        <v/>
      </c>
      <c r="J297" s="59" t="str">
        <f t="shared" si="25"/>
        <v/>
      </c>
    </row>
    <row r="298" spans="4:10" ht="22.5" customHeight="1" x14ac:dyDescent="0.25">
      <c r="D298" s="59" t="str">
        <f t="shared" si="21"/>
        <v/>
      </c>
      <c r="E298" s="59" t="str">
        <f t="shared" si="23"/>
        <v/>
      </c>
      <c r="F298" s="59" t="str">
        <f t="shared" si="24"/>
        <v/>
      </c>
      <c r="G298" s="59" t="str">
        <f>IF($A298="","",
   SUMIFS(Transactions!$P:$P,
          Transactions!$G:$G,$A298,
          Transactions!$C:$C,"IN",
          Transactions!$Q:$Q,"Paid"))</f>
        <v/>
      </c>
      <c r="H298" s="59" t="str">
        <f>IF($A298="","",
   SUMIFS(Transactions!$P:$P,
          Transactions!$G:$G,$A298,
          Transactions!$C:$C,"OUT"))</f>
        <v/>
      </c>
      <c r="I298" s="65" t="str">
        <f t="shared" si="22"/>
        <v/>
      </c>
      <c r="J298" s="59" t="str">
        <f t="shared" si="25"/>
        <v/>
      </c>
    </row>
    <row r="299" spans="4:10" ht="22.5" customHeight="1" x14ac:dyDescent="0.25">
      <c r="D299" s="59" t="str">
        <f t="shared" si="21"/>
        <v/>
      </c>
      <c r="E299" s="59" t="str">
        <f t="shared" si="23"/>
        <v/>
      </c>
      <c r="F299" s="59" t="str">
        <f t="shared" si="24"/>
        <v/>
      </c>
      <c r="G299" s="59" t="str">
        <f>IF($A299="","",
   SUMIFS(Transactions!$P:$P,
          Transactions!$G:$G,$A299,
          Transactions!$C:$C,"IN",
          Transactions!$Q:$Q,"Paid"))</f>
        <v/>
      </c>
      <c r="H299" s="59" t="str">
        <f>IF($A299="","",
   SUMIFS(Transactions!$P:$P,
          Transactions!$G:$G,$A299,
          Transactions!$C:$C,"OUT"))</f>
        <v/>
      </c>
      <c r="I299" s="65" t="str">
        <f t="shared" si="22"/>
        <v/>
      </c>
      <c r="J299" s="59" t="str">
        <f t="shared" si="25"/>
        <v/>
      </c>
    </row>
    <row r="300" spans="4:10" ht="22.5" customHeight="1" x14ac:dyDescent="0.25">
      <c r="D300" s="59" t="str">
        <f t="shared" si="21"/>
        <v/>
      </c>
      <c r="E300" s="59" t="str">
        <f t="shared" si="23"/>
        <v/>
      </c>
      <c r="F300" s="59" t="str">
        <f t="shared" si="24"/>
        <v/>
      </c>
      <c r="G300" s="59" t="str">
        <f>IF($A300="","",
   SUMIFS(Transactions!$P:$P,
          Transactions!$G:$G,$A300,
          Transactions!$C:$C,"IN",
          Transactions!$Q:$Q,"Paid"))</f>
        <v/>
      </c>
      <c r="H300" s="59" t="str">
        <f>IF($A300="","",
   SUMIFS(Transactions!$P:$P,
          Transactions!$G:$G,$A300,
          Transactions!$C:$C,"OUT"))</f>
        <v/>
      </c>
      <c r="I300" s="65" t="str">
        <f t="shared" si="22"/>
        <v/>
      </c>
      <c r="J300" s="59" t="str">
        <f t="shared" si="25"/>
        <v/>
      </c>
    </row>
    <row r="301" spans="4:10" ht="22.5" customHeight="1" x14ac:dyDescent="0.25">
      <c r="D301" s="59" t="str">
        <f t="shared" si="21"/>
        <v/>
      </c>
      <c r="E301" s="59" t="str">
        <f t="shared" si="23"/>
        <v/>
      </c>
      <c r="F301" s="59" t="str">
        <f t="shared" si="24"/>
        <v/>
      </c>
      <c r="G301" s="59" t="str">
        <f>IF($A301="","",
   SUMIFS(Transactions!$P:$P,
          Transactions!$G:$G,$A301,
          Transactions!$C:$C,"IN",
          Transactions!$Q:$Q,"Paid"))</f>
        <v/>
      </c>
      <c r="H301" s="59" t="str">
        <f>IF($A301="","",
   SUMIFS(Transactions!$P:$P,
          Transactions!$G:$G,$A301,
          Transactions!$C:$C,"OUT"))</f>
        <v/>
      </c>
      <c r="I301" s="65" t="str">
        <f t="shared" si="22"/>
        <v/>
      </c>
      <c r="J301" s="59" t="str">
        <f t="shared" si="25"/>
        <v/>
      </c>
    </row>
    <row r="302" spans="4:10" ht="22.5" customHeight="1" x14ac:dyDescent="0.25">
      <c r="D302" s="59" t="str">
        <f t="shared" si="21"/>
        <v/>
      </c>
      <c r="E302" s="59" t="str">
        <f t="shared" si="23"/>
        <v/>
      </c>
      <c r="F302" s="59" t="str">
        <f t="shared" si="24"/>
        <v/>
      </c>
      <c r="G302" s="59" t="str">
        <f>IF($A302="","",
   SUMIFS(Transactions!$P:$P,
          Transactions!$G:$G,$A302,
          Transactions!$C:$C,"IN",
          Transactions!$Q:$Q,"Paid"))</f>
        <v/>
      </c>
      <c r="H302" s="59" t="str">
        <f>IF($A302="","",
   SUMIFS(Transactions!$P:$P,
          Transactions!$G:$G,$A302,
          Transactions!$C:$C,"OUT"))</f>
        <v/>
      </c>
      <c r="I302" s="65" t="str">
        <f t="shared" si="22"/>
        <v/>
      </c>
      <c r="J302" s="59" t="str">
        <f t="shared" si="25"/>
        <v/>
      </c>
    </row>
    <row r="303" spans="4:10" ht="22.5" customHeight="1" x14ac:dyDescent="0.25">
      <c r="D303" s="59" t="str">
        <f t="shared" si="21"/>
        <v/>
      </c>
      <c r="E303" s="59" t="str">
        <f t="shared" si="23"/>
        <v/>
      </c>
      <c r="F303" s="59" t="str">
        <f t="shared" si="24"/>
        <v/>
      </c>
      <c r="G303" s="59" t="str">
        <f>IF($A303="","",
   SUMIFS(Transactions!$P:$P,
          Transactions!$G:$G,$A303,
          Transactions!$C:$C,"IN",
          Transactions!$Q:$Q,"Paid"))</f>
        <v/>
      </c>
      <c r="H303" s="59" t="str">
        <f>IF($A303="","",
   SUMIFS(Transactions!$P:$P,
          Transactions!$G:$G,$A303,
          Transactions!$C:$C,"OUT"))</f>
        <v/>
      </c>
      <c r="I303" s="65" t="str">
        <f t="shared" si="22"/>
        <v/>
      </c>
      <c r="J303" s="59" t="str">
        <f t="shared" si="25"/>
        <v/>
      </c>
    </row>
    <row r="304" spans="4:10" ht="22.5" customHeight="1" x14ac:dyDescent="0.25">
      <c r="D304" s="59" t="str">
        <f t="shared" si="21"/>
        <v/>
      </c>
      <c r="E304" s="59" t="str">
        <f t="shared" si="23"/>
        <v/>
      </c>
      <c r="F304" s="59" t="str">
        <f t="shared" si="24"/>
        <v/>
      </c>
      <c r="G304" s="59" t="str">
        <f>IF($A304="","",
   SUMIFS(Transactions!$P:$P,
          Transactions!$G:$G,$A304,
          Transactions!$C:$C,"IN",
          Transactions!$Q:$Q,"Paid"))</f>
        <v/>
      </c>
      <c r="H304" s="59" t="str">
        <f>IF($A304="","",
   SUMIFS(Transactions!$P:$P,
          Transactions!$G:$G,$A304,
          Transactions!$C:$C,"OUT"))</f>
        <v/>
      </c>
      <c r="I304" s="65" t="str">
        <f t="shared" si="22"/>
        <v/>
      </c>
      <c r="J304" s="59" t="str">
        <f t="shared" si="25"/>
        <v/>
      </c>
    </row>
    <row r="305" spans="4:10" ht="22.5" customHeight="1" x14ac:dyDescent="0.25">
      <c r="D305" s="59" t="str">
        <f t="shared" si="21"/>
        <v/>
      </c>
      <c r="E305" s="59" t="str">
        <f t="shared" si="23"/>
        <v/>
      </c>
      <c r="F305" s="59" t="str">
        <f t="shared" si="24"/>
        <v/>
      </c>
      <c r="G305" s="59" t="str">
        <f>IF($A305="","",
   SUMIFS(Transactions!$P:$P,
          Transactions!$G:$G,$A305,
          Transactions!$C:$C,"IN",
          Transactions!$Q:$Q,"Paid"))</f>
        <v/>
      </c>
      <c r="H305" s="59" t="str">
        <f>IF($A305="","",
   SUMIFS(Transactions!$P:$P,
          Transactions!$G:$G,$A305,
          Transactions!$C:$C,"OUT"))</f>
        <v/>
      </c>
      <c r="I305" s="65" t="str">
        <f t="shared" si="22"/>
        <v/>
      </c>
      <c r="J305" s="59" t="str">
        <f t="shared" si="25"/>
        <v/>
      </c>
    </row>
    <row r="306" spans="4:10" ht="22.5" customHeight="1" x14ac:dyDescent="0.25">
      <c r="D306" s="59" t="str">
        <f t="shared" si="21"/>
        <v/>
      </c>
      <c r="E306" s="59" t="str">
        <f t="shared" si="23"/>
        <v/>
      </c>
      <c r="F306" s="59" t="str">
        <f t="shared" si="24"/>
        <v/>
      </c>
      <c r="G306" s="59" t="str">
        <f>IF($A306="","",
   SUMIFS(Transactions!$P:$P,
          Transactions!$G:$G,$A306,
          Transactions!$C:$C,"IN",
          Transactions!$Q:$Q,"Paid"))</f>
        <v/>
      </c>
      <c r="H306" s="59" t="str">
        <f>IF($A306="","",
   SUMIFS(Transactions!$P:$P,
          Transactions!$G:$G,$A306,
          Transactions!$C:$C,"OUT"))</f>
        <v/>
      </c>
      <c r="I306" s="65" t="str">
        <f t="shared" si="22"/>
        <v/>
      </c>
      <c r="J306" s="59" t="str">
        <f t="shared" si="25"/>
        <v/>
      </c>
    </row>
    <row r="307" spans="4:10" ht="22.5" customHeight="1" x14ac:dyDescent="0.25">
      <c r="D307" s="59" t="str">
        <f t="shared" si="21"/>
        <v/>
      </c>
      <c r="E307" s="59" t="str">
        <f t="shared" si="23"/>
        <v/>
      </c>
      <c r="F307" s="59" t="str">
        <f t="shared" si="24"/>
        <v/>
      </c>
      <c r="G307" s="59" t="str">
        <f>IF($A307="","",
   SUMIFS(Transactions!$P:$P,
          Transactions!$G:$G,$A307,
          Transactions!$C:$C,"IN",
          Transactions!$Q:$Q,"Paid"))</f>
        <v/>
      </c>
      <c r="H307" s="59" t="str">
        <f>IF($A307="","",
   SUMIFS(Transactions!$P:$P,
          Transactions!$G:$G,$A307,
          Transactions!$C:$C,"OUT"))</f>
        <v/>
      </c>
      <c r="I307" s="65" t="str">
        <f t="shared" si="22"/>
        <v/>
      </c>
      <c r="J307" s="59" t="str">
        <f t="shared" si="25"/>
        <v/>
      </c>
    </row>
    <row r="308" spans="4:10" ht="22.5" customHeight="1" x14ac:dyDescent="0.25">
      <c r="D308" s="59" t="str">
        <f t="shared" si="21"/>
        <v/>
      </c>
      <c r="E308" s="59" t="str">
        <f t="shared" si="23"/>
        <v/>
      </c>
      <c r="F308" s="59" t="str">
        <f t="shared" si="24"/>
        <v/>
      </c>
      <c r="G308" s="59" t="str">
        <f>IF($A308="","",
   SUMIFS(Transactions!$P:$P,
          Transactions!$G:$G,$A308,
          Transactions!$C:$C,"IN",
          Transactions!$Q:$Q,"Paid"))</f>
        <v/>
      </c>
      <c r="H308" s="59" t="str">
        <f>IF($A308="","",
   SUMIFS(Transactions!$P:$P,
          Transactions!$G:$G,$A308,
          Transactions!$C:$C,"OUT"))</f>
        <v/>
      </c>
      <c r="I308" s="65" t="str">
        <f t="shared" si="22"/>
        <v/>
      </c>
      <c r="J308" s="59" t="str">
        <f t="shared" si="25"/>
        <v/>
      </c>
    </row>
    <row r="309" spans="4:10" ht="22.5" customHeight="1" x14ac:dyDescent="0.25">
      <c r="D309" s="59" t="str">
        <f t="shared" si="21"/>
        <v/>
      </c>
      <c r="E309" s="59" t="str">
        <f t="shared" si="23"/>
        <v/>
      </c>
      <c r="F309" s="59" t="str">
        <f t="shared" si="24"/>
        <v/>
      </c>
      <c r="G309" s="59" t="str">
        <f>IF($A309="","",
   SUMIFS(Transactions!$P:$P,
          Transactions!$G:$G,$A309,
          Transactions!$C:$C,"IN",
          Transactions!$Q:$Q,"Paid"))</f>
        <v/>
      </c>
      <c r="H309" s="59" t="str">
        <f>IF($A309="","",
   SUMIFS(Transactions!$P:$P,
          Transactions!$G:$G,$A309,
          Transactions!$C:$C,"OUT"))</f>
        <v/>
      </c>
      <c r="I309" s="65" t="str">
        <f t="shared" si="22"/>
        <v/>
      </c>
      <c r="J309" s="59" t="str">
        <f t="shared" si="25"/>
        <v/>
      </c>
    </row>
    <row r="310" spans="4:10" ht="22.5" customHeight="1" x14ac:dyDescent="0.25">
      <c r="D310" s="59" t="str">
        <f t="shared" si="21"/>
        <v/>
      </c>
      <c r="E310" s="59" t="str">
        <f t="shared" si="23"/>
        <v/>
      </c>
      <c r="F310" s="59" t="str">
        <f t="shared" si="24"/>
        <v/>
      </c>
      <c r="G310" s="59" t="str">
        <f>IF($A310="","",
   SUMIFS(Transactions!$P:$P,
          Transactions!$G:$G,$A310,
          Transactions!$C:$C,"IN",
          Transactions!$Q:$Q,"Paid"))</f>
        <v/>
      </c>
      <c r="H310" s="59" t="str">
        <f>IF($A310="","",
   SUMIFS(Transactions!$P:$P,
          Transactions!$G:$G,$A310,
          Transactions!$C:$C,"OUT"))</f>
        <v/>
      </c>
      <c r="I310" s="65" t="str">
        <f t="shared" si="22"/>
        <v/>
      </c>
      <c r="J310" s="59" t="str">
        <f t="shared" si="25"/>
        <v/>
      </c>
    </row>
    <row r="311" spans="4:10" ht="22.5" customHeight="1" x14ac:dyDescent="0.25">
      <c r="D311" s="59" t="str">
        <f t="shared" si="21"/>
        <v/>
      </c>
      <c r="E311" s="59" t="str">
        <f t="shared" si="23"/>
        <v/>
      </c>
      <c r="F311" s="59" t="str">
        <f t="shared" si="24"/>
        <v/>
      </c>
      <c r="G311" s="59" t="str">
        <f>IF($A311="","",
   SUMIFS(Transactions!$P:$P,
          Transactions!$G:$G,$A311,
          Transactions!$C:$C,"IN",
          Transactions!$Q:$Q,"Paid"))</f>
        <v/>
      </c>
      <c r="H311" s="59" t="str">
        <f>IF($A311="","",
   SUMIFS(Transactions!$P:$P,
          Transactions!$G:$G,$A311,
          Transactions!$C:$C,"OUT"))</f>
        <v/>
      </c>
      <c r="I311" s="65" t="str">
        <f t="shared" si="22"/>
        <v/>
      </c>
      <c r="J311" s="59" t="str">
        <f t="shared" si="25"/>
        <v/>
      </c>
    </row>
    <row r="312" spans="4:10" ht="22.5" customHeight="1" x14ac:dyDescent="0.25">
      <c r="D312" s="59" t="str">
        <f t="shared" si="21"/>
        <v/>
      </c>
      <c r="E312" s="59" t="str">
        <f t="shared" si="23"/>
        <v/>
      </c>
      <c r="F312" s="59" t="str">
        <f t="shared" si="24"/>
        <v/>
      </c>
      <c r="G312" s="59" t="str">
        <f>IF($A312="","",
   SUMIFS(Transactions!$P:$P,
          Transactions!$G:$G,$A312,
          Transactions!$C:$C,"IN",
          Transactions!$Q:$Q,"Paid"))</f>
        <v/>
      </c>
      <c r="H312" s="59" t="str">
        <f>IF($A312="","",
   SUMIFS(Transactions!$P:$P,
          Transactions!$G:$G,$A312,
          Transactions!$C:$C,"OUT"))</f>
        <v/>
      </c>
      <c r="I312" s="65" t="str">
        <f t="shared" si="22"/>
        <v/>
      </c>
      <c r="J312" s="59" t="str">
        <f t="shared" si="25"/>
        <v/>
      </c>
    </row>
    <row r="313" spans="4:10" ht="22.5" customHeight="1" x14ac:dyDescent="0.25">
      <c r="D313" s="59" t="str">
        <f t="shared" si="21"/>
        <v/>
      </c>
      <c r="E313" s="59" t="str">
        <f t="shared" si="23"/>
        <v/>
      </c>
      <c r="F313" s="59" t="str">
        <f t="shared" si="24"/>
        <v/>
      </c>
      <c r="G313" s="59" t="str">
        <f>IF($A313="","",
   SUMIFS(Transactions!$P:$P,
          Transactions!$G:$G,$A313,
          Transactions!$C:$C,"IN",
          Transactions!$Q:$Q,"Paid"))</f>
        <v/>
      </c>
      <c r="H313" s="59" t="str">
        <f>IF($A313="","",
   SUMIFS(Transactions!$P:$P,
          Transactions!$G:$G,$A313,
          Transactions!$C:$C,"OUT"))</f>
        <v/>
      </c>
      <c r="I313" s="65" t="str">
        <f t="shared" si="22"/>
        <v/>
      </c>
      <c r="J313" s="59" t="str">
        <f t="shared" si="25"/>
        <v/>
      </c>
    </row>
    <row r="314" spans="4:10" ht="22.5" customHeight="1" x14ac:dyDescent="0.25">
      <c r="D314" s="59" t="str">
        <f t="shared" si="21"/>
        <v/>
      </c>
      <c r="E314" s="59" t="str">
        <f t="shared" si="23"/>
        <v/>
      </c>
      <c r="F314" s="59" t="str">
        <f t="shared" si="24"/>
        <v/>
      </c>
      <c r="G314" s="59" t="str">
        <f>IF($A314="","",
   SUMIFS(Transactions!$P:$P,
          Transactions!$G:$G,$A314,
          Transactions!$C:$C,"IN",
          Transactions!$Q:$Q,"Paid"))</f>
        <v/>
      </c>
      <c r="H314" s="59" t="str">
        <f>IF($A314="","",
   SUMIFS(Transactions!$P:$P,
          Transactions!$G:$G,$A314,
          Transactions!$C:$C,"OUT"))</f>
        <v/>
      </c>
      <c r="I314" s="65" t="str">
        <f t="shared" si="22"/>
        <v/>
      </c>
      <c r="J314" s="59" t="str">
        <f t="shared" si="25"/>
        <v/>
      </c>
    </row>
    <row r="315" spans="4:10" ht="22.5" customHeight="1" x14ac:dyDescent="0.25">
      <c r="D315" s="59" t="str">
        <f t="shared" si="21"/>
        <v/>
      </c>
      <c r="E315" s="59" t="str">
        <f t="shared" si="23"/>
        <v/>
      </c>
      <c r="F315" s="59" t="str">
        <f t="shared" si="24"/>
        <v/>
      </c>
      <c r="G315" s="59" t="str">
        <f>IF($A315="","",
   SUMIFS(Transactions!$P:$P,
          Transactions!$G:$G,$A315,
          Transactions!$C:$C,"IN",
          Transactions!$Q:$Q,"Paid"))</f>
        <v/>
      </c>
      <c r="H315" s="59" t="str">
        <f>IF($A315="","",
   SUMIFS(Transactions!$P:$P,
          Transactions!$G:$G,$A315,
          Transactions!$C:$C,"OUT"))</f>
        <v/>
      </c>
      <c r="I315" s="65" t="str">
        <f t="shared" si="22"/>
        <v/>
      </c>
      <c r="J315" s="59" t="str">
        <f t="shared" si="25"/>
        <v/>
      </c>
    </row>
    <row r="316" spans="4:10" ht="22.5" customHeight="1" x14ac:dyDescent="0.25">
      <c r="D316" s="59" t="str">
        <f t="shared" si="21"/>
        <v/>
      </c>
      <c r="E316" s="59" t="str">
        <f t="shared" si="23"/>
        <v/>
      </c>
      <c r="F316" s="59" t="str">
        <f t="shared" si="24"/>
        <v/>
      </c>
      <c r="G316" s="59" t="str">
        <f>IF($A316="","",
   SUMIFS(Transactions!$P:$P,
          Transactions!$G:$G,$A316,
          Transactions!$C:$C,"IN",
          Transactions!$Q:$Q,"Paid"))</f>
        <v/>
      </c>
      <c r="H316" s="59" t="str">
        <f>IF($A316="","",
   SUMIFS(Transactions!$P:$P,
          Transactions!$G:$G,$A316,
          Transactions!$C:$C,"OUT"))</f>
        <v/>
      </c>
      <c r="I316" s="65" t="str">
        <f t="shared" si="22"/>
        <v/>
      </c>
      <c r="J316" s="59" t="str">
        <f t="shared" si="25"/>
        <v/>
      </c>
    </row>
    <row r="317" spans="4:10" ht="22.5" customHeight="1" x14ac:dyDescent="0.25">
      <c r="D317" s="59" t="str">
        <f t="shared" si="21"/>
        <v/>
      </c>
      <c r="E317" s="59" t="str">
        <f t="shared" si="23"/>
        <v/>
      </c>
      <c r="F317" s="59" t="str">
        <f t="shared" si="24"/>
        <v/>
      </c>
      <c r="G317" s="59" t="str">
        <f>IF($A317="","",
   SUMIFS(Transactions!$P:$P,
          Transactions!$G:$G,$A317,
          Transactions!$C:$C,"IN",
          Transactions!$Q:$Q,"Paid"))</f>
        <v/>
      </c>
      <c r="H317" s="59" t="str">
        <f>IF($A317="","",
   SUMIFS(Transactions!$P:$P,
          Transactions!$G:$G,$A317,
          Transactions!$C:$C,"OUT"))</f>
        <v/>
      </c>
      <c r="I317" s="65" t="str">
        <f t="shared" si="22"/>
        <v/>
      </c>
      <c r="J317" s="59" t="str">
        <f t="shared" si="25"/>
        <v/>
      </c>
    </row>
    <row r="318" spans="4:10" ht="22.5" customHeight="1" x14ac:dyDescent="0.25">
      <c r="D318" s="59" t="str">
        <f t="shared" si="21"/>
        <v/>
      </c>
      <c r="E318" s="59" t="str">
        <f t="shared" si="23"/>
        <v/>
      </c>
      <c r="F318" s="59" t="str">
        <f t="shared" si="24"/>
        <v/>
      </c>
      <c r="G318" s="59" t="str">
        <f>IF($A318="","",
   SUMIFS(Transactions!$P:$P,
          Transactions!$G:$G,$A318,
          Transactions!$C:$C,"IN",
          Transactions!$Q:$Q,"Paid"))</f>
        <v/>
      </c>
      <c r="H318" s="59" t="str">
        <f>IF($A318="","",
   SUMIFS(Transactions!$P:$P,
          Transactions!$G:$G,$A318,
          Transactions!$C:$C,"OUT"))</f>
        <v/>
      </c>
      <c r="I318" s="65" t="str">
        <f t="shared" si="22"/>
        <v/>
      </c>
      <c r="J318" s="59" t="str">
        <f t="shared" si="25"/>
        <v/>
      </c>
    </row>
    <row r="319" spans="4:10" ht="22.5" customHeight="1" x14ac:dyDescent="0.25">
      <c r="D319" s="59" t="str">
        <f t="shared" si="21"/>
        <v/>
      </c>
      <c r="E319" s="59" t="str">
        <f t="shared" si="23"/>
        <v/>
      </c>
      <c r="F319" s="59" t="str">
        <f t="shared" si="24"/>
        <v/>
      </c>
      <c r="G319" s="59" t="str">
        <f>IF($A319="","",
   SUMIFS(Transactions!$P:$P,
          Transactions!$G:$G,$A319,
          Transactions!$C:$C,"IN",
          Transactions!$Q:$Q,"Paid"))</f>
        <v/>
      </c>
      <c r="H319" s="59" t="str">
        <f>IF($A319="","",
   SUMIFS(Transactions!$P:$P,
          Transactions!$G:$G,$A319,
          Transactions!$C:$C,"OUT"))</f>
        <v/>
      </c>
      <c r="I319" s="65" t="str">
        <f t="shared" si="22"/>
        <v/>
      </c>
      <c r="J319" s="59" t="str">
        <f t="shared" si="25"/>
        <v/>
      </c>
    </row>
    <row r="320" spans="4:10" ht="22.5" customHeight="1" x14ac:dyDescent="0.25">
      <c r="D320" s="59" t="str">
        <f t="shared" si="21"/>
        <v/>
      </c>
      <c r="E320" s="59" t="str">
        <f t="shared" si="23"/>
        <v/>
      </c>
      <c r="F320" s="59" t="str">
        <f t="shared" si="24"/>
        <v/>
      </c>
      <c r="G320" s="59" t="str">
        <f>IF($A320="","",
   SUMIFS(Transactions!$P:$P,
          Transactions!$G:$G,$A320,
          Transactions!$C:$C,"IN",
          Transactions!$Q:$Q,"Paid"))</f>
        <v/>
      </c>
      <c r="H320" s="59" t="str">
        <f>IF($A320="","",
   SUMIFS(Transactions!$P:$P,
          Transactions!$G:$G,$A320,
          Transactions!$C:$C,"OUT"))</f>
        <v/>
      </c>
      <c r="I320" s="65" t="str">
        <f t="shared" si="22"/>
        <v/>
      </c>
      <c r="J320" s="59" t="str">
        <f t="shared" si="25"/>
        <v/>
      </c>
    </row>
    <row r="321" spans="4:10" ht="22.5" customHeight="1" x14ac:dyDescent="0.25">
      <c r="D321" s="59" t="str">
        <f t="shared" si="21"/>
        <v/>
      </c>
      <c r="E321" s="59" t="str">
        <f t="shared" si="23"/>
        <v/>
      </c>
      <c r="F321" s="59" t="str">
        <f t="shared" si="24"/>
        <v/>
      </c>
      <c r="G321" s="59" t="str">
        <f>IF($A321="","",
   SUMIFS(Transactions!$P:$P,
          Transactions!$G:$G,$A321,
          Transactions!$C:$C,"IN",
          Transactions!$Q:$Q,"Paid"))</f>
        <v/>
      </c>
      <c r="H321" s="59" t="str">
        <f>IF($A321="","",
   SUMIFS(Transactions!$P:$P,
          Transactions!$G:$G,$A321,
          Transactions!$C:$C,"OUT"))</f>
        <v/>
      </c>
      <c r="I321" s="65" t="str">
        <f t="shared" si="22"/>
        <v/>
      </c>
      <c r="J321" s="59" t="str">
        <f t="shared" si="25"/>
        <v/>
      </c>
    </row>
    <row r="322" spans="4:10" ht="22.5" customHeight="1" x14ac:dyDescent="0.25">
      <c r="D322" s="59" t="str">
        <f t="shared" si="21"/>
        <v/>
      </c>
      <c r="E322" s="59" t="str">
        <f t="shared" si="23"/>
        <v/>
      </c>
      <c r="F322" s="59" t="str">
        <f t="shared" si="24"/>
        <v/>
      </c>
      <c r="G322" s="59" t="str">
        <f>IF($A322="","",
   SUMIFS(Transactions!$P:$P,
          Transactions!$G:$G,$A322,
          Transactions!$C:$C,"IN",
          Transactions!$Q:$Q,"Paid"))</f>
        <v/>
      </c>
      <c r="H322" s="59" t="str">
        <f>IF($A322="","",
   SUMIFS(Transactions!$P:$P,
          Transactions!$G:$G,$A322,
          Transactions!$C:$C,"OUT"))</f>
        <v/>
      </c>
      <c r="I322" s="65" t="str">
        <f t="shared" si="22"/>
        <v/>
      </c>
      <c r="J322" s="59" t="str">
        <f t="shared" si="25"/>
        <v/>
      </c>
    </row>
    <row r="323" spans="4:10" ht="22.5" customHeight="1" x14ac:dyDescent="0.25">
      <c r="D323" s="59" t="str">
        <f t="shared" ref="D323:D386" si="26">IF(C323="","",ROUND(C323*0.15,2))</f>
        <v/>
      </c>
      <c r="E323" s="59" t="str">
        <f t="shared" si="23"/>
        <v/>
      </c>
      <c r="F323" s="59" t="str">
        <f t="shared" si="24"/>
        <v/>
      </c>
      <c r="G323" s="59" t="str">
        <f>IF($A323="","",
   SUMIFS(Transactions!$P:$P,
          Transactions!$G:$G,$A323,
          Transactions!$C:$C,"IN",
          Transactions!$Q:$Q,"Paid"))</f>
        <v/>
      </c>
      <c r="H323" s="59" t="str">
        <f>IF($A323="","",
   SUMIFS(Transactions!$P:$P,
          Transactions!$G:$G,$A323,
          Transactions!$C:$C,"OUT"))</f>
        <v/>
      </c>
      <c r="I323" s="65" t="str">
        <f t="shared" ref="I323:I386" si="27">IF(C323="","",C323-H323)</f>
        <v/>
      </c>
      <c r="J323" s="59" t="str">
        <f t="shared" si="25"/>
        <v/>
      </c>
    </row>
    <row r="324" spans="4:10" ht="22.5" customHeight="1" x14ac:dyDescent="0.25">
      <c r="D324" s="59" t="str">
        <f t="shared" si="26"/>
        <v/>
      </c>
      <c r="E324" s="59" t="str">
        <f t="shared" ref="E324:E387" si="28">IF(C324="","",C324+D324)</f>
        <v/>
      </c>
      <c r="F324" s="59" t="str">
        <f t="shared" ref="F324:F387" si="29">IF(E324="","",E324*0.5)</f>
        <v/>
      </c>
      <c r="G324" s="59" t="str">
        <f>IF($A324="","",
   SUMIFS(Transactions!$P:$P,
          Transactions!$G:$G,$A324,
          Transactions!$C:$C,"IN",
          Transactions!$Q:$Q,"Paid"))</f>
        <v/>
      </c>
      <c r="H324" s="59" t="str">
        <f>IF($A324="","",
   SUMIFS(Transactions!$P:$P,
          Transactions!$G:$G,$A324,
          Transactions!$C:$C,"OUT"))</f>
        <v/>
      </c>
      <c r="I324" s="65" t="str">
        <f t="shared" si="27"/>
        <v/>
      </c>
      <c r="J324" s="59" t="str">
        <f t="shared" ref="J324:J387" si="30">IF(E324="","",E324-G324)</f>
        <v/>
      </c>
    </row>
    <row r="325" spans="4:10" ht="22.5" customHeight="1" x14ac:dyDescent="0.25">
      <c r="D325" s="59" t="str">
        <f t="shared" si="26"/>
        <v/>
      </c>
      <c r="E325" s="59" t="str">
        <f t="shared" si="28"/>
        <v/>
      </c>
      <c r="F325" s="59" t="str">
        <f t="shared" si="29"/>
        <v/>
      </c>
      <c r="G325" s="59" t="str">
        <f>IF($A325="","",
   SUMIFS(Transactions!$P:$P,
          Transactions!$G:$G,$A325,
          Transactions!$C:$C,"IN",
          Transactions!$Q:$Q,"Paid"))</f>
        <v/>
      </c>
      <c r="H325" s="59" t="str">
        <f>IF($A325="","",
   SUMIFS(Transactions!$P:$P,
          Transactions!$G:$G,$A325,
          Transactions!$C:$C,"OUT"))</f>
        <v/>
      </c>
      <c r="I325" s="65" t="str">
        <f t="shared" si="27"/>
        <v/>
      </c>
      <c r="J325" s="59" t="str">
        <f t="shared" si="30"/>
        <v/>
      </c>
    </row>
    <row r="326" spans="4:10" ht="22.5" customHeight="1" x14ac:dyDescent="0.25">
      <c r="D326" s="59" t="str">
        <f t="shared" si="26"/>
        <v/>
      </c>
      <c r="E326" s="59" t="str">
        <f t="shared" si="28"/>
        <v/>
      </c>
      <c r="F326" s="59" t="str">
        <f t="shared" si="29"/>
        <v/>
      </c>
      <c r="G326" s="59" t="str">
        <f>IF($A326="","",
   SUMIFS(Transactions!$P:$P,
          Transactions!$G:$G,$A326,
          Transactions!$C:$C,"IN",
          Transactions!$Q:$Q,"Paid"))</f>
        <v/>
      </c>
      <c r="H326" s="59" t="str">
        <f>IF($A326="","",
   SUMIFS(Transactions!$P:$P,
          Transactions!$G:$G,$A326,
          Transactions!$C:$C,"OUT"))</f>
        <v/>
      </c>
      <c r="I326" s="65" t="str">
        <f t="shared" si="27"/>
        <v/>
      </c>
      <c r="J326" s="59" t="str">
        <f t="shared" si="30"/>
        <v/>
      </c>
    </row>
    <row r="327" spans="4:10" ht="22.5" customHeight="1" x14ac:dyDescent="0.25">
      <c r="D327" s="59" t="str">
        <f t="shared" si="26"/>
        <v/>
      </c>
      <c r="E327" s="59" t="str">
        <f t="shared" si="28"/>
        <v/>
      </c>
      <c r="F327" s="59" t="str">
        <f t="shared" si="29"/>
        <v/>
      </c>
      <c r="G327" s="59" t="str">
        <f>IF($A327="","",
   SUMIFS(Transactions!$P:$P,
          Transactions!$G:$G,$A327,
          Transactions!$C:$C,"IN",
          Transactions!$Q:$Q,"Paid"))</f>
        <v/>
      </c>
      <c r="H327" s="59" t="str">
        <f>IF($A327="","",
   SUMIFS(Transactions!$P:$P,
          Transactions!$G:$G,$A327,
          Transactions!$C:$C,"OUT"))</f>
        <v/>
      </c>
      <c r="I327" s="65" t="str">
        <f t="shared" si="27"/>
        <v/>
      </c>
      <c r="J327" s="59" t="str">
        <f t="shared" si="30"/>
        <v/>
      </c>
    </row>
    <row r="328" spans="4:10" ht="22.5" customHeight="1" x14ac:dyDescent="0.25">
      <c r="D328" s="59" t="str">
        <f t="shared" si="26"/>
        <v/>
      </c>
      <c r="E328" s="59" t="str">
        <f t="shared" si="28"/>
        <v/>
      </c>
      <c r="F328" s="59" t="str">
        <f t="shared" si="29"/>
        <v/>
      </c>
      <c r="G328" s="59" t="str">
        <f>IF($A328="","",
   SUMIFS(Transactions!$P:$P,
          Transactions!$G:$G,$A328,
          Transactions!$C:$C,"IN",
          Transactions!$Q:$Q,"Paid"))</f>
        <v/>
      </c>
      <c r="H328" s="59" t="str">
        <f>IF($A328="","",
   SUMIFS(Transactions!$P:$P,
          Transactions!$G:$G,$A328,
          Transactions!$C:$C,"OUT"))</f>
        <v/>
      </c>
      <c r="I328" s="65" t="str">
        <f t="shared" si="27"/>
        <v/>
      </c>
      <c r="J328" s="59" t="str">
        <f t="shared" si="30"/>
        <v/>
      </c>
    </row>
    <row r="329" spans="4:10" ht="22.5" customHeight="1" x14ac:dyDescent="0.25">
      <c r="D329" s="59" t="str">
        <f t="shared" si="26"/>
        <v/>
      </c>
      <c r="E329" s="59" t="str">
        <f t="shared" si="28"/>
        <v/>
      </c>
      <c r="F329" s="59" t="str">
        <f t="shared" si="29"/>
        <v/>
      </c>
      <c r="G329" s="59" t="str">
        <f>IF($A329="","",
   SUMIFS(Transactions!$P:$P,
          Transactions!$G:$G,$A329,
          Transactions!$C:$C,"IN",
          Transactions!$Q:$Q,"Paid"))</f>
        <v/>
      </c>
      <c r="H329" s="59" t="str">
        <f>IF($A329="","",
   SUMIFS(Transactions!$P:$P,
          Transactions!$G:$G,$A329,
          Transactions!$C:$C,"OUT"))</f>
        <v/>
      </c>
      <c r="I329" s="65" t="str">
        <f t="shared" si="27"/>
        <v/>
      </c>
      <c r="J329" s="59" t="str">
        <f t="shared" si="30"/>
        <v/>
      </c>
    </row>
    <row r="330" spans="4:10" ht="22.5" customHeight="1" x14ac:dyDescent="0.25">
      <c r="D330" s="59" t="str">
        <f t="shared" si="26"/>
        <v/>
      </c>
      <c r="E330" s="59" t="str">
        <f t="shared" si="28"/>
        <v/>
      </c>
      <c r="F330" s="59" t="str">
        <f t="shared" si="29"/>
        <v/>
      </c>
      <c r="G330" s="59" t="str">
        <f>IF($A330="","",
   SUMIFS(Transactions!$P:$P,
          Transactions!$G:$G,$A330,
          Transactions!$C:$C,"IN",
          Transactions!$Q:$Q,"Paid"))</f>
        <v/>
      </c>
      <c r="H330" s="59" t="str">
        <f>IF($A330="","",
   SUMIFS(Transactions!$P:$P,
          Transactions!$G:$G,$A330,
          Transactions!$C:$C,"OUT"))</f>
        <v/>
      </c>
      <c r="I330" s="65" t="str">
        <f t="shared" si="27"/>
        <v/>
      </c>
      <c r="J330" s="59" t="str">
        <f t="shared" si="30"/>
        <v/>
      </c>
    </row>
    <row r="331" spans="4:10" ht="22.5" customHeight="1" x14ac:dyDescent="0.25">
      <c r="D331" s="59" t="str">
        <f t="shared" si="26"/>
        <v/>
      </c>
      <c r="E331" s="59" t="str">
        <f t="shared" si="28"/>
        <v/>
      </c>
      <c r="F331" s="59" t="str">
        <f t="shared" si="29"/>
        <v/>
      </c>
      <c r="G331" s="59" t="str">
        <f>IF($A331="","",
   SUMIFS(Transactions!$P:$P,
          Transactions!$G:$G,$A331,
          Transactions!$C:$C,"IN",
          Transactions!$Q:$Q,"Paid"))</f>
        <v/>
      </c>
      <c r="H331" s="59" t="str">
        <f>IF($A331="","",
   SUMIFS(Transactions!$P:$P,
          Transactions!$G:$G,$A331,
          Transactions!$C:$C,"OUT"))</f>
        <v/>
      </c>
      <c r="I331" s="65" t="str">
        <f t="shared" si="27"/>
        <v/>
      </c>
      <c r="J331" s="59" t="str">
        <f t="shared" si="30"/>
        <v/>
      </c>
    </row>
    <row r="332" spans="4:10" ht="22.5" customHeight="1" x14ac:dyDescent="0.25">
      <c r="D332" s="59" t="str">
        <f t="shared" si="26"/>
        <v/>
      </c>
      <c r="E332" s="59" t="str">
        <f t="shared" si="28"/>
        <v/>
      </c>
      <c r="F332" s="59" t="str">
        <f t="shared" si="29"/>
        <v/>
      </c>
      <c r="G332" s="59" t="str">
        <f>IF($A332="","",
   SUMIFS(Transactions!$P:$P,
          Transactions!$G:$G,$A332,
          Transactions!$C:$C,"IN",
          Transactions!$Q:$Q,"Paid"))</f>
        <v/>
      </c>
      <c r="H332" s="59" t="str">
        <f>IF($A332="","",
   SUMIFS(Transactions!$P:$P,
          Transactions!$G:$G,$A332,
          Transactions!$C:$C,"OUT"))</f>
        <v/>
      </c>
      <c r="I332" s="65" t="str">
        <f t="shared" si="27"/>
        <v/>
      </c>
      <c r="J332" s="59" t="str">
        <f t="shared" si="30"/>
        <v/>
      </c>
    </row>
    <row r="333" spans="4:10" ht="22.5" customHeight="1" x14ac:dyDescent="0.25">
      <c r="D333" s="59" t="str">
        <f t="shared" si="26"/>
        <v/>
      </c>
      <c r="E333" s="59" t="str">
        <f t="shared" si="28"/>
        <v/>
      </c>
      <c r="F333" s="59" t="str">
        <f t="shared" si="29"/>
        <v/>
      </c>
      <c r="G333" s="59" t="str">
        <f>IF($A333="","",
   SUMIFS(Transactions!$P:$P,
          Transactions!$G:$G,$A333,
          Transactions!$C:$C,"IN",
          Transactions!$Q:$Q,"Paid"))</f>
        <v/>
      </c>
      <c r="H333" s="59" t="str">
        <f>IF($A333="","",
   SUMIFS(Transactions!$P:$P,
          Transactions!$G:$G,$A333,
          Transactions!$C:$C,"OUT"))</f>
        <v/>
      </c>
      <c r="I333" s="65" t="str">
        <f t="shared" si="27"/>
        <v/>
      </c>
      <c r="J333" s="59" t="str">
        <f t="shared" si="30"/>
        <v/>
      </c>
    </row>
    <row r="334" spans="4:10" ht="22.5" customHeight="1" x14ac:dyDescent="0.25">
      <c r="D334" s="59" t="str">
        <f t="shared" si="26"/>
        <v/>
      </c>
      <c r="E334" s="59" t="str">
        <f t="shared" si="28"/>
        <v/>
      </c>
      <c r="F334" s="59" t="str">
        <f t="shared" si="29"/>
        <v/>
      </c>
      <c r="G334" s="59" t="str">
        <f>IF($A334="","",
   SUMIFS(Transactions!$P:$P,
          Transactions!$G:$G,$A334,
          Transactions!$C:$C,"IN",
          Transactions!$Q:$Q,"Paid"))</f>
        <v/>
      </c>
      <c r="H334" s="59" t="str">
        <f>IF($A334="","",
   SUMIFS(Transactions!$P:$P,
          Transactions!$G:$G,$A334,
          Transactions!$C:$C,"OUT"))</f>
        <v/>
      </c>
      <c r="I334" s="65" t="str">
        <f t="shared" si="27"/>
        <v/>
      </c>
      <c r="J334" s="59" t="str">
        <f t="shared" si="30"/>
        <v/>
      </c>
    </row>
    <row r="335" spans="4:10" ht="22.5" customHeight="1" x14ac:dyDescent="0.25">
      <c r="D335" s="59" t="str">
        <f t="shared" si="26"/>
        <v/>
      </c>
      <c r="E335" s="59" t="str">
        <f t="shared" si="28"/>
        <v/>
      </c>
      <c r="F335" s="59" t="str">
        <f t="shared" si="29"/>
        <v/>
      </c>
      <c r="G335" s="59" t="str">
        <f>IF($A335="","",
   SUMIFS(Transactions!$P:$P,
          Transactions!$G:$G,$A335,
          Transactions!$C:$C,"IN",
          Transactions!$Q:$Q,"Paid"))</f>
        <v/>
      </c>
      <c r="H335" s="59" t="str">
        <f>IF($A335="","",
   SUMIFS(Transactions!$P:$P,
          Transactions!$G:$G,$A335,
          Transactions!$C:$C,"OUT"))</f>
        <v/>
      </c>
      <c r="I335" s="65" t="str">
        <f t="shared" si="27"/>
        <v/>
      </c>
      <c r="J335" s="59" t="str">
        <f t="shared" si="30"/>
        <v/>
      </c>
    </row>
    <row r="336" spans="4:10" ht="22.5" customHeight="1" x14ac:dyDescent="0.25">
      <c r="D336" s="59" t="str">
        <f t="shared" si="26"/>
        <v/>
      </c>
      <c r="E336" s="59" t="str">
        <f t="shared" si="28"/>
        <v/>
      </c>
      <c r="F336" s="59" t="str">
        <f t="shared" si="29"/>
        <v/>
      </c>
      <c r="G336" s="59" t="str">
        <f>IF($A336="","",
   SUMIFS(Transactions!$P:$P,
          Transactions!$G:$G,$A336,
          Transactions!$C:$C,"IN",
          Transactions!$Q:$Q,"Paid"))</f>
        <v/>
      </c>
      <c r="H336" s="59" t="str">
        <f>IF($A336="","",
   SUMIFS(Transactions!$P:$P,
          Transactions!$G:$G,$A336,
          Transactions!$C:$C,"OUT"))</f>
        <v/>
      </c>
      <c r="I336" s="65" t="str">
        <f t="shared" si="27"/>
        <v/>
      </c>
      <c r="J336" s="59" t="str">
        <f t="shared" si="30"/>
        <v/>
      </c>
    </row>
    <row r="337" spans="4:10" ht="22.5" customHeight="1" x14ac:dyDescent="0.25">
      <c r="D337" s="59" t="str">
        <f t="shared" si="26"/>
        <v/>
      </c>
      <c r="E337" s="59" t="str">
        <f t="shared" si="28"/>
        <v/>
      </c>
      <c r="F337" s="59" t="str">
        <f t="shared" si="29"/>
        <v/>
      </c>
      <c r="G337" s="59" t="str">
        <f>IF($A337="","",
   SUMIFS(Transactions!$P:$P,
          Transactions!$G:$G,$A337,
          Transactions!$C:$C,"IN",
          Transactions!$Q:$Q,"Paid"))</f>
        <v/>
      </c>
      <c r="H337" s="59" t="str">
        <f>IF($A337="","",
   SUMIFS(Transactions!$P:$P,
          Transactions!$G:$G,$A337,
          Transactions!$C:$C,"OUT"))</f>
        <v/>
      </c>
      <c r="I337" s="65" t="str">
        <f t="shared" si="27"/>
        <v/>
      </c>
      <c r="J337" s="59" t="str">
        <f t="shared" si="30"/>
        <v/>
      </c>
    </row>
    <row r="338" spans="4:10" ht="22.5" customHeight="1" x14ac:dyDescent="0.25">
      <c r="D338" s="59" t="str">
        <f t="shared" si="26"/>
        <v/>
      </c>
      <c r="E338" s="59" t="str">
        <f t="shared" si="28"/>
        <v/>
      </c>
      <c r="F338" s="59" t="str">
        <f t="shared" si="29"/>
        <v/>
      </c>
      <c r="G338" s="59" t="str">
        <f>IF($A338="","",
   SUMIFS(Transactions!$P:$P,
          Transactions!$G:$G,$A338,
          Transactions!$C:$C,"IN",
          Transactions!$Q:$Q,"Paid"))</f>
        <v/>
      </c>
      <c r="H338" s="59" t="str">
        <f>IF($A338="","",
   SUMIFS(Transactions!$P:$P,
          Transactions!$G:$G,$A338,
          Transactions!$C:$C,"OUT"))</f>
        <v/>
      </c>
      <c r="I338" s="65" t="str">
        <f t="shared" si="27"/>
        <v/>
      </c>
      <c r="J338" s="59" t="str">
        <f t="shared" si="30"/>
        <v/>
      </c>
    </row>
    <row r="339" spans="4:10" ht="22.5" customHeight="1" x14ac:dyDescent="0.25">
      <c r="D339" s="59" t="str">
        <f t="shared" si="26"/>
        <v/>
      </c>
      <c r="E339" s="59" t="str">
        <f t="shared" si="28"/>
        <v/>
      </c>
      <c r="F339" s="59" t="str">
        <f t="shared" si="29"/>
        <v/>
      </c>
      <c r="G339" s="59" t="str">
        <f>IF($A339="","",
   SUMIFS(Transactions!$P:$P,
          Transactions!$G:$G,$A339,
          Transactions!$C:$C,"IN",
          Transactions!$Q:$Q,"Paid"))</f>
        <v/>
      </c>
      <c r="H339" s="59" t="str">
        <f>IF($A339="","",
   SUMIFS(Transactions!$P:$P,
          Transactions!$G:$G,$A339,
          Transactions!$C:$C,"OUT"))</f>
        <v/>
      </c>
      <c r="I339" s="65" t="str">
        <f t="shared" si="27"/>
        <v/>
      </c>
      <c r="J339" s="59" t="str">
        <f t="shared" si="30"/>
        <v/>
      </c>
    </row>
    <row r="340" spans="4:10" ht="22.5" customHeight="1" x14ac:dyDescent="0.25">
      <c r="D340" s="59" t="str">
        <f t="shared" si="26"/>
        <v/>
      </c>
      <c r="E340" s="59" t="str">
        <f t="shared" si="28"/>
        <v/>
      </c>
      <c r="F340" s="59" t="str">
        <f t="shared" si="29"/>
        <v/>
      </c>
      <c r="G340" s="59" t="str">
        <f>IF($A340="","",
   SUMIFS(Transactions!$P:$P,
          Transactions!$G:$G,$A340,
          Transactions!$C:$C,"IN",
          Transactions!$Q:$Q,"Paid"))</f>
        <v/>
      </c>
      <c r="H340" s="59" t="str">
        <f>IF($A340="","",
   SUMIFS(Transactions!$P:$P,
          Transactions!$G:$G,$A340,
          Transactions!$C:$C,"OUT"))</f>
        <v/>
      </c>
      <c r="I340" s="65" t="str">
        <f t="shared" si="27"/>
        <v/>
      </c>
      <c r="J340" s="59" t="str">
        <f t="shared" si="30"/>
        <v/>
      </c>
    </row>
    <row r="341" spans="4:10" ht="22.5" customHeight="1" x14ac:dyDescent="0.25">
      <c r="D341" s="59" t="str">
        <f t="shared" si="26"/>
        <v/>
      </c>
      <c r="E341" s="59" t="str">
        <f t="shared" si="28"/>
        <v/>
      </c>
      <c r="F341" s="59" t="str">
        <f t="shared" si="29"/>
        <v/>
      </c>
      <c r="G341" s="59" t="str">
        <f>IF($A341="","",
   SUMIFS(Transactions!$P:$P,
          Transactions!$G:$G,$A341,
          Transactions!$C:$C,"IN",
          Transactions!$Q:$Q,"Paid"))</f>
        <v/>
      </c>
      <c r="H341" s="59" t="str">
        <f>IF($A341="","",
   SUMIFS(Transactions!$P:$P,
          Transactions!$G:$G,$A341,
          Transactions!$C:$C,"OUT"))</f>
        <v/>
      </c>
      <c r="I341" s="65" t="str">
        <f t="shared" si="27"/>
        <v/>
      </c>
      <c r="J341" s="59" t="str">
        <f t="shared" si="30"/>
        <v/>
      </c>
    </row>
    <row r="342" spans="4:10" ht="22.5" customHeight="1" x14ac:dyDescent="0.25">
      <c r="D342" s="59" t="str">
        <f t="shared" si="26"/>
        <v/>
      </c>
      <c r="E342" s="59" t="str">
        <f t="shared" si="28"/>
        <v/>
      </c>
      <c r="F342" s="59" t="str">
        <f t="shared" si="29"/>
        <v/>
      </c>
      <c r="G342" s="59" t="str">
        <f>IF($A342="","",
   SUMIFS(Transactions!$P:$P,
          Transactions!$G:$G,$A342,
          Transactions!$C:$C,"IN",
          Transactions!$Q:$Q,"Paid"))</f>
        <v/>
      </c>
      <c r="H342" s="59" t="str">
        <f>IF($A342="","",
   SUMIFS(Transactions!$P:$P,
          Transactions!$G:$G,$A342,
          Transactions!$C:$C,"OUT"))</f>
        <v/>
      </c>
      <c r="I342" s="65" t="str">
        <f t="shared" si="27"/>
        <v/>
      </c>
      <c r="J342" s="59" t="str">
        <f t="shared" si="30"/>
        <v/>
      </c>
    </row>
    <row r="343" spans="4:10" ht="22.5" customHeight="1" x14ac:dyDescent="0.25">
      <c r="D343" s="59" t="str">
        <f t="shared" si="26"/>
        <v/>
      </c>
      <c r="E343" s="59" t="str">
        <f t="shared" si="28"/>
        <v/>
      </c>
      <c r="F343" s="59" t="str">
        <f t="shared" si="29"/>
        <v/>
      </c>
      <c r="G343" s="59" t="str">
        <f>IF($A343="","",
   SUMIFS(Transactions!$P:$P,
          Transactions!$G:$G,$A343,
          Transactions!$C:$C,"IN",
          Transactions!$Q:$Q,"Paid"))</f>
        <v/>
      </c>
      <c r="H343" s="59" t="str">
        <f>IF($A343="","",
   SUMIFS(Transactions!$P:$P,
          Transactions!$G:$G,$A343,
          Transactions!$C:$C,"OUT"))</f>
        <v/>
      </c>
      <c r="I343" s="65" t="str">
        <f t="shared" si="27"/>
        <v/>
      </c>
      <c r="J343" s="59" t="str">
        <f t="shared" si="30"/>
        <v/>
      </c>
    </row>
    <row r="344" spans="4:10" ht="22.5" customHeight="1" x14ac:dyDescent="0.25">
      <c r="D344" s="59" t="str">
        <f t="shared" si="26"/>
        <v/>
      </c>
      <c r="E344" s="59" t="str">
        <f t="shared" si="28"/>
        <v/>
      </c>
      <c r="F344" s="59" t="str">
        <f t="shared" si="29"/>
        <v/>
      </c>
      <c r="G344" s="59" t="str">
        <f>IF($A344="","",
   SUMIFS(Transactions!$P:$P,
          Transactions!$G:$G,$A344,
          Transactions!$C:$C,"IN",
          Transactions!$Q:$Q,"Paid"))</f>
        <v/>
      </c>
      <c r="H344" s="59" t="str">
        <f>IF($A344="","",
   SUMIFS(Transactions!$P:$P,
          Transactions!$G:$G,$A344,
          Transactions!$C:$C,"OUT"))</f>
        <v/>
      </c>
      <c r="I344" s="65" t="str">
        <f t="shared" si="27"/>
        <v/>
      </c>
      <c r="J344" s="59" t="str">
        <f t="shared" si="30"/>
        <v/>
      </c>
    </row>
    <row r="345" spans="4:10" ht="22.5" customHeight="1" x14ac:dyDescent="0.25">
      <c r="D345" s="59" t="str">
        <f t="shared" si="26"/>
        <v/>
      </c>
      <c r="E345" s="59" t="str">
        <f t="shared" si="28"/>
        <v/>
      </c>
      <c r="F345" s="59" t="str">
        <f t="shared" si="29"/>
        <v/>
      </c>
      <c r="G345" s="59" t="str">
        <f>IF($A345="","",
   SUMIFS(Transactions!$P:$P,
          Transactions!$G:$G,$A345,
          Transactions!$C:$C,"IN",
          Transactions!$Q:$Q,"Paid"))</f>
        <v/>
      </c>
      <c r="H345" s="59" t="str">
        <f>IF($A345="","",
   SUMIFS(Transactions!$P:$P,
          Transactions!$G:$G,$A345,
          Transactions!$C:$C,"OUT"))</f>
        <v/>
      </c>
      <c r="I345" s="65" t="str">
        <f t="shared" si="27"/>
        <v/>
      </c>
      <c r="J345" s="59" t="str">
        <f t="shared" si="30"/>
        <v/>
      </c>
    </row>
    <row r="346" spans="4:10" ht="22.5" customHeight="1" x14ac:dyDescent="0.25">
      <c r="D346" s="59" t="str">
        <f t="shared" si="26"/>
        <v/>
      </c>
      <c r="E346" s="59" t="str">
        <f t="shared" si="28"/>
        <v/>
      </c>
      <c r="F346" s="59" t="str">
        <f t="shared" si="29"/>
        <v/>
      </c>
      <c r="G346" s="59" t="str">
        <f>IF($A346="","",
   SUMIFS(Transactions!$P:$P,
          Transactions!$G:$G,$A346,
          Transactions!$C:$C,"IN",
          Transactions!$Q:$Q,"Paid"))</f>
        <v/>
      </c>
      <c r="H346" s="59" t="str">
        <f>IF($A346="","",
   SUMIFS(Transactions!$P:$P,
          Transactions!$G:$G,$A346,
          Transactions!$C:$C,"OUT"))</f>
        <v/>
      </c>
      <c r="I346" s="65" t="str">
        <f t="shared" si="27"/>
        <v/>
      </c>
      <c r="J346" s="59" t="str">
        <f t="shared" si="30"/>
        <v/>
      </c>
    </row>
    <row r="347" spans="4:10" ht="22.5" customHeight="1" x14ac:dyDescent="0.25">
      <c r="D347" s="59" t="str">
        <f t="shared" si="26"/>
        <v/>
      </c>
      <c r="E347" s="59" t="str">
        <f t="shared" si="28"/>
        <v/>
      </c>
      <c r="F347" s="59" t="str">
        <f t="shared" si="29"/>
        <v/>
      </c>
      <c r="G347" s="59" t="str">
        <f>IF($A347="","",
   SUMIFS(Transactions!$P:$P,
          Transactions!$G:$G,$A347,
          Transactions!$C:$C,"IN",
          Transactions!$Q:$Q,"Paid"))</f>
        <v/>
      </c>
      <c r="H347" s="59" t="str">
        <f>IF($A347="","",
   SUMIFS(Transactions!$P:$P,
          Transactions!$G:$G,$A347,
          Transactions!$C:$C,"OUT"))</f>
        <v/>
      </c>
      <c r="I347" s="65" t="str">
        <f t="shared" si="27"/>
        <v/>
      </c>
      <c r="J347" s="59" t="str">
        <f t="shared" si="30"/>
        <v/>
      </c>
    </row>
    <row r="348" spans="4:10" ht="22.5" customHeight="1" x14ac:dyDescent="0.25">
      <c r="D348" s="59" t="str">
        <f t="shared" si="26"/>
        <v/>
      </c>
      <c r="E348" s="59" t="str">
        <f t="shared" si="28"/>
        <v/>
      </c>
      <c r="F348" s="59" t="str">
        <f t="shared" si="29"/>
        <v/>
      </c>
      <c r="G348" s="59" t="str">
        <f>IF($A348="","",
   SUMIFS(Transactions!$P:$P,
          Transactions!$G:$G,$A348,
          Transactions!$C:$C,"IN",
          Transactions!$Q:$Q,"Paid"))</f>
        <v/>
      </c>
      <c r="H348" s="59" t="str">
        <f>IF($A348="","",
   SUMIFS(Transactions!$P:$P,
          Transactions!$G:$G,$A348,
          Transactions!$C:$C,"OUT"))</f>
        <v/>
      </c>
      <c r="I348" s="65" t="str">
        <f t="shared" si="27"/>
        <v/>
      </c>
      <c r="J348" s="59" t="str">
        <f t="shared" si="30"/>
        <v/>
      </c>
    </row>
    <row r="349" spans="4:10" ht="22.5" customHeight="1" x14ac:dyDescent="0.25">
      <c r="D349" s="59" t="str">
        <f t="shared" si="26"/>
        <v/>
      </c>
      <c r="E349" s="59" t="str">
        <f t="shared" si="28"/>
        <v/>
      </c>
      <c r="F349" s="59" t="str">
        <f t="shared" si="29"/>
        <v/>
      </c>
      <c r="G349" s="59" t="str">
        <f>IF($A349="","",
   SUMIFS(Transactions!$P:$P,
          Transactions!$G:$G,$A349,
          Transactions!$C:$C,"IN",
          Transactions!$Q:$Q,"Paid"))</f>
        <v/>
      </c>
      <c r="H349" s="59" t="str">
        <f>IF($A349="","",
   SUMIFS(Transactions!$P:$P,
          Transactions!$G:$G,$A349,
          Transactions!$C:$C,"OUT"))</f>
        <v/>
      </c>
      <c r="I349" s="65" t="str">
        <f t="shared" si="27"/>
        <v/>
      </c>
      <c r="J349" s="59" t="str">
        <f t="shared" si="30"/>
        <v/>
      </c>
    </row>
    <row r="350" spans="4:10" ht="22.5" customHeight="1" x14ac:dyDescent="0.25">
      <c r="D350" s="59" t="str">
        <f t="shared" si="26"/>
        <v/>
      </c>
      <c r="E350" s="59" t="str">
        <f t="shared" si="28"/>
        <v/>
      </c>
      <c r="F350" s="59" t="str">
        <f t="shared" si="29"/>
        <v/>
      </c>
      <c r="G350" s="59" t="str">
        <f>IF($A350="","",
   SUMIFS(Transactions!$P:$P,
          Transactions!$G:$G,$A350,
          Transactions!$C:$C,"IN",
          Transactions!$Q:$Q,"Paid"))</f>
        <v/>
      </c>
      <c r="H350" s="59" t="str">
        <f>IF($A350="","",
   SUMIFS(Transactions!$P:$P,
          Transactions!$G:$G,$A350,
          Transactions!$C:$C,"OUT"))</f>
        <v/>
      </c>
      <c r="I350" s="65" t="str">
        <f t="shared" si="27"/>
        <v/>
      </c>
      <c r="J350" s="59" t="str">
        <f t="shared" si="30"/>
        <v/>
      </c>
    </row>
    <row r="351" spans="4:10" ht="22.5" customHeight="1" x14ac:dyDescent="0.25">
      <c r="D351" s="59" t="str">
        <f t="shared" si="26"/>
        <v/>
      </c>
      <c r="E351" s="59" t="str">
        <f t="shared" si="28"/>
        <v/>
      </c>
      <c r="F351" s="59" t="str">
        <f t="shared" si="29"/>
        <v/>
      </c>
      <c r="G351" s="59" t="str">
        <f>IF($A351="","",
   SUMIFS(Transactions!$P:$P,
          Transactions!$G:$G,$A351,
          Transactions!$C:$C,"IN",
          Transactions!$Q:$Q,"Paid"))</f>
        <v/>
      </c>
      <c r="H351" s="59" t="str">
        <f>IF($A351="","",
   SUMIFS(Transactions!$P:$P,
          Transactions!$G:$G,$A351,
          Transactions!$C:$C,"OUT"))</f>
        <v/>
      </c>
      <c r="I351" s="65" t="str">
        <f t="shared" si="27"/>
        <v/>
      </c>
      <c r="J351" s="59" t="str">
        <f t="shared" si="30"/>
        <v/>
      </c>
    </row>
    <row r="352" spans="4:10" ht="22.5" customHeight="1" x14ac:dyDescent="0.25">
      <c r="D352" s="59" t="str">
        <f t="shared" si="26"/>
        <v/>
      </c>
      <c r="E352" s="59" t="str">
        <f t="shared" si="28"/>
        <v/>
      </c>
      <c r="F352" s="59" t="str">
        <f t="shared" si="29"/>
        <v/>
      </c>
      <c r="G352" s="59" t="str">
        <f>IF($A352="","",
   SUMIFS(Transactions!$P:$P,
          Transactions!$G:$G,$A352,
          Transactions!$C:$C,"IN",
          Transactions!$Q:$Q,"Paid"))</f>
        <v/>
      </c>
      <c r="H352" s="59" t="str">
        <f>IF($A352="","",
   SUMIFS(Transactions!$P:$P,
          Transactions!$G:$G,$A352,
          Transactions!$C:$C,"OUT"))</f>
        <v/>
      </c>
      <c r="I352" s="65" t="str">
        <f t="shared" si="27"/>
        <v/>
      </c>
      <c r="J352" s="59" t="str">
        <f t="shared" si="30"/>
        <v/>
      </c>
    </row>
    <row r="353" spans="4:10" ht="22.5" customHeight="1" x14ac:dyDescent="0.25">
      <c r="D353" s="59" t="str">
        <f t="shared" si="26"/>
        <v/>
      </c>
      <c r="E353" s="59" t="str">
        <f t="shared" si="28"/>
        <v/>
      </c>
      <c r="F353" s="59" t="str">
        <f t="shared" si="29"/>
        <v/>
      </c>
      <c r="G353" s="59" t="str">
        <f>IF($A353="","",
   SUMIFS(Transactions!$P:$P,
          Transactions!$G:$G,$A353,
          Transactions!$C:$C,"IN",
          Transactions!$Q:$Q,"Paid"))</f>
        <v/>
      </c>
      <c r="H353" s="59" t="str">
        <f>IF($A353="","",
   SUMIFS(Transactions!$P:$P,
          Transactions!$G:$G,$A353,
          Transactions!$C:$C,"OUT"))</f>
        <v/>
      </c>
      <c r="I353" s="65" t="str">
        <f t="shared" si="27"/>
        <v/>
      </c>
      <c r="J353" s="59" t="str">
        <f t="shared" si="30"/>
        <v/>
      </c>
    </row>
    <row r="354" spans="4:10" ht="22.5" customHeight="1" x14ac:dyDescent="0.25">
      <c r="D354" s="59" t="str">
        <f t="shared" si="26"/>
        <v/>
      </c>
      <c r="E354" s="59" t="str">
        <f t="shared" si="28"/>
        <v/>
      </c>
      <c r="F354" s="59" t="str">
        <f t="shared" si="29"/>
        <v/>
      </c>
      <c r="G354" s="59" t="str">
        <f>IF($A354="","",
   SUMIFS(Transactions!$P:$P,
          Transactions!$G:$G,$A354,
          Transactions!$C:$C,"IN",
          Transactions!$Q:$Q,"Paid"))</f>
        <v/>
      </c>
      <c r="H354" s="59" t="str">
        <f>IF($A354="","",
   SUMIFS(Transactions!$P:$P,
          Transactions!$G:$G,$A354,
          Transactions!$C:$C,"OUT"))</f>
        <v/>
      </c>
      <c r="I354" s="65" t="str">
        <f t="shared" si="27"/>
        <v/>
      </c>
      <c r="J354" s="59" t="str">
        <f t="shared" si="30"/>
        <v/>
      </c>
    </row>
    <row r="355" spans="4:10" ht="22.5" customHeight="1" x14ac:dyDescent="0.25">
      <c r="D355" s="59" t="str">
        <f t="shared" si="26"/>
        <v/>
      </c>
      <c r="E355" s="59" t="str">
        <f t="shared" si="28"/>
        <v/>
      </c>
      <c r="F355" s="59" t="str">
        <f t="shared" si="29"/>
        <v/>
      </c>
      <c r="G355" s="59" t="str">
        <f>IF($A355="","",
   SUMIFS(Transactions!$P:$P,
          Transactions!$G:$G,$A355,
          Transactions!$C:$C,"IN",
          Transactions!$Q:$Q,"Paid"))</f>
        <v/>
      </c>
      <c r="H355" s="59" t="str">
        <f>IF($A355="","",
   SUMIFS(Transactions!$P:$P,
          Transactions!$G:$G,$A355,
          Transactions!$C:$C,"OUT"))</f>
        <v/>
      </c>
      <c r="I355" s="65" t="str">
        <f t="shared" si="27"/>
        <v/>
      </c>
      <c r="J355" s="59" t="str">
        <f t="shared" si="30"/>
        <v/>
      </c>
    </row>
    <row r="356" spans="4:10" ht="22.5" customHeight="1" x14ac:dyDescent="0.25">
      <c r="D356" s="59" t="str">
        <f t="shared" si="26"/>
        <v/>
      </c>
      <c r="E356" s="59" t="str">
        <f t="shared" si="28"/>
        <v/>
      </c>
      <c r="F356" s="59" t="str">
        <f t="shared" si="29"/>
        <v/>
      </c>
      <c r="G356" s="59" t="str">
        <f>IF($A356="","",
   SUMIFS(Transactions!$P:$P,
          Transactions!$G:$G,$A356,
          Transactions!$C:$C,"IN",
          Transactions!$Q:$Q,"Paid"))</f>
        <v/>
      </c>
      <c r="H356" s="59" t="str">
        <f>IF($A356="","",
   SUMIFS(Transactions!$P:$P,
          Transactions!$G:$G,$A356,
          Transactions!$C:$C,"OUT"))</f>
        <v/>
      </c>
      <c r="I356" s="65" t="str">
        <f t="shared" si="27"/>
        <v/>
      </c>
      <c r="J356" s="59" t="str">
        <f t="shared" si="30"/>
        <v/>
      </c>
    </row>
    <row r="357" spans="4:10" ht="22.5" customHeight="1" x14ac:dyDescent="0.25">
      <c r="D357" s="59" t="str">
        <f t="shared" si="26"/>
        <v/>
      </c>
      <c r="E357" s="59" t="str">
        <f t="shared" si="28"/>
        <v/>
      </c>
      <c r="F357" s="59" t="str">
        <f t="shared" si="29"/>
        <v/>
      </c>
      <c r="G357" s="59" t="str">
        <f>IF($A357="","",
   SUMIFS(Transactions!$P:$P,
          Transactions!$G:$G,$A357,
          Transactions!$C:$C,"IN",
          Transactions!$Q:$Q,"Paid"))</f>
        <v/>
      </c>
      <c r="H357" s="59" t="str">
        <f>IF($A357="","",
   SUMIFS(Transactions!$P:$P,
          Transactions!$G:$G,$A357,
          Transactions!$C:$C,"OUT"))</f>
        <v/>
      </c>
      <c r="I357" s="65" t="str">
        <f t="shared" si="27"/>
        <v/>
      </c>
      <c r="J357" s="59" t="str">
        <f t="shared" si="30"/>
        <v/>
      </c>
    </row>
    <row r="358" spans="4:10" ht="22.5" customHeight="1" x14ac:dyDescent="0.25">
      <c r="D358" s="59" t="str">
        <f t="shared" si="26"/>
        <v/>
      </c>
      <c r="E358" s="59" t="str">
        <f t="shared" si="28"/>
        <v/>
      </c>
      <c r="F358" s="59" t="str">
        <f t="shared" si="29"/>
        <v/>
      </c>
      <c r="G358" s="59" t="str">
        <f>IF($A358="","",
   SUMIFS(Transactions!$P:$P,
          Transactions!$G:$G,$A358,
          Transactions!$C:$C,"IN",
          Transactions!$Q:$Q,"Paid"))</f>
        <v/>
      </c>
      <c r="H358" s="59" t="str">
        <f>IF($A358="","",
   SUMIFS(Transactions!$P:$P,
          Transactions!$G:$G,$A358,
          Transactions!$C:$C,"OUT"))</f>
        <v/>
      </c>
      <c r="I358" s="65" t="str">
        <f t="shared" si="27"/>
        <v/>
      </c>
      <c r="J358" s="59" t="str">
        <f t="shared" si="30"/>
        <v/>
      </c>
    </row>
    <row r="359" spans="4:10" ht="22.5" customHeight="1" x14ac:dyDescent="0.25">
      <c r="D359" s="59" t="str">
        <f t="shared" si="26"/>
        <v/>
      </c>
      <c r="E359" s="59" t="str">
        <f t="shared" si="28"/>
        <v/>
      </c>
      <c r="F359" s="59" t="str">
        <f t="shared" si="29"/>
        <v/>
      </c>
      <c r="G359" s="59" t="str">
        <f>IF($A359="","",
   SUMIFS(Transactions!$P:$P,
          Transactions!$G:$G,$A359,
          Transactions!$C:$C,"IN",
          Transactions!$Q:$Q,"Paid"))</f>
        <v/>
      </c>
      <c r="H359" s="59" t="str">
        <f>IF($A359="","",
   SUMIFS(Transactions!$P:$P,
          Transactions!$G:$G,$A359,
          Transactions!$C:$C,"OUT"))</f>
        <v/>
      </c>
      <c r="I359" s="65" t="str">
        <f t="shared" si="27"/>
        <v/>
      </c>
      <c r="J359" s="59" t="str">
        <f t="shared" si="30"/>
        <v/>
      </c>
    </row>
    <row r="360" spans="4:10" ht="22.5" customHeight="1" x14ac:dyDescent="0.25">
      <c r="D360" s="59" t="str">
        <f t="shared" si="26"/>
        <v/>
      </c>
      <c r="E360" s="59" t="str">
        <f t="shared" si="28"/>
        <v/>
      </c>
      <c r="F360" s="59" t="str">
        <f t="shared" si="29"/>
        <v/>
      </c>
      <c r="G360" s="59" t="str">
        <f>IF($A360="","",
   SUMIFS(Transactions!$P:$P,
          Transactions!$G:$G,$A360,
          Transactions!$C:$C,"IN",
          Transactions!$Q:$Q,"Paid"))</f>
        <v/>
      </c>
      <c r="H360" s="59" t="str">
        <f>IF($A360="","",
   SUMIFS(Transactions!$P:$P,
          Transactions!$G:$G,$A360,
          Transactions!$C:$C,"OUT"))</f>
        <v/>
      </c>
      <c r="I360" s="65" t="str">
        <f t="shared" si="27"/>
        <v/>
      </c>
      <c r="J360" s="59" t="str">
        <f t="shared" si="30"/>
        <v/>
      </c>
    </row>
    <row r="361" spans="4:10" ht="22.5" customHeight="1" x14ac:dyDescent="0.25">
      <c r="D361" s="59" t="str">
        <f t="shared" si="26"/>
        <v/>
      </c>
      <c r="E361" s="59" t="str">
        <f t="shared" si="28"/>
        <v/>
      </c>
      <c r="F361" s="59" t="str">
        <f t="shared" si="29"/>
        <v/>
      </c>
      <c r="G361" s="59" t="str">
        <f>IF($A361="","",
   SUMIFS(Transactions!$P:$P,
          Transactions!$G:$G,$A361,
          Transactions!$C:$C,"IN",
          Transactions!$Q:$Q,"Paid"))</f>
        <v/>
      </c>
      <c r="H361" s="59" t="str">
        <f>IF($A361="","",
   SUMIFS(Transactions!$P:$P,
          Transactions!$G:$G,$A361,
          Transactions!$C:$C,"OUT"))</f>
        <v/>
      </c>
      <c r="I361" s="65" t="str">
        <f t="shared" si="27"/>
        <v/>
      </c>
      <c r="J361" s="59" t="str">
        <f t="shared" si="30"/>
        <v/>
      </c>
    </row>
    <row r="362" spans="4:10" ht="22.5" customHeight="1" x14ac:dyDescent="0.25">
      <c r="D362" s="59" t="str">
        <f t="shared" si="26"/>
        <v/>
      </c>
      <c r="E362" s="59" t="str">
        <f t="shared" si="28"/>
        <v/>
      </c>
      <c r="F362" s="59" t="str">
        <f t="shared" si="29"/>
        <v/>
      </c>
      <c r="G362" s="59" t="str">
        <f>IF($A362="","",
   SUMIFS(Transactions!$P:$P,
          Transactions!$G:$G,$A362,
          Transactions!$C:$C,"IN",
          Transactions!$Q:$Q,"Paid"))</f>
        <v/>
      </c>
      <c r="H362" s="59" t="str">
        <f>IF($A362="","",
   SUMIFS(Transactions!$P:$P,
          Transactions!$G:$G,$A362,
          Transactions!$C:$C,"OUT"))</f>
        <v/>
      </c>
      <c r="I362" s="65" t="str">
        <f t="shared" si="27"/>
        <v/>
      </c>
      <c r="J362" s="59" t="str">
        <f t="shared" si="30"/>
        <v/>
      </c>
    </row>
    <row r="363" spans="4:10" ht="22.5" customHeight="1" x14ac:dyDescent="0.25">
      <c r="D363" s="59" t="str">
        <f t="shared" si="26"/>
        <v/>
      </c>
      <c r="E363" s="59" t="str">
        <f t="shared" si="28"/>
        <v/>
      </c>
      <c r="F363" s="59" t="str">
        <f t="shared" si="29"/>
        <v/>
      </c>
      <c r="G363" s="59" t="str">
        <f>IF($A363="","",
   SUMIFS(Transactions!$P:$P,
          Transactions!$G:$G,$A363,
          Transactions!$C:$C,"IN",
          Transactions!$Q:$Q,"Paid"))</f>
        <v/>
      </c>
      <c r="H363" s="59" t="str">
        <f>IF($A363="","",
   SUMIFS(Transactions!$P:$P,
          Transactions!$G:$G,$A363,
          Transactions!$C:$C,"OUT"))</f>
        <v/>
      </c>
      <c r="I363" s="65" t="str">
        <f t="shared" si="27"/>
        <v/>
      </c>
      <c r="J363" s="59" t="str">
        <f t="shared" si="30"/>
        <v/>
      </c>
    </row>
    <row r="364" spans="4:10" ht="22.5" customHeight="1" x14ac:dyDescent="0.25">
      <c r="D364" s="59" t="str">
        <f t="shared" si="26"/>
        <v/>
      </c>
      <c r="E364" s="59" t="str">
        <f t="shared" si="28"/>
        <v/>
      </c>
      <c r="F364" s="59" t="str">
        <f t="shared" si="29"/>
        <v/>
      </c>
      <c r="G364" s="59" t="str">
        <f>IF($A364="","",
   SUMIFS(Transactions!$P:$P,
          Transactions!$G:$G,$A364,
          Transactions!$C:$C,"IN",
          Transactions!$Q:$Q,"Paid"))</f>
        <v/>
      </c>
      <c r="H364" s="59" t="str">
        <f>IF($A364="","",
   SUMIFS(Transactions!$P:$P,
          Transactions!$G:$G,$A364,
          Transactions!$C:$C,"OUT"))</f>
        <v/>
      </c>
      <c r="I364" s="65" t="str">
        <f t="shared" si="27"/>
        <v/>
      </c>
      <c r="J364" s="59" t="str">
        <f t="shared" si="30"/>
        <v/>
      </c>
    </row>
    <row r="365" spans="4:10" ht="22.5" customHeight="1" x14ac:dyDescent="0.25">
      <c r="D365" s="59" t="str">
        <f t="shared" si="26"/>
        <v/>
      </c>
      <c r="E365" s="59" t="str">
        <f t="shared" si="28"/>
        <v/>
      </c>
      <c r="F365" s="59" t="str">
        <f t="shared" si="29"/>
        <v/>
      </c>
      <c r="G365" s="59" t="str">
        <f>IF($A365="","",
   SUMIFS(Transactions!$P:$P,
          Transactions!$G:$G,$A365,
          Transactions!$C:$C,"IN",
          Transactions!$Q:$Q,"Paid"))</f>
        <v/>
      </c>
      <c r="H365" s="59" t="str">
        <f>IF($A365="","",
   SUMIFS(Transactions!$P:$P,
          Transactions!$G:$G,$A365,
          Transactions!$C:$C,"OUT"))</f>
        <v/>
      </c>
      <c r="I365" s="65" t="str">
        <f t="shared" si="27"/>
        <v/>
      </c>
      <c r="J365" s="59" t="str">
        <f t="shared" si="30"/>
        <v/>
      </c>
    </row>
    <row r="366" spans="4:10" ht="22.5" customHeight="1" x14ac:dyDescent="0.25">
      <c r="D366" s="59" t="str">
        <f t="shared" si="26"/>
        <v/>
      </c>
      <c r="E366" s="59" t="str">
        <f t="shared" si="28"/>
        <v/>
      </c>
      <c r="F366" s="59" t="str">
        <f t="shared" si="29"/>
        <v/>
      </c>
      <c r="G366" s="59" t="str">
        <f>IF($A366="","",
   SUMIFS(Transactions!$P:$P,
          Transactions!$G:$G,$A366,
          Transactions!$C:$C,"IN",
          Transactions!$Q:$Q,"Paid"))</f>
        <v/>
      </c>
      <c r="H366" s="59" t="str">
        <f>IF($A366="","",
   SUMIFS(Transactions!$P:$P,
          Transactions!$G:$G,$A366,
          Transactions!$C:$C,"OUT"))</f>
        <v/>
      </c>
      <c r="I366" s="65" t="str">
        <f t="shared" si="27"/>
        <v/>
      </c>
      <c r="J366" s="59" t="str">
        <f t="shared" si="30"/>
        <v/>
      </c>
    </row>
    <row r="367" spans="4:10" ht="22.5" customHeight="1" x14ac:dyDescent="0.25">
      <c r="D367" s="59" t="str">
        <f t="shared" si="26"/>
        <v/>
      </c>
      <c r="E367" s="59" t="str">
        <f t="shared" si="28"/>
        <v/>
      </c>
      <c r="F367" s="59" t="str">
        <f t="shared" si="29"/>
        <v/>
      </c>
      <c r="G367" s="59" t="str">
        <f>IF($A367="","",
   SUMIFS(Transactions!$P:$P,
          Transactions!$G:$G,$A367,
          Transactions!$C:$C,"IN",
          Transactions!$Q:$Q,"Paid"))</f>
        <v/>
      </c>
      <c r="H367" s="59" t="str">
        <f>IF($A367="","",
   SUMIFS(Transactions!$P:$P,
          Transactions!$G:$G,$A367,
          Transactions!$C:$C,"OUT"))</f>
        <v/>
      </c>
      <c r="I367" s="65" t="str">
        <f t="shared" si="27"/>
        <v/>
      </c>
      <c r="J367" s="59" t="str">
        <f t="shared" si="30"/>
        <v/>
      </c>
    </row>
    <row r="368" spans="4:10" ht="22.5" customHeight="1" x14ac:dyDescent="0.25">
      <c r="D368" s="59" t="str">
        <f t="shared" si="26"/>
        <v/>
      </c>
      <c r="E368" s="59" t="str">
        <f t="shared" si="28"/>
        <v/>
      </c>
      <c r="F368" s="59" t="str">
        <f t="shared" si="29"/>
        <v/>
      </c>
      <c r="G368" s="59" t="str">
        <f>IF($A368="","",
   SUMIFS(Transactions!$P:$P,
          Transactions!$G:$G,$A368,
          Transactions!$C:$C,"IN",
          Transactions!$Q:$Q,"Paid"))</f>
        <v/>
      </c>
      <c r="H368" s="59" t="str">
        <f>IF($A368="","",
   SUMIFS(Transactions!$P:$P,
          Transactions!$G:$G,$A368,
          Transactions!$C:$C,"OUT"))</f>
        <v/>
      </c>
      <c r="I368" s="65" t="str">
        <f t="shared" si="27"/>
        <v/>
      </c>
      <c r="J368" s="59" t="str">
        <f t="shared" si="30"/>
        <v/>
      </c>
    </row>
    <row r="369" spans="4:10" ht="22.5" customHeight="1" x14ac:dyDescent="0.25">
      <c r="D369" s="59" t="str">
        <f t="shared" si="26"/>
        <v/>
      </c>
      <c r="E369" s="59" t="str">
        <f t="shared" si="28"/>
        <v/>
      </c>
      <c r="F369" s="59" t="str">
        <f t="shared" si="29"/>
        <v/>
      </c>
      <c r="G369" s="59" t="str">
        <f>IF($A369="","",
   SUMIFS(Transactions!$P:$P,
          Transactions!$G:$G,$A369,
          Transactions!$C:$C,"IN",
          Transactions!$Q:$Q,"Paid"))</f>
        <v/>
      </c>
      <c r="H369" s="59" t="str">
        <f>IF($A369="","",
   SUMIFS(Transactions!$P:$P,
          Transactions!$G:$G,$A369,
          Transactions!$C:$C,"OUT"))</f>
        <v/>
      </c>
      <c r="I369" s="65" t="str">
        <f t="shared" si="27"/>
        <v/>
      </c>
      <c r="J369" s="59" t="str">
        <f t="shared" si="30"/>
        <v/>
      </c>
    </row>
    <row r="370" spans="4:10" ht="22.5" customHeight="1" x14ac:dyDescent="0.25">
      <c r="D370" s="59" t="str">
        <f t="shared" si="26"/>
        <v/>
      </c>
      <c r="E370" s="59" t="str">
        <f t="shared" si="28"/>
        <v/>
      </c>
      <c r="F370" s="59" t="str">
        <f t="shared" si="29"/>
        <v/>
      </c>
      <c r="G370" s="59" t="str">
        <f>IF($A370="","",
   SUMIFS(Transactions!$P:$P,
          Transactions!$G:$G,$A370,
          Transactions!$C:$C,"IN",
          Transactions!$Q:$Q,"Paid"))</f>
        <v/>
      </c>
      <c r="H370" s="59" t="str">
        <f>IF($A370="","",
   SUMIFS(Transactions!$P:$P,
          Transactions!$G:$G,$A370,
          Transactions!$C:$C,"OUT"))</f>
        <v/>
      </c>
      <c r="I370" s="65" t="str">
        <f t="shared" si="27"/>
        <v/>
      </c>
      <c r="J370" s="59" t="str">
        <f t="shared" si="30"/>
        <v/>
      </c>
    </row>
    <row r="371" spans="4:10" ht="22.5" customHeight="1" x14ac:dyDescent="0.25">
      <c r="D371" s="59" t="str">
        <f t="shared" si="26"/>
        <v/>
      </c>
      <c r="E371" s="59" t="str">
        <f t="shared" si="28"/>
        <v/>
      </c>
      <c r="F371" s="59" t="str">
        <f t="shared" si="29"/>
        <v/>
      </c>
      <c r="G371" s="59" t="str">
        <f>IF($A371="","",
   SUMIFS(Transactions!$P:$P,
          Transactions!$G:$G,$A371,
          Transactions!$C:$C,"IN",
          Transactions!$Q:$Q,"Paid"))</f>
        <v/>
      </c>
      <c r="H371" s="59" t="str">
        <f>IF($A371="","",
   SUMIFS(Transactions!$P:$P,
          Transactions!$G:$G,$A371,
          Transactions!$C:$C,"OUT"))</f>
        <v/>
      </c>
      <c r="I371" s="65" t="str">
        <f t="shared" si="27"/>
        <v/>
      </c>
      <c r="J371" s="59" t="str">
        <f t="shared" si="30"/>
        <v/>
      </c>
    </row>
    <row r="372" spans="4:10" ht="22.5" customHeight="1" x14ac:dyDescent="0.25">
      <c r="D372" s="59" t="str">
        <f t="shared" si="26"/>
        <v/>
      </c>
      <c r="E372" s="59" t="str">
        <f t="shared" si="28"/>
        <v/>
      </c>
      <c r="F372" s="59" t="str">
        <f t="shared" si="29"/>
        <v/>
      </c>
      <c r="G372" s="59" t="str">
        <f>IF($A372="","",
   SUMIFS(Transactions!$P:$P,
          Transactions!$G:$G,$A372,
          Transactions!$C:$C,"IN",
          Transactions!$Q:$Q,"Paid"))</f>
        <v/>
      </c>
      <c r="H372" s="59" t="str">
        <f>IF($A372="","",
   SUMIFS(Transactions!$P:$P,
          Transactions!$G:$G,$A372,
          Transactions!$C:$C,"OUT"))</f>
        <v/>
      </c>
      <c r="I372" s="65" t="str">
        <f t="shared" si="27"/>
        <v/>
      </c>
      <c r="J372" s="59" t="str">
        <f t="shared" si="30"/>
        <v/>
      </c>
    </row>
    <row r="373" spans="4:10" ht="22.5" customHeight="1" x14ac:dyDescent="0.25">
      <c r="D373" s="59" t="str">
        <f t="shared" si="26"/>
        <v/>
      </c>
      <c r="E373" s="59" t="str">
        <f t="shared" si="28"/>
        <v/>
      </c>
      <c r="F373" s="59" t="str">
        <f t="shared" si="29"/>
        <v/>
      </c>
      <c r="G373" s="59" t="str">
        <f>IF($A373="","",
   SUMIFS(Transactions!$P:$P,
          Transactions!$G:$G,$A373,
          Transactions!$C:$C,"IN",
          Transactions!$Q:$Q,"Paid"))</f>
        <v/>
      </c>
      <c r="H373" s="59" t="str">
        <f>IF($A373="","",
   SUMIFS(Transactions!$P:$P,
          Transactions!$G:$G,$A373,
          Transactions!$C:$C,"OUT"))</f>
        <v/>
      </c>
      <c r="I373" s="65" t="str">
        <f t="shared" si="27"/>
        <v/>
      </c>
      <c r="J373" s="59" t="str">
        <f t="shared" si="30"/>
        <v/>
      </c>
    </row>
    <row r="374" spans="4:10" ht="22.5" customHeight="1" x14ac:dyDescent="0.25">
      <c r="D374" s="59" t="str">
        <f t="shared" si="26"/>
        <v/>
      </c>
      <c r="E374" s="59" t="str">
        <f t="shared" si="28"/>
        <v/>
      </c>
      <c r="F374" s="59" t="str">
        <f t="shared" si="29"/>
        <v/>
      </c>
      <c r="G374" s="59" t="str">
        <f>IF($A374="","",
   SUMIFS(Transactions!$P:$P,
          Transactions!$G:$G,$A374,
          Transactions!$C:$C,"IN",
          Transactions!$Q:$Q,"Paid"))</f>
        <v/>
      </c>
      <c r="H374" s="59" t="str">
        <f>IF($A374="","",
   SUMIFS(Transactions!$P:$P,
          Transactions!$G:$G,$A374,
          Transactions!$C:$C,"OUT"))</f>
        <v/>
      </c>
      <c r="I374" s="65" t="str">
        <f t="shared" si="27"/>
        <v/>
      </c>
      <c r="J374" s="59" t="str">
        <f t="shared" si="30"/>
        <v/>
      </c>
    </row>
    <row r="375" spans="4:10" ht="22.5" customHeight="1" x14ac:dyDescent="0.25">
      <c r="D375" s="59" t="str">
        <f t="shared" si="26"/>
        <v/>
      </c>
      <c r="E375" s="59" t="str">
        <f t="shared" si="28"/>
        <v/>
      </c>
      <c r="F375" s="59" t="str">
        <f t="shared" si="29"/>
        <v/>
      </c>
      <c r="G375" s="59" t="str">
        <f>IF($A375="","",
   SUMIFS(Transactions!$P:$P,
          Transactions!$G:$G,$A375,
          Transactions!$C:$C,"IN",
          Transactions!$Q:$Q,"Paid"))</f>
        <v/>
      </c>
      <c r="H375" s="59" t="str">
        <f>IF($A375="","",
   SUMIFS(Transactions!$P:$P,
          Transactions!$G:$G,$A375,
          Transactions!$C:$C,"OUT"))</f>
        <v/>
      </c>
      <c r="I375" s="65" t="str">
        <f t="shared" si="27"/>
        <v/>
      </c>
      <c r="J375" s="59" t="str">
        <f t="shared" si="30"/>
        <v/>
      </c>
    </row>
    <row r="376" spans="4:10" ht="22.5" customHeight="1" x14ac:dyDescent="0.25">
      <c r="D376" s="59" t="str">
        <f t="shared" si="26"/>
        <v/>
      </c>
      <c r="E376" s="59" t="str">
        <f t="shared" si="28"/>
        <v/>
      </c>
      <c r="F376" s="59" t="str">
        <f t="shared" si="29"/>
        <v/>
      </c>
      <c r="G376" s="59" t="str">
        <f>IF($A376="","",
   SUMIFS(Transactions!$P:$P,
          Transactions!$G:$G,$A376,
          Transactions!$C:$C,"IN",
          Transactions!$Q:$Q,"Paid"))</f>
        <v/>
      </c>
      <c r="H376" s="59" t="str">
        <f>IF($A376="","",
   SUMIFS(Transactions!$P:$P,
          Transactions!$G:$G,$A376,
          Transactions!$C:$C,"OUT"))</f>
        <v/>
      </c>
      <c r="I376" s="65" t="str">
        <f t="shared" si="27"/>
        <v/>
      </c>
      <c r="J376" s="59" t="str">
        <f t="shared" si="30"/>
        <v/>
      </c>
    </row>
    <row r="377" spans="4:10" ht="22.5" customHeight="1" x14ac:dyDescent="0.25">
      <c r="D377" s="59" t="str">
        <f t="shared" si="26"/>
        <v/>
      </c>
      <c r="E377" s="59" t="str">
        <f t="shared" si="28"/>
        <v/>
      </c>
      <c r="F377" s="59" t="str">
        <f t="shared" si="29"/>
        <v/>
      </c>
      <c r="G377" s="59" t="str">
        <f>IF($A377="","",
   SUMIFS(Transactions!$P:$P,
          Transactions!$G:$G,$A377,
          Transactions!$C:$C,"IN",
          Transactions!$Q:$Q,"Paid"))</f>
        <v/>
      </c>
      <c r="H377" s="59" t="str">
        <f>IF($A377="","",
   SUMIFS(Transactions!$P:$P,
          Transactions!$G:$G,$A377,
          Transactions!$C:$C,"OUT"))</f>
        <v/>
      </c>
      <c r="I377" s="65" t="str">
        <f t="shared" si="27"/>
        <v/>
      </c>
      <c r="J377" s="59" t="str">
        <f t="shared" si="30"/>
        <v/>
      </c>
    </row>
    <row r="378" spans="4:10" ht="22.5" customHeight="1" x14ac:dyDescent="0.25">
      <c r="D378" s="59" t="str">
        <f t="shared" si="26"/>
        <v/>
      </c>
      <c r="E378" s="59" t="str">
        <f t="shared" si="28"/>
        <v/>
      </c>
      <c r="F378" s="59" t="str">
        <f t="shared" si="29"/>
        <v/>
      </c>
      <c r="G378" s="59" t="str">
        <f>IF($A378="","",
   SUMIFS(Transactions!$P:$P,
          Transactions!$G:$G,$A378,
          Transactions!$C:$C,"IN",
          Transactions!$Q:$Q,"Paid"))</f>
        <v/>
      </c>
      <c r="H378" s="59" t="str">
        <f>IF($A378="","",
   SUMIFS(Transactions!$P:$P,
          Transactions!$G:$G,$A378,
          Transactions!$C:$C,"OUT"))</f>
        <v/>
      </c>
      <c r="I378" s="65" t="str">
        <f t="shared" si="27"/>
        <v/>
      </c>
      <c r="J378" s="59" t="str">
        <f t="shared" si="30"/>
        <v/>
      </c>
    </row>
    <row r="379" spans="4:10" ht="22.5" customHeight="1" x14ac:dyDescent="0.25">
      <c r="D379" s="59" t="str">
        <f t="shared" si="26"/>
        <v/>
      </c>
      <c r="E379" s="59" t="str">
        <f t="shared" si="28"/>
        <v/>
      </c>
      <c r="F379" s="59" t="str">
        <f t="shared" si="29"/>
        <v/>
      </c>
      <c r="G379" s="59" t="str">
        <f>IF($A379="","",
   SUMIFS(Transactions!$P:$P,
          Transactions!$G:$G,$A379,
          Transactions!$C:$C,"IN",
          Transactions!$Q:$Q,"Paid"))</f>
        <v/>
      </c>
      <c r="H379" s="59" t="str">
        <f>IF($A379="","",
   SUMIFS(Transactions!$P:$P,
          Transactions!$G:$G,$A379,
          Transactions!$C:$C,"OUT"))</f>
        <v/>
      </c>
      <c r="I379" s="65" t="str">
        <f t="shared" si="27"/>
        <v/>
      </c>
      <c r="J379" s="59" t="str">
        <f t="shared" si="30"/>
        <v/>
      </c>
    </row>
    <row r="380" spans="4:10" ht="22.5" customHeight="1" x14ac:dyDescent="0.25">
      <c r="D380" s="59" t="str">
        <f t="shared" si="26"/>
        <v/>
      </c>
      <c r="E380" s="59" t="str">
        <f t="shared" si="28"/>
        <v/>
      </c>
      <c r="F380" s="59" t="str">
        <f t="shared" si="29"/>
        <v/>
      </c>
      <c r="G380" s="59" t="str">
        <f>IF($A380="","",
   SUMIFS(Transactions!$P:$P,
          Transactions!$G:$G,$A380,
          Transactions!$C:$C,"IN",
          Transactions!$Q:$Q,"Paid"))</f>
        <v/>
      </c>
      <c r="H380" s="59" t="str">
        <f>IF($A380="","",
   SUMIFS(Transactions!$P:$P,
          Transactions!$G:$G,$A380,
          Transactions!$C:$C,"OUT"))</f>
        <v/>
      </c>
      <c r="I380" s="65" t="str">
        <f t="shared" si="27"/>
        <v/>
      </c>
      <c r="J380" s="59" t="str">
        <f t="shared" si="30"/>
        <v/>
      </c>
    </row>
    <row r="381" spans="4:10" ht="22.5" customHeight="1" x14ac:dyDescent="0.25">
      <c r="D381" s="59" t="str">
        <f t="shared" si="26"/>
        <v/>
      </c>
      <c r="E381" s="59" t="str">
        <f t="shared" si="28"/>
        <v/>
      </c>
      <c r="F381" s="59" t="str">
        <f t="shared" si="29"/>
        <v/>
      </c>
      <c r="G381" s="59" t="str">
        <f>IF($A381="","",
   SUMIFS(Transactions!$P:$P,
          Transactions!$G:$G,$A381,
          Transactions!$C:$C,"IN",
          Transactions!$Q:$Q,"Paid"))</f>
        <v/>
      </c>
      <c r="H381" s="59" t="str">
        <f>IF($A381="","",
   SUMIFS(Transactions!$P:$P,
          Transactions!$G:$G,$A381,
          Transactions!$C:$C,"OUT"))</f>
        <v/>
      </c>
      <c r="I381" s="65" t="str">
        <f t="shared" si="27"/>
        <v/>
      </c>
      <c r="J381" s="59" t="str">
        <f t="shared" si="30"/>
        <v/>
      </c>
    </row>
    <row r="382" spans="4:10" ht="22.5" customHeight="1" x14ac:dyDescent="0.25">
      <c r="D382" s="59" t="str">
        <f t="shared" si="26"/>
        <v/>
      </c>
      <c r="E382" s="59" t="str">
        <f t="shared" si="28"/>
        <v/>
      </c>
      <c r="F382" s="59" t="str">
        <f t="shared" si="29"/>
        <v/>
      </c>
      <c r="G382" s="59" t="str">
        <f>IF($A382="","",
   SUMIFS(Transactions!$P:$P,
          Transactions!$G:$G,$A382,
          Transactions!$C:$C,"IN",
          Transactions!$Q:$Q,"Paid"))</f>
        <v/>
      </c>
      <c r="H382" s="59" t="str">
        <f>IF($A382="","",
   SUMIFS(Transactions!$P:$P,
          Transactions!$G:$G,$A382,
          Transactions!$C:$C,"OUT"))</f>
        <v/>
      </c>
      <c r="I382" s="65" t="str">
        <f t="shared" si="27"/>
        <v/>
      </c>
      <c r="J382" s="59" t="str">
        <f t="shared" si="30"/>
        <v/>
      </c>
    </row>
    <row r="383" spans="4:10" ht="22.5" customHeight="1" x14ac:dyDescent="0.25">
      <c r="D383" s="59" t="str">
        <f t="shared" si="26"/>
        <v/>
      </c>
      <c r="E383" s="59" t="str">
        <f t="shared" si="28"/>
        <v/>
      </c>
      <c r="F383" s="59" t="str">
        <f t="shared" si="29"/>
        <v/>
      </c>
      <c r="G383" s="59" t="str">
        <f>IF($A383="","",
   SUMIFS(Transactions!$P:$P,
          Transactions!$G:$G,$A383,
          Transactions!$C:$C,"IN",
          Transactions!$Q:$Q,"Paid"))</f>
        <v/>
      </c>
      <c r="H383" s="59" t="str">
        <f>IF($A383="","",
   SUMIFS(Transactions!$P:$P,
          Transactions!$G:$G,$A383,
          Transactions!$C:$C,"OUT"))</f>
        <v/>
      </c>
      <c r="I383" s="65" t="str">
        <f t="shared" si="27"/>
        <v/>
      </c>
      <c r="J383" s="59" t="str">
        <f t="shared" si="30"/>
        <v/>
      </c>
    </row>
    <row r="384" spans="4:10" ht="22.5" customHeight="1" x14ac:dyDescent="0.25">
      <c r="D384" s="59" t="str">
        <f t="shared" si="26"/>
        <v/>
      </c>
      <c r="E384" s="59" t="str">
        <f t="shared" si="28"/>
        <v/>
      </c>
      <c r="F384" s="59" t="str">
        <f t="shared" si="29"/>
        <v/>
      </c>
      <c r="G384" s="59" t="str">
        <f>IF($A384="","",
   SUMIFS(Transactions!$P:$P,
          Transactions!$G:$G,$A384,
          Transactions!$C:$C,"IN",
          Transactions!$Q:$Q,"Paid"))</f>
        <v/>
      </c>
      <c r="H384" s="59" t="str">
        <f>IF($A384="","",
   SUMIFS(Transactions!$P:$P,
          Transactions!$G:$G,$A384,
          Transactions!$C:$C,"OUT"))</f>
        <v/>
      </c>
      <c r="I384" s="65" t="str">
        <f t="shared" si="27"/>
        <v/>
      </c>
      <c r="J384" s="59" t="str">
        <f t="shared" si="30"/>
        <v/>
      </c>
    </row>
    <row r="385" spans="4:10" ht="22.5" customHeight="1" x14ac:dyDescent="0.25">
      <c r="D385" s="59" t="str">
        <f t="shared" si="26"/>
        <v/>
      </c>
      <c r="E385" s="59" t="str">
        <f t="shared" si="28"/>
        <v/>
      </c>
      <c r="F385" s="59" t="str">
        <f t="shared" si="29"/>
        <v/>
      </c>
      <c r="G385" s="59" t="str">
        <f>IF($A385="","",
   SUMIFS(Transactions!$P:$P,
          Transactions!$G:$G,$A385,
          Transactions!$C:$C,"IN",
          Transactions!$Q:$Q,"Paid"))</f>
        <v/>
      </c>
      <c r="H385" s="59" t="str">
        <f>IF($A385="","",
   SUMIFS(Transactions!$P:$P,
          Transactions!$G:$G,$A385,
          Transactions!$C:$C,"OUT"))</f>
        <v/>
      </c>
      <c r="I385" s="65" t="str">
        <f t="shared" si="27"/>
        <v/>
      </c>
      <c r="J385" s="59" t="str">
        <f t="shared" si="30"/>
        <v/>
      </c>
    </row>
    <row r="386" spans="4:10" ht="22.5" customHeight="1" x14ac:dyDescent="0.25">
      <c r="D386" s="59" t="str">
        <f t="shared" si="26"/>
        <v/>
      </c>
      <c r="E386" s="59" t="str">
        <f t="shared" si="28"/>
        <v/>
      </c>
      <c r="F386" s="59" t="str">
        <f t="shared" si="29"/>
        <v/>
      </c>
      <c r="G386" s="59" t="str">
        <f>IF($A386="","",
   SUMIFS(Transactions!$P:$P,
          Transactions!$G:$G,$A386,
          Transactions!$C:$C,"IN",
          Transactions!$Q:$Q,"Paid"))</f>
        <v/>
      </c>
      <c r="H386" s="59" t="str">
        <f>IF($A386="","",
   SUMIFS(Transactions!$P:$P,
          Transactions!$G:$G,$A386,
          Transactions!$C:$C,"OUT"))</f>
        <v/>
      </c>
      <c r="I386" s="65" t="str">
        <f t="shared" si="27"/>
        <v/>
      </c>
      <c r="J386" s="59" t="str">
        <f t="shared" si="30"/>
        <v/>
      </c>
    </row>
    <row r="387" spans="4:10" ht="22.5" customHeight="1" x14ac:dyDescent="0.25">
      <c r="D387" s="59" t="str">
        <f t="shared" ref="D387:D450" si="31">IF(C387="","",ROUND(C387*0.15,2))</f>
        <v/>
      </c>
      <c r="E387" s="59" t="str">
        <f t="shared" si="28"/>
        <v/>
      </c>
      <c r="F387" s="59" t="str">
        <f t="shared" si="29"/>
        <v/>
      </c>
      <c r="G387" s="59" t="str">
        <f>IF($A387="","",
   SUMIFS(Transactions!$P:$P,
          Transactions!$G:$G,$A387,
          Transactions!$C:$C,"IN",
          Transactions!$Q:$Q,"Paid"))</f>
        <v/>
      </c>
      <c r="H387" s="59" t="str">
        <f>IF($A387="","",
   SUMIFS(Transactions!$P:$P,
          Transactions!$G:$G,$A387,
          Transactions!$C:$C,"OUT"))</f>
        <v/>
      </c>
      <c r="I387" s="65" t="str">
        <f t="shared" ref="I387:I450" si="32">IF(C387="","",C387-H387)</f>
        <v/>
      </c>
      <c r="J387" s="59" t="str">
        <f t="shared" si="30"/>
        <v/>
      </c>
    </row>
    <row r="388" spans="4:10" ht="22.5" customHeight="1" x14ac:dyDescent="0.25">
      <c r="D388" s="59" t="str">
        <f t="shared" si="31"/>
        <v/>
      </c>
      <c r="E388" s="59" t="str">
        <f t="shared" ref="E388:E451" si="33">IF(C388="","",C388+D388)</f>
        <v/>
      </c>
      <c r="F388" s="59" t="str">
        <f t="shared" ref="F388:F451" si="34">IF(E388="","",E388*0.5)</f>
        <v/>
      </c>
      <c r="G388" s="59" t="str">
        <f>IF($A388="","",
   SUMIFS(Transactions!$P:$P,
          Transactions!$G:$G,$A388,
          Transactions!$C:$C,"IN",
          Transactions!$Q:$Q,"Paid"))</f>
        <v/>
      </c>
      <c r="H388" s="59" t="str">
        <f>IF($A388="","",
   SUMIFS(Transactions!$P:$P,
          Transactions!$G:$G,$A388,
          Transactions!$C:$C,"OUT"))</f>
        <v/>
      </c>
      <c r="I388" s="65" t="str">
        <f t="shared" si="32"/>
        <v/>
      </c>
      <c r="J388" s="59" t="str">
        <f t="shared" ref="J388:J451" si="35">IF(E388="","",E388-G388)</f>
        <v/>
      </c>
    </row>
    <row r="389" spans="4:10" ht="22.5" customHeight="1" x14ac:dyDescent="0.25">
      <c r="D389" s="59" t="str">
        <f t="shared" si="31"/>
        <v/>
      </c>
      <c r="E389" s="59" t="str">
        <f t="shared" si="33"/>
        <v/>
      </c>
      <c r="F389" s="59" t="str">
        <f t="shared" si="34"/>
        <v/>
      </c>
      <c r="G389" s="59" t="str">
        <f>IF($A389="","",
   SUMIFS(Transactions!$P:$P,
          Transactions!$G:$G,$A389,
          Transactions!$C:$C,"IN",
          Transactions!$Q:$Q,"Paid"))</f>
        <v/>
      </c>
      <c r="H389" s="59" t="str">
        <f>IF($A389="","",
   SUMIFS(Transactions!$P:$P,
          Transactions!$G:$G,$A389,
          Transactions!$C:$C,"OUT"))</f>
        <v/>
      </c>
      <c r="I389" s="65" t="str">
        <f t="shared" si="32"/>
        <v/>
      </c>
      <c r="J389" s="59" t="str">
        <f t="shared" si="35"/>
        <v/>
      </c>
    </row>
    <row r="390" spans="4:10" ht="22.5" customHeight="1" x14ac:dyDescent="0.25">
      <c r="D390" s="59" t="str">
        <f t="shared" si="31"/>
        <v/>
      </c>
      <c r="E390" s="59" t="str">
        <f t="shared" si="33"/>
        <v/>
      </c>
      <c r="F390" s="59" t="str">
        <f t="shared" si="34"/>
        <v/>
      </c>
      <c r="G390" s="59" t="str">
        <f>IF($A390="","",
   SUMIFS(Transactions!$P:$P,
          Transactions!$G:$G,$A390,
          Transactions!$C:$C,"IN",
          Transactions!$Q:$Q,"Paid"))</f>
        <v/>
      </c>
      <c r="H390" s="59" t="str">
        <f>IF($A390="","",
   SUMIFS(Transactions!$P:$P,
          Transactions!$G:$G,$A390,
          Transactions!$C:$C,"OUT"))</f>
        <v/>
      </c>
      <c r="I390" s="65" t="str">
        <f t="shared" si="32"/>
        <v/>
      </c>
      <c r="J390" s="59" t="str">
        <f t="shared" si="35"/>
        <v/>
      </c>
    </row>
    <row r="391" spans="4:10" ht="22.5" customHeight="1" x14ac:dyDescent="0.25">
      <c r="D391" s="59" t="str">
        <f t="shared" si="31"/>
        <v/>
      </c>
      <c r="E391" s="59" t="str">
        <f t="shared" si="33"/>
        <v/>
      </c>
      <c r="F391" s="59" t="str">
        <f t="shared" si="34"/>
        <v/>
      </c>
      <c r="G391" s="59" t="str">
        <f>IF($A391="","",
   SUMIFS(Transactions!$P:$P,
          Transactions!$G:$G,$A391,
          Transactions!$C:$C,"IN",
          Transactions!$Q:$Q,"Paid"))</f>
        <v/>
      </c>
      <c r="H391" s="59" t="str">
        <f>IF($A391="","",
   SUMIFS(Transactions!$P:$P,
          Transactions!$G:$G,$A391,
          Transactions!$C:$C,"OUT"))</f>
        <v/>
      </c>
      <c r="I391" s="65" t="str">
        <f t="shared" si="32"/>
        <v/>
      </c>
      <c r="J391" s="59" t="str">
        <f t="shared" si="35"/>
        <v/>
      </c>
    </row>
    <row r="392" spans="4:10" ht="22.5" customHeight="1" x14ac:dyDescent="0.25">
      <c r="D392" s="59" t="str">
        <f t="shared" si="31"/>
        <v/>
      </c>
      <c r="E392" s="59" t="str">
        <f t="shared" si="33"/>
        <v/>
      </c>
      <c r="F392" s="59" t="str">
        <f t="shared" si="34"/>
        <v/>
      </c>
      <c r="G392" s="59" t="str">
        <f>IF($A392="","",
   SUMIFS(Transactions!$P:$P,
          Transactions!$G:$G,$A392,
          Transactions!$C:$C,"IN",
          Transactions!$Q:$Q,"Paid"))</f>
        <v/>
      </c>
      <c r="H392" s="59" t="str">
        <f>IF($A392="","",
   SUMIFS(Transactions!$P:$P,
          Transactions!$G:$G,$A392,
          Transactions!$C:$C,"OUT"))</f>
        <v/>
      </c>
      <c r="I392" s="65" t="str">
        <f t="shared" si="32"/>
        <v/>
      </c>
      <c r="J392" s="59" t="str">
        <f t="shared" si="35"/>
        <v/>
      </c>
    </row>
    <row r="393" spans="4:10" ht="22.5" customHeight="1" x14ac:dyDescent="0.25">
      <c r="D393" s="59" t="str">
        <f t="shared" si="31"/>
        <v/>
      </c>
      <c r="E393" s="59" t="str">
        <f t="shared" si="33"/>
        <v/>
      </c>
      <c r="F393" s="59" t="str">
        <f t="shared" si="34"/>
        <v/>
      </c>
      <c r="G393" s="59" t="str">
        <f>IF($A393="","",
   SUMIFS(Transactions!$P:$P,
          Transactions!$G:$G,$A393,
          Transactions!$C:$C,"IN",
          Transactions!$Q:$Q,"Paid"))</f>
        <v/>
      </c>
      <c r="H393" s="59" t="str">
        <f>IF($A393="","",
   SUMIFS(Transactions!$P:$P,
          Transactions!$G:$G,$A393,
          Transactions!$C:$C,"OUT"))</f>
        <v/>
      </c>
      <c r="I393" s="65" t="str">
        <f t="shared" si="32"/>
        <v/>
      </c>
      <c r="J393" s="59" t="str">
        <f t="shared" si="35"/>
        <v/>
      </c>
    </row>
    <row r="394" spans="4:10" ht="22.5" customHeight="1" x14ac:dyDescent="0.25">
      <c r="D394" s="59" t="str">
        <f t="shared" si="31"/>
        <v/>
      </c>
      <c r="E394" s="59" t="str">
        <f t="shared" si="33"/>
        <v/>
      </c>
      <c r="F394" s="59" t="str">
        <f t="shared" si="34"/>
        <v/>
      </c>
      <c r="G394" s="59" t="str">
        <f>IF($A394="","",
   SUMIFS(Transactions!$P:$P,
          Transactions!$G:$G,$A394,
          Transactions!$C:$C,"IN",
          Transactions!$Q:$Q,"Paid"))</f>
        <v/>
      </c>
      <c r="H394" s="59" t="str">
        <f>IF($A394="","",
   SUMIFS(Transactions!$P:$P,
          Transactions!$G:$G,$A394,
          Transactions!$C:$C,"OUT"))</f>
        <v/>
      </c>
      <c r="I394" s="65" t="str">
        <f t="shared" si="32"/>
        <v/>
      </c>
      <c r="J394" s="59" t="str">
        <f t="shared" si="35"/>
        <v/>
      </c>
    </row>
    <row r="395" spans="4:10" ht="22.5" customHeight="1" x14ac:dyDescent="0.25">
      <c r="D395" s="59" t="str">
        <f t="shared" si="31"/>
        <v/>
      </c>
      <c r="E395" s="59" t="str">
        <f t="shared" si="33"/>
        <v/>
      </c>
      <c r="F395" s="59" t="str">
        <f t="shared" si="34"/>
        <v/>
      </c>
      <c r="G395" s="59" t="str">
        <f>IF($A395="","",
   SUMIFS(Transactions!$P:$P,
          Transactions!$G:$G,$A395,
          Transactions!$C:$C,"IN",
          Transactions!$Q:$Q,"Paid"))</f>
        <v/>
      </c>
      <c r="H395" s="59" t="str">
        <f>IF($A395="","",
   SUMIFS(Transactions!$P:$P,
          Transactions!$G:$G,$A395,
          Transactions!$C:$C,"OUT"))</f>
        <v/>
      </c>
      <c r="I395" s="65" t="str">
        <f t="shared" si="32"/>
        <v/>
      </c>
      <c r="J395" s="59" t="str">
        <f t="shared" si="35"/>
        <v/>
      </c>
    </row>
    <row r="396" spans="4:10" ht="22.5" customHeight="1" x14ac:dyDescent="0.25">
      <c r="D396" s="59" t="str">
        <f t="shared" si="31"/>
        <v/>
      </c>
      <c r="E396" s="59" t="str">
        <f t="shared" si="33"/>
        <v/>
      </c>
      <c r="F396" s="59" t="str">
        <f t="shared" si="34"/>
        <v/>
      </c>
      <c r="G396" s="59" t="str">
        <f>IF($A396="","",
   SUMIFS(Transactions!$P:$P,
          Transactions!$G:$G,$A396,
          Transactions!$C:$C,"IN",
          Transactions!$Q:$Q,"Paid"))</f>
        <v/>
      </c>
      <c r="H396" s="59" t="str">
        <f>IF($A396="","",
   SUMIFS(Transactions!$P:$P,
          Transactions!$G:$G,$A396,
          Transactions!$C:$C,"OUT"))</f>
        <v/>
      </c>
      <c r="I396" s="65" t="str">
        <f t="shared" si="32"/>
        <v/>
      </c>
      <c r="J396" s="59" t="str">
        <f t="shared" si="35"/>
        <v/>
      </c>
    </row>
    <row r="397" spans="4:10" ht="22.5" customHeight="1" x14ac:dyDescent="0.25">
      <c r="D397" s="59" t="str">
        <f t="shared" si="31"/>
        <v/>
      </c>
      <c r="E397" s="59" t="str">
        <f t="shared" si="33"/>
        <v/>
      </c>
      <c r="F397" s="59" t="str">
        <f t="shared" si="34"/>
        <v/>
      </c>
      <c r="G397" s="59" t="str">
        <f>IF($A397="","",
   SUMIFS(Transactions!$P:$P,
          Transactions!$G:$G,$A397,
          Transactions!$C:$C,"IN",
          Transactions!$Q:$Q,"Paid"))</f>
        <v/>
      </c>
      <c r="H397" s="59" t="str">
        <f>IF($A397="","",
   SUMIFS(Transactions!$P:$P,
          Transactions!$G:$G,$A397,
          Transactions!$C:$C,"OUT"))</f>
        <v/>
      </c>
      <c r="I397" s="65" t="str">
        <f t="shared" si="32"/>
        <v/>
      </c>
      <c r="J397" s="59" t="str">
        <f t="shared" si="35"/>
        <v/>
      </c>
    </row>
    <row r="398" spans="4:10" ht="22.5" customHeight="1" x14ac:dyDescent="0.25">
      <c r="D398" s="59" t="str">
        <f t="shared" si="31"/>
        <v/>
      </c>
      <c r="E398" s="59" t="str">
        <f t="shared" si="33"/>
        <v/>
      </c>
      <c r="F398" s="59" t="str">
        <f t="shared" si="34"/>
        <v/>
      </c>
      <c r="G398" s="59" t="str">
        <f>IF($A398="","",
   SUMIFS(Transactions!$P:$P,
          Transactions!$G:$G,$A398,
          Transactions!$C:$C,"IN",
          Transactions!$Q:$Q,"Paid"))</f>
        <v/>
      </c>
      <c r="H398" s="59" t="str">
        <f>IF($A398="","",
   SUMIFS(Transactions!$P:$P,
          Transactions!$G:$G,$A398,
          Transactions!$C:$C,"OUT"))</f>
        <v/>
      </c>
      <c r="I398" s="65" t="str">
        <f t="shared" si="32"/>
        <v/>
      </c>
      <c r="J398" s="59" t="str">
        <f t="shared" si="35"/>
        <v/>
      </c>
    </row>
    <row r="399" spans="4:10" ht="22.5" customHeight="1" x14ac:dyDescent="0.25">
      <c r="D399" s="59" t="str">
        <f t="shared" si="31"/>
        <v/>
      </c>
      <c r="E399" s="59" t="str">
        <f t="shared" si="33"/>
        <v/>
      </c>
      <c r="F399" s="59" t="str">
        <f t="shared" si="34"/>
        <v/>
      </c>
      <c r="G399" s="59" t="str">
        <f>IF($A399="","",
   SUMIFS(Transactions!$P:$P,
          Transactions!$G:$G,$A399,
          Transactions!$C:$C,"IN",
          Transactions!$Q:$Q,"Paid"))</f>
        <v/>
      </c>
      <c r="H399" s="59" t="str">
        <f>IF($A399="","",
   SUMIFS(Transactions!$P:$P,
          Transactions!$G:$G,$A399,
          Transactions!$C:$C,"OUT"))</f>
        <v/>
      </c>
      <c r="I399" s="65" t="str">
        <f t="shared" si="32"/>
        <v/>
      </c>
      <c r="J399" s="59" t="str">
        <f t="shared" si="35"/>
        <v/>
      </c>
    </row>
    <row r="400" spans="4:10" ht="22.5" customHeight="1" x14ac:dyDescent="0.25">
      <c r="D400" s="59" t="str">
        <f t="shared" si="31"/>
        <v/>
      </c>
      <c r="E400" s="59" t="str">
        <f t="shared" si="33"/>
        <v/>
      </c>
      <c r="F400" s="59" t="str">
        <f t="shared" si="34"/>
        <v/>
      </c>
      <c r="G400" s="59" t="str">
        <f>IF($A400="","",
   SUMIFS(Transactions!$P:$P,
          Transactions!$G:$G,$A400,
          Transactions!$C:$C,"IN",
          Transactions!$Q:$Q,"Paid"))</f>
        <v/>
      </c>
      <c r="H400" s="59" t="str">
        <f>IF($A400="","",
   SUMIFS(Transactions!$P:$P,
          Transactions!$G:$G,$A400,
          Transactions!$C:$C,"OUT"))</f>
        <v/>
      </c>
      <c r="I400" s="65" t="str">
        <f t="shared" si="32"/>
        <v/>
      </c>
      <c r="J400" s="59" t="str">
        <f t="shared" si="35"/>
        <v/>
      </c>
    </row>
    <row r="401" spans="4:10" ht="22.5" customHeight="1" x14ac:dyDescent="0.25">
      <c r="D401" s="59" t="str">
        <f t="shared" si="31"/>
        <v/>
      </c>
      <c r="E401" s="59" t="str">
        <f t="shared" si="33"/>
        <v/>
      </c>
      <c r="F401" s="59" t="str">
        <f t="shared" si="34"/>
        <v/>
      </c>
      <c r="G401" s="59" t="str">
        <f>IF($A401="","",
   SUMIFS(Transactions!$P:$P,
          Transactions!$G:$G,$A401,
          Transactions!$C:$C,"IN",
          Transactions!$Q:$Q,"Paid"))</f>
        <v/>
      </c>
      <c r="H401" s="59" t="str">
        <f>IF($A401="","",
   SUMIFS(Transactions!$P:$P,
          Transactions!$G:$G,$A401,
          Transactions!$C:$C,"OUT"))</f>
        <v/>
      </c>
      <c r="I401" s="65" t="str">
        <f t="shared" si="32"/>
        <v/>
      </c>
      <c r="J401" s="59" t="str">
        <f t="shared" si="35"/>
        <v/>
      </c>
    </row>
    <row r="402" spans="4:10" ht="22.5" customHeight="1" x14ac:dyDescent="0.25">
      <c r="D402" s="59" t="str">
        <f t="shared" si="31"/>
        <v/>
      </c>
      <c r="E402" s="59" t="str">
        <f t="shared" si="33"/>
        <v/>
      </c>
      <c r="F402" s="59" t="str">
        <f t="shared" si="34"/>
        <v/>
      </c>
      <c r="G402" s="59" t="str">
        <f>IF($A402="","",
   SUMIFS(Transactions!$P:$P,
          Transactions!$G:$G,$A402,
          Transactions!$C:$C,"IN",
          Transactions!$Q:$Q,"Paid"))</f>
        <v/>
      </c>
      <c r="H402" s="59" t="str">
        <f>IF($A402="","",
   SUMIFS(Transactions!$P:$P,
          Transactions!$G:$G,$A402,
          Transactions!$C:$C,"OUT"))</f>
        <v/>
      </c>
      <c r="I402" s="65" t="str">
        <f t="shared" si="32"/>
        <v/>
      </c>
      <c r="J402" s="59" t="str">
        <f t="shared" si="35"/>
        <v/>
      </c>
    </row>
    <row r="403" spans="4:10" ht="22.5" customHeight="1" x14ac:dyDescent="0.25">
      <c r="D403" s="59" t="str">
        <f t="shared" si="31"/>
        <v/>
      </c>
      <c r="E403" s="59" t="str">
        <f t="shared" si="33"/>
        <v/>
      </c>
      <c r="F403" s="59" t="str">
        <f t="shared" si="34"/>
        <v/>
      </c>
      <c r="G403" s="59" t="str">
        <f>IF($A403="","",
   SUMIFS(Transactions!$P:$P,
          Transactions!$G:$G,$A403,
          Transactions!$C:$C,"IN",
          Transactions!$Q:$Q,"Paid"))</f>
        <v/>
      </c>
      <c r="H403" s="59" t="str">
        <f>IF($A403="","",
   SUMIFS(Transactions!$P:$P,
          Transactions!$G:$G,$A403,
          Transactions!$C:$C,"OUT"))</f>
        <v/>
      </c>
      <c r="I403" s="65" t="str">
        <f t="shared" si="32"/>
        <v/>
      </c>
      <c r="J403" s="59" t="str">
        <f t="shared" si="35"/>
        <v/>
      </c>
    </row>
    <row r="404" spans="4:10" ht="22.5" customHeight="1" x14ac:dyDescent="0.25">
      <c r="D404" s="59" t="str">
        <f t="shared" si="31"/>
        <v/>
      </c>
      <c r="E404" s="59" t="str">
        <f t="shared" si="33"/>
        <v/>
      </c>
      <c r="F404" s="59" t="str">
        <f t="shared" si="34"/>
        <v/>
      </c>
      <c r="G404" s="59" t="str">
        <f>IF($A404="","",
   SUMIFS(Transactions!$P:$P,
          Transactions!$G:$G,$A404,
          Transactions!$C:$C,"IN",
          Transactions!$Q:$Q,"Paid"))</f>
        <v/>
      </c>
      <c r="H404" s="59" t="str">
        <f>IF($A404="","",
   SUMIFS(Transactions!$P:$P,
          Transactions!$G:$G,$A404,
          Transactions!$C:$C,"OUT"))</f>
        <v/>
      </c>
      <c r="I404" s="65" t="str">
        <f t="shared" si="32"/>
        <v/>
      </c>
      <c r="J404" s="59" t="str">
        <f t="shared" si="35"/>
        <v/>
      </c>
    </row>
    <row r="405" spans="4:10" ht="22.5" customHeight="1" x14ac:dyDescent="0.25">
      <c r="D405" s="59" t="str">
        <f t="shared" si="31"/>
        <v/>
      </c>
      <c r="E405" s="59" t="str">
        <f t="shared" si="33"/>
        <v/>
      </c>
      <c r="F405" s="59" t="str">
        <f t="shared" si="34"/>
        <v/>
      </c>
      <c r="G405" s="59" t="str">
        <f>IF($A405="","",
   SUMIFS(Transactions!$P:$P,
          Transactions!$G:$G,$A405,
          Transactions!$C:$C,"IN",
          Transactions!$Q:$Q,"Paid"))</f>
        <v/>
      </c>
      <c r="H405" s="59" t="str">
        <f>IF($A405="","",
   SUMIFS(Transactions!$P:$P,
          Transactions!$G:$G,$A405,
          Transactions!$C:$C,"OUT"))</f>
        <v/>
      </c>
      <c r="I405" s="65" t="str">
        <f t="shared" si="32"/>
        <v/>
      </c>
      <c r="J405" s="59" t="str">
        <f t="shared" si="35"/>
        <v/>
      </c>
    </row>
    <row r="406" spans="4:10" ht="22.5" customHeight="1" x14ac:dyDescent="0.25">
      <c r="D406" s="59" t="str">
        <f t="shared" si="31"/>
        <v/>
      </c>
      <c r="E406" s="59" t="str">
        <f t="shared" si="33"/>
        <v/>
      </c>
      <c r="F406" s="59" t="str">
        <f t="shared" si="34"/>
        <v/>
      </c>
      <c r="G406" s="59" t="str">
        <f>IF($A406="","",
   SUMIFS(Transactions!$P:$P,
          Transactions!$G:$G,$A406,
          Transactions!$C:$C,"IN",
          Transactions!$Q:$Q,"Paid"))</f>
        <v/>
      </c>
      <c r="H406" s="59" t="str">
        <f>IF($A406="","",
   SUMIFS(Transactions!$P:$P,
          Transactions!$G:$G,$A406,
          Transactions!$C:$C,"OUT"))</f>
        <v/>
      </c>
      <c r="I406" s="65" t="str">
        <f t="shared" si="32"/>
        <v/>
      </c>
      <c r="J406" s="59" t="str">
        <f t="shared" si="35"/>
        <v/>
      </c>
    </row>
    <row r="407" spans="4:10" ht="22.5" customHeight="1" x14ac:dyDescent="0.25">
      <c r="D407" s="59" t="str">
        <f t="shared" si="31"/>
        <v/>
      </c>
      <c r="E407" s="59" t="str">
        <f t="shared" si="33"/>
        <v/>
      </c>
      <c r="F407" s="59" t="str">
        <f t="shared" si="34"/>
        <v/>
      </c>
      <c r="G407" s="59" t="str">
        <f>IF($A407="","",
   SUMIFS(Transactions!$P:$P,
          Transactions!$G:$G,$A407,
          Transactions!$C:$C,"IN",
          Transactions!$Q:$Q,"Paid"))</f>
        <v/>
      </c>
      <c r="H407" s="59" t="str">
        <f>IF($A407="","",
   SUMIFS(Transactions!$P:$P,
          Transactions!$G:$G,$A407,
          Transactions!$C:$C,"OUT"))</f>
        <v/>
      </c>
      <c r="I407" s="65" t="str">
        <f t="shared" si="32"/>
        <v/>
      </c>
      <c r="J407" s="59" t="str">
        <f t="shared" si="35"/>
        <v/>
      </c>
    </row>
    <row r="408" spans="4:10" ht="22.5" customHeight="1" x14ac:dyDescent="0.25">
      <c r="D408" s="59" t="str">
        <f t="shared" si="31"/>
        <v/>
      </c>
      <c r="E408" s="59" t="str">
        <f t="shared" si="33"/>
        <v/>
      </c>
      <c r="F408" s="59" t="str">
        <f t="shared" si="34"/>
        <v/>
      </c>
      <c r="G408" s="59" t="str">
        <f>IF($A408="","",
   SUMIFS(Transactions!$P:$P,
          Transactions!$G:$G,$A408,
          Transactions!$C:$C,"IN",
          Transactions!$Q:$Q,"Paid"))</f>
        <v/>
      </c>
      <c r="H408" s="59" t="str">
        <f>IF($A408="","",
   SUMIFS(Transactions!$P:$P,
          Transactions!$G:$G,$A408,
          Transactions!$C:$C,"OUT"))</f>
        <v/>
      </c>
      <c r="I408" s="65" t="str">
        <f t="shared" si="32"/>
        <v/>
      </c>
      <c r="J408" s="59" t="str">
        <f t="shared" si="35"/>
        <v/>
      </c>
    </row>
    <row r="409" spans="4:10" ht="22.5" customHeight="1" x14ac:dyDescent="0.25">
      <c r="D409" s="59" t="str">
        <f t="shared" si="31"/>
        <v/>
      </c>
      <c r="E409" s="59" t="str">
        <f t="shared" si="33"/>
        <v/>
      </c>
      <c r="F409" s="59" t="str">
        <f t="shared" si="34"/>
        <v/>
      </c>
      <c r="G409" s="59" t="str">
        <f>IF($A409="","",
   SUMIFS(Transactions!$P:$P,
          Transactions!$G:$G,$A409,
          Transactions!$C:$C,"IN",
          Transactions!$Q:$Q,"Paid"))</f>
        <v/>
      </c>
      <c r="H409" s="59" t="str">
        <f>IF($A409="","",
   SUMIFS(Transactions!$P:$P,
          Transactions!$G:$G,$A409,
          Transactions!$C:$C,"OUT"))</f>
        <v/>
      </c>
      <c r="I409" s="65" t="str">
        <f t="shared" si="32"/>
        <v/>
      </c>
      <c r="J409" s="59" t="str">
        <f t="shared" si="35"/>
        <v/>
      </c>
    </row>
    <row r="410" spans="4:10" ht="22.5" customHeight="1" x14ac:dyDescent="0.25">
      <c r="D410" s="59" t="str">
        <f t="shared" si="31"/>
        <v/>
      </c>
      <c r="E410" s="59" t="str">
        <f t="shared" si="33"/>
        <v/>
      </c>
      <c r="F410" s="59" t="str">
        <f t="shared" si="34"/>
        <v/>
      </c>
      <c r="G410" s="59" t="str">
        <f>IF($A410="","",
   SUMIFS(Transactions!$P:$P,
          Transactions!$G:$G,$A410,
          Transactions!$C:$C,"IN",
          Transactions!$Q:$Q,"Paid"))</f>
        <v/>
      </c>
      <c r="H410" s="59" t="str">
        <f>IF($A410="","",
   SUMIFS(Transactions!$P:$P,
          Transactions!$G:$G,$A410,
          Transactions!$C:$C,"OUT"))</f>
        <v/>
      </c>
      <c r="I410" s="65" t="str">
        <f t="shared" si="32"/>
        <v/>
      </c>
      <c r="J410" s="59" t="str">
        <f t="shared" si="35"/>
        <v/>
      </c>
    </row>
    <row r="411" spans="4:10" ht="22.5" customHeight="1" x14ac:dyDescent="0.25">
      <c r="D411" s="59" t="str">
        <f t="shared" si="31"/>
        <v/>
      </c>
      <c r="E411" s="59" t="str">
        <f t="shared" si="33"/>
        <v/>
      </c>
      <c r="F411" s="59" t="str">
        <f t="shared" si="34"/>
        <v/>
      </c>
      <c r="G411" s="59" t="str">
        <f>IF($A411="","",
   SUMIFS(Transactions!$P:$P,
          Transactions!$G:$G,$A411,
          Transactions!$C:$C,"IN",
          Transactions!$Q:$Q,"Paid"))</f>
        <v/>
      </c>
      <c r="H411" s="59" t="str">
        <f>IF($A411="","",
   SUMIFS(Transactions!$P:$P,
          Transactions!$G:$G,$A411,
          Transactions!$C:$C,"OUT"))</f>
        <v/>
      </c>
      <c r="I411" s="65" t="str">
        <f t="shared" si="32"/>
        <v/>
      </c>
      <c r="J411" s="59" t="str">
        <f t="shared" si="35"/>
        <v/>
      </c>
    </row>
    <row r="412" spans="4:10" ht="22.5" customHeight="1" x14ac:dyDescent="0.25">
      <c r="D412" s="59" t="str">
        <f t="shared" si="31"/>
        <v/>
      </c>
      <c r="E412" s="59" t="str">
        <f t="shared" si="33"/>
        <v/>
      </c>
      <c r="F412" s="59" t="str">
        <f t="shared" si="34"/>
        <v/>
      </c>
      <c r="G412" s="59" t="str">
        <f>IF($A412="","",
   SUMIFS(Transactions!$P:$P,
          Transactions!$G:$G,$A412,
          Transactions!$C:$C,"IN",
          Transactions!$Q:$Q,"Paid"))</f>
        <v/>
      </c>
      <c r="H412" s="59" t="str">
        <f>IF($A412="","",
   SUMIFS(Transactions!$P:$P,
          Transactions!$G:$G,$A412,
          Transactions!$C:$C,"OUT"))</f>
        <v/>
      </c>
      <c r="I412" s="65" t="str">
        <f t="shared" si="32"/>
        <v/>
      </c>
      <c r="J412" s="59" t="str">
        <f t="shared" si="35"/>
        <v/>
      </c>
    </row>
    <row r="413" spans="4:10" ht="22.5" customHeight="1" x14ac:dyDescent="0.25">
      <c r="D413" s="59" t="str">
        <f t="shared" si="31"/>
        <v/>
      </c>
      <c r="E413" s="59" t="str">
        <f t="shared" si="33"/>
        <v/>
      </c>
      <c r="F413" s="59" t="str">
        <f t="shared" si="34"/>
        <v/>
      </c>
      <c r="G413" s="59" t="str">
        <f>IF($A413="","",
   SUMIFS(Transactions!$P:$P,
          Transactions!$G:$G,$A413,
          Transactions!$C:$C,"IN",
          Transactions!$Q:$Q,"Paid"))</f>
        <v/>
      </c>
      <c r="H413" s="59" t="str">
        <f>IF($A413="","",
   SUMIFS(Transactions!$P:$P,
          Transactions!$G:$G,$A413,
          Transactions!$C:$C,"OUT"))</f>
        <v/>
      </c>
      <c r="I413" s="65" t="str">
        <f t="shared" si="32"/>
        <v/>
      </c>
      <c r="J413" s="59" t="str">
        <f t="shared" si="35"/>
        <v/>
      </c>
    </row>
    <row r="414" spans="4:10" ht="22.5" customHeight="1" x14ac:dyDescent="0.25">
      <c r="D414" s="59" t="str">
        <f t="shared" si="31"/>
        <v/>
      </c>
      <c r="E414" s="59" t="str">
        <f t="shared" si="33"/>
        <v/>
      </c>
      <c r="F414" s="59" t="str">
        <f t="shared" si="34"/>
        <v/>
      </c>
      <c r="G414" s="59" t="str">
        <f>IF($A414="","",
   SUMIFS(Transactions!$P:$P,
          Transactions!$G:$G,$A414,
          Transactions!$C:$C,"IN",
          Transactions!$Q:$Q,"Paid"))</f>
        <v/>
      </c>
      <c r="H414" s="59" t="str">
        <f>IF($A414="","",
   SUMIFS(Transactions!$P:$P,
          Transactions!$G:$G,$A414,
          Transactions!$C:$C,"OUT"))</f>
        <v/>
      </c>
      <c r="I414" s="65" t="str">
        <f t="shared" si="32"/>
        <v/>
      </c>
      <c r="J414" s="59" t="str">
        <f t="shared" si="35"/>
        <v/>
      </c>
    </row>
    <row r="415" spans="4:10" ht="22.5" customHeight="1" x14ac:dyDescent="0.25">
      <c r="D415" s="59" t="str">
        <f t="shared" si="31"/>
        <v/>
      </c>
      <c r="E415" s="59" t="str">
        <f t="shared" si="33"/>
        <v/>
      </c>
      <c r="F415" s="59" t="str">
        <f t="shared" si="34"/>
        <v/>
      </c>
      <c r="G415" s="59" t="str">
        <f>IF($A415="","",
   SUMIFS(Transactions!$P:$P,
          Transactions!$G:$G,$A415,
          Transactions!$C:$C,"IN",
          Transactions!$Q:$Q,"Paid"))</f>
        <v/>
      </c>
      <c r="H415" s="59" t="str">
        <f>IF($A415="","",
   SUMIFS(Transactions!$P:$P,
          Transactions!$G:$G,$A415,
          Transactions!$C:$C,"OUT"))</f>
        <v/>
      </c>
      <c r="I415" s="65" t="str">
        <f t="shared" si="32"/>
        <v/>
      </c>
      <c r="J415" s="59" t="str">
        <f t="shared" si="35"/>
        <v/>
      </c>
    </row>
    <row r="416" spans="4:10" ht="22.5" customHeight="1" x14ac:dyDescent="0.25">
      <c r="D416" s="59" t="str">
        <f t="shared" si="31"/>
        <v/>
      </c>
      <c r="E416" s="59" t="str">
        <f t="shared" si="33"/>
        <v/>
      </c>
      <c r="F416" s="59" t="str">
        <f t="shared" si="34"/>
        <v/>
      </c>
      <c r="G416" s="59" t="str">
        <f>IF($A416="","",
   SUMIFS(Transactions!$P:$P,
          Transactions!$G:$G,$A416,
          Transactions!$C:$C,"IN",
          Transactions!$Q:$Q,"Paid"))</f>
        <v/>
      </c>
      <c r="H416" s="59" t="str">
        <f>IF($A416="","",
   SUMIFS(Transactions!$P:$P,
          Transactions!$G:$G,$A416,
          Transactions!$C:$C,"OUT"))</f>
        <v/>
      </c>
      <c r="I416" s="65" t="str">
        <f t="shared" si="32"/>
        <v/>
      </c>
      <c r="J416" s="59" t="str">
        <f t="shared" si="35"/>
        <v/>
      </c>
    </row>
    <row r="417" spans="4:10" ht="22.5" customHeight="1" x14ac:dyDescent="0.25">
      <c r="D417" s="59" t="str">
        <f t="shared" si="31"/>
        <v/>
      </c>
      <c r="E417" s="59" t="str">
        <f t="shared" si="33"/>
        <v/>
      </c>
      <c r="F417" s="59" t="str">
        <f t="shared" si="34"/>
        <v/>
      </c>
      <c r="G417" s="59" t="str">
        <f>IF($A417="","",
   SUMIFS(Transactions!$P:$P,
          Transactions!$G:$G,$A417,
          Transactions!$C:$C,"IN",
          Transactions!$Q:$Q,"Paid"))</f>
        <v/>
      </c>
      <c r="H417" s="59" t="str">
        <f>IF($A417="","",
   SUMIFS(Transactions!$P:$P,
          Transactions!$G:$G,$A417,
          Transactions!$C:$C,"OUT"))</f>
        <v/>
      </c>
      <c r="I417" s="65" t="str">
        <f t="shared" si="32"/>
        <v/>
      </c>
      <c r="J417" s="59" t="str">
        <f t="shared" si="35"/>
        <v/>
      </c>
    </row>
    <row r="418" spans="4:10" ht="22.5" customHeight="1" x14ac:dyDescent="0.25">
      <c r="D418" s="59" t="str">
        <f t="shared" si="31"/>
        <v/>
      </c>
      <c r="E418" s="59" t="str">
        <f t="shared" si="33"/>
        <v/>
      </c>
      <c r="F418" s="59" t="str">
        <f t="shared" si="34"/>
        <v/>
      </c>
      <c r="G418" s="59" t="str">
        <f>IF($A418="","",
   SUMIFS(Transactions!$P:$P,
          Transactions!$G:$G,$A418,
          Transactions!$C:$C,"IN",
          Transactions!$Q:$Q,"Paid"))</f>
        <v/>
      </c>
      <c r="H418" s="59" t="str">
        <f>IF($A418="","",
   SUMIFS(Transactions!$P:$P,
          Transactions!$G:$G,$A418,
          Transactions!$C:$C,"OUT"))</f>
        <v/>
      </c>
      <c r="I418" s="65" t="str">
        <f t="shared" si="32"/>
        <v/>
      </c>
      <c r="J418" s="59" t="str">
        <f t="shared" si="35"/>
        <v/>
      </c>
    </row>
    <row r="419" spans="4:10" ht="22.5" customHeight="1" x14ac:dyDescent="0.25">
      <c r="D419" s="59" t="str">
        <f t="shared" si="31"/>
        <v/>
      </c>
      <c r="E419" s="59" t="str">
        <f t="shared" si="33"/>
        <v/>
      </c>
      <c r="F419" s="59" t="str">
        <f t="shared" si="34"/>
        <v/>
      </c>
      <c r="G419" s="59" t="str">
        <f>IF($A419="","",
   SUMIFS(Transactions!$P:$P,
          Transactions!$G:$G,$A419,
          Transactions!$C:$C,"IN",
          Transactions!$Q:$Q,"Paid"))</f>
        <v/>
      </c>
      <c r="H419" s="59" t="str">
        <f>IF($A419="","",
   SUMIFS(Transactions!$P:$P,
          Transactions!$G:$G,$A419,
          Transactions!$C:$C,"OUT"))</f>
        <v/>
      </c>
      <c r="I419" s="65" t="str">
        <f t="shared" si="32"/>
        <v/>
      </c>
      <c r="J419" s="59" t="str">
        <f t="shared" si="35"/>
        <v/>
      </c>
    </row>
    <row r="420" spans="4:10" ht="22.5" customHeight="1" x14ac:dyDescent="0.25">
      <c r="D420" s="59" t="str">
        <f t="shared" si="31"/>
        <v/>
      </c>
      <c r="E420" s="59" t="str">
        <f t="shared" si="33"/>
        <v/>
      </c>
      <c r="F420" s="59" t="str">
        <f t="shared" si="34"/>
        <v/>
      </c>
      <c r="G420" s="59" t="str">
        <f>IF($A420="","",
   SUMIFS(Transactions!$P:$P,
          Transactions!$G:$G,$A420,
          Transactions!$C:$C,"IN",
          Transactions!$Q:$Q,"Paid"))</f>
        <v/>
      </c>
      <c r="H420" s="59" t="str">
        <f>IF($A420="","",
   SUMIFS(Transactions!$P:$P,
          Transactions!$G:$G,$A420,
          Transactions!$C:$C,"OUT"))</f>
        <v/>
      </c>
      <c r="I420" s="65" t="str">
        <f t="shared" si="32"/>
        <v/>
      </c>
      <c r="J420" s="59" t="str">
        <f t="shared" si="35"/>
        <v/>
      </c>
    </row>
    <row r="421" spans="4:10" ht="22.5" customHeight="1" x14ac:dyDescent="0.25">
      <c r="D421" s="59" t="str">
        <f t="shared" si="31"/>
        <v/>
      </c>
      <c r="E421" s="59" t="str">
        <f t="shared" si="33"/>
        <v/>
      </c>
      <c r="F421" s="59" t="str">
        <f t="shared" si="34"/>
        <v/>
      </c>
      <c r="G421" s="59" t="str">
        <f>IF($A421="","",
   SUMIFS(Transactions!$P:$P,
          Transactions!$G:$G,$A421,
          Transactions!$C:$C,"IN",
          Transactions!$Q:$Q,"Paid"))</f>
        <v/>
      </c>
      <c r="H421" s="59" t="str">
        <f>IF($A421="","",
   SUMIFS(Transactions!$P:$P,
          Transactions!$G:$G,$A421,
          Transactions!$C:$C,"OUT"))</f>
        <v/>
      </c>
      <c r="I421" s="65" t="str">
        <f t="shared" si="32"/>
        <v/>
      </c>
      <c r="J421" s="59" t="str">
        <f t="shared" si="35"/>
        <v/>
      </c>
    </row>
    <row r="422" spans="4:10" ht="22.5" customHeight="1" x14ac:dyDescent="0.25">
      <c r="D422" s="59" t="str">
        <f t="shared" si="31"/>
        <v/>
      </c>
      <c r="E422" s="59" t="str">
        <f t="shared" si="33"/>
        <v/>
      </c>
      <c r="F422" s="59" t="str">
        <f t="shared" si="34"/>
        <v/>
      </c>
      <c r="G422" s="59" t="str">
        <f>IF($A422="","",
   SUMIFS(Transactions!$P:$P,
          Transactions!$G:$G,$A422,
          Transactions!$C:$C,"IN",
          Transactions!$Q:$Q,"Paid"))</f>
        <v/>
      </c>
      <c r="H422" s="59" t="str">
        <f>IF($A422="","",
   SUMIFS(Transactions!$P:$P,
          Transactions!$G:$G,$A422,
          Transactions!$C:$C,"OUT"))</f>
        <v/>
      </c>
      <c r="I422" s="65" t="str">
        <f t="shared" si="32"/>
        <v/>
      </c>
      <c r="J422" s="59" t="str">
        <f t="shared" si="35"/>
        <v/>
      </c>
    </row>
    <row r="423" spans="4:10" ht="22.5" customHeight="1" x14ac:dyDescent="0.25">
      <c r="D423" s="59" t="str">
        <f t="shared" si="31"/>
        <v/>
      </c>
      <c r="E423" s="59" t="str">
        <f t="shared" si="33"/>
        <v/>
      </c>
      <c r="F423" s="59" t="str">
        <f t="shared" si="34"/>
        <v/>
      </c>
      <c r="G423" s="59" t="str">
        <f>IF($A423="","",
   SUMIFS(Transactions!$P:$P,
          Transactions!$G:$G,$A423,
          Transactions!$C:$C,"IN",
          Transactions!$Q:$Q,"Paid"))</f>
        <v/>
      </c>
      <c r="H423" s="59" t="str">
        <f>IF($A423="","",
   SUMIFS(Transactions!$P:$P,
          Transactions!$G:$G,$A423,
          Transactions!$C:$C,"OUT"))</f>
        <v/>
      </c>
      <c r="I423" s="65" t="str">
        <f t="shared" si="32"/>
        <v/>
      </c>
      <c r="J423" s="59" t="str">
        <f t="shared" si="35"/>
        <v/>
      </c>
    </row>
    <row r="424" spans="4:10" ht="22.5" customHeight="1" x14ac:dyDescent="0.25">
      <c r="D424" s="59" t="str">
        <f t="shared" si="31"/>
        <v/>
      </c>
      <c r="E424" s="59" t="str">
        <f t="shared" si="33"/>
        <v/>
      </c>
      <c r="F424" s="59" t="str">
        <f t="shared" si="34"/>
        <v/>
      </c>
      <c r="G424" s="59" t="str">
        <f>IF($A424="","",
   SUMIFS(Transactions!$P:$P,
          Transactions!$G:$G,$A424,
          Transactions!$C:$C,"IN",
          Transactions!$Q:$Q,"Paid"))</f>
        <v/>
      </c>
      <c r="H424" s="59" t="str">
        <f>IF($A424="","",
   SUMIFS(Transactions!$P:$P,
          Transactions!$G:$G,$A424,
          Transactions!$C:$C,"OUT"))</f>
        <v/>
      </c>
      <c r="I424" s="65" t="str">
        <f t="shared" si="32"/>
        <v/>
      </c>
      <c r="J424" s="59" t="str">
        <f t="shared" si="35"/>
        <v/>
      </c>
    </row>
    <row r="425" spans="4:10" ht="22.5" customHeight="1" x14ac:dyDescent="0.25">
      <c r="D425" s="59" t="str">
        <f t="shared" si="31"/>
        <v/>
      </c>
      <c r="E425" s="59" t="str">
        <f t="shared" si="33"/>
        <v/>
      </c>
      <c r="F425" s="59" t="str">
        <f t="shared" si="34"/>
        <v/>
      </c>
      <c r="G425" s="59" t="str">
        <f>IF($A425="","",
   SUMIFS(Transactions!$P:$P,
          Transactions!$G:$G,$A425,
          Transactions!$C:$C,"IN",
          Transactions!$Q:$Q,"Paid"))</f>
        <v/>
      </c>
      <c r="H425" s="59" t="str">
        <f>IF($A425="","",
   SUMIFS(Transactions!$P:$P,
          Transactions!$G:$G,$A425,
          Transactions!$C:$C,"OUT"))</f>
        <v/>
      </c>
      <c r="I425" s="65" t="str">
        <f t="shared" si="32"/>
        <v/>
      </c>
      <c r="J425" s="59" t="str">
        <f t="shared" si="35"/>
        <v/>
      </c>
    </row>
    <row r="426" spans="4:10" ht="22.5" customHeight="1" x14ac:dyDescent="0.25">
      <c r="D426" s="59" t="str">
        <f t="shared" si="31"/>
        <v/>
      </c>
      <c r="E426" s="59" t="str">
        <f t="shared" si="33"/>
        <v/>
      </c>
      <c r="F426" s="59" t="str">
        <f t="shared" si="34"/>
        <v/>
      </c>
      <c r="G426" s="59" t="str">
        <f>IF($A426="","",
   SUMIFS(Transactions!$P:$P,
          Transactions!$G:$G,$A426,
          Transactions!$C:$C,"IN",
          Transactions!$Q:$Q,"Paid"))</f>
        <v/>
      </c>
      <c r="H426" s="59" t="str">
        <f>IF($A426="","",
   SUMIFS(Transactions!$P:$P,
          Transactions!$G:$G,$A426,
          Transactions!$C:$C,"OUT"))</f>
        <v/>
      </c>
      <c r="I426" s="65" t="str">
        <f t="shared" si="32"/>
        <v/>
      </c>
      <c r="J426" s="59" t="str">
        <f t="shared" si="35"/>
        <v/>
      </c>
    </row>
    <row r="427" spans="4:10" ht="22.5" customHeight="1" x14ac:dyDescent="0.25">
      <c r="D427" s="59" t="str">
        <f t="shared" si="31"/>
        <v/>
      </c>
      <c r="E427" s="59" t="str">
        <f t="shared" si="33"/>
        <v/>
      </c>
      <c r="F427" s="59" t="str">
        <f t="shared" si="34"/>
        <v/>
      </c>
      <c r="G427" s="59" t="str">
        <f>IF($A427="","",
   SUMIFS(Transactions!$P:$P,
          Transactions!$G:$G,$A427,
          Transactions!$C:$C,"IN",
          Transactions!$Q:$Q,"Paid"))</f>
        <v/>
      </c>
      <c r="H427" s="59" t="str">
        <f>IF($A427="","",
   SUMIFS(Transactions!$P:$P,
          Transactions!$G:$G,$A427,
          Transactions!$C:$C,"OUT"))</f>
        <v/>
      </c>
      <c r="I427" s="65" t="str">
        <f t="shared" si="32"/>
        <v/>
      </c>
      <c r="J427" s="59" t="str">
        <f t="shared" si="35"/>
        <v/>
      </c>
    </row>
    <row r="428" spans="4:10" ht="22.5" customHeight="1" x14ac:dyDescent="0.25">
      <c r="D428" s="59" t="str">
        <f t="shared" si="31"/>
        <v/>
      </c>
      <c r="E428" s="59" t="str">
        <f t="shared" si="33"/>
        <v/>
      </c>
      <c r="F428" s="59" t="str">
        <f t="shared" si="34"/>
        <v/>
      </c>
      <c r="G428" s="59" t="str">
        <f>IF($A428="","",
   SUMIFS(Transactions!$P:$P,
          Transactions!$G:$G,$A428,
          Transactions!$C:$C,"IN",
          Transactions!$Q:$Q,"Paid"))</f>
        <v/>
      </c>
      <c r="H428" s="59" t="str">
        <f>IF($A428="","",
   SUMIFS(Transactions!$P:$P,
          Transactions!$G:$G,$A428,
          Transactions!$C:$C,"OUT"))</f>
        <v/>
      </c>
      <c r="I428" s="65" t="str">
        <f t="shared" si="32"/>
        <v/>
      </c>
      <c r="J428" s="59" t="str">
        <f t="shared" si="35"/>
        <v/>
      </c>
    </row>
    <row r="429" spans="4:10" ht="22.5" customHeight="1" x14ac:dyDescent="0.25">
      <c r="D429" s="59" t="str">
        <f t="shared" si="31"/>
        <v/>
      </c>
      <c r="E429" s="59" t="str">
        <f t="shared" si="33"/>
        <v/>
      </c>
      <c r="F429" s="59" t="str">
        <f t="shared" si="34"/>
        <v/>
      </c>
      <c r="G429" s="59" t="str">
        <f>IF($A429="","",
   SUMIFS(Transactions!$P:$P,
          Transactions!$G:$G,$A429,
          Transactions!$C:$C,"IN",
          Transactions!$Q:$Q,"Paid"))</f>
        <v/>
      </c>
      <c r="H429" s="59" t="str">
        <f>IF($A429="","",
   SUMIFS(Transactions!$P:$P,
          Transactions!$G:$G,$A429,
          Transactions!$C:$C,"OUT"))</f>
        <v/>
      </c>
      <c r="I429" s="65" t="str">
        <f t="shared" si="32"/>
        <v/>
      </c>
      <c r="J429" s="59" t="str">
        <f t="shared" si="35"/>
        <v/>
      </c>
    </row>
    <row r="430" spans="4:10" ht="22.5" customHeight="1" x14ac:dyDescent="0.25">
      <c r="D430" s="59" t="str">
        <f t="shared" si="31"/>
        <v/>
      </c>
      <c r="E430" s="59" t="str">
        <f t="shared" si="33"/>
        <v/>
      </c>
      <c r="F430" s="59" t="str">
        <f t="shared" si="34"/>
        <v/>
      </c>
      <c r="G430" s="59" t="str">
        <f>IF($A430="","",
   SUMIFS(Transactions!$P:$P,
          Transactions!$G:$G,$A430,
          Transactions!$C:$C,"IN",
          Transactions!$Q:$Q,"Paid"))</f>
        <v/>
      </c>
      <c r="H430" s="59" t="str">
        <f>IF($A430="","",
   SUMIFS(Transactions!$P:$P,
          Transactions!$G:$G,$A430,
          Transactions!$C:$C,"OUT"))</f>
        <v/>
      </c>
      <c r="I430" s="65" t="str">
        <f t="shared" si="32"/>
        <v/>
      </c>
      <c r="J430" s="59" t="str">
        <f t="shared" si="35"/>
        <v/>
      </c>
    </row>
    <row r="431" spans="4:10" ht="22.5" customHeight="1" x14ac:dyDescent="0.25">
      <c r="D431" s="59" t="str">
        <f t="shared" si="31"/>
        <v/>
      </c>
      <c r="E431" s="59" t="str">
        <f t="shared" si="33"/>
        <v/>
      </c>
      <c r="F431" s="59" t="str">
        <f t="shared" si="34"/>
        <v/>
      </c>
      <c r="G431" s="59" t="str">
        <f>IF($A431="","",
   SUMIFS(Transactions!$P:$P,
          Transactions!$G:$G,$A431,
          Transactions!$C:$C,"IN",
          Transactions!$Q:$Q,"Paid"))</f>
        <v/>
      </c>
      <c r="H431" s="59" t="str">
        <f>IF($A431="","",
   SUMIFS(Transactions!$P:$P,
          Transactions!$G:$G,$A431,
          Transactions!$C:$C,"OUT"))</f>
        <v/>
      </c>
      <c r="I431" s="65" t="str">
        <f t="shared" si="32"/>
        <v/>
      </c>
      <c r="J431" s="59" t="str">
        <f t="shared" si="35"/>
        <v/>
      </c>
    </row>
    <row r="432" spans="4:10" ht="22.5" customHeight="1" x14ac:dyDescent="0.25">
      <c r="D432" s="59" t="str">
        <f t="shared" si="31"/>
        <v/>
      </c>
      <c r="E432" s="59" t="str">
        <f t="shared" si="33"/>
        <v/>
      </c>
      <c r="F432" s="59" t="str">
        <f t="shared" si="34"/>
        <v/>
      </c>
      <c r="G432" s="59" t="str">
        <f>IF($A432="","",
   SUMIFS(Transactions!$P:$P,
          Transactions!$G:$G,$A432,
          Transactions!$C:$C,"IN",
          Transactions!$Q:$Q,"Paid"))</f>
        <v/>
      </c>
      <c r="H432" s="59" t="str">
        <f>IF($A432="","",
   SUMIFS(Transactions!$P:$P,
          Transactions!$G:$G,$A432,
          Transactions!$C:$C,"OUT"))</f>
        <v/>
      </c>
      <c r="I432" s="65" t="str">
        <f t="shared" si="32"/>
        <v/>
      </c>
      <c r="J432" s="59" t="str">
        <f t="shared" si="35"/>
        <v/>
      </c>
    </row>
    <row r="433" spans="4:10" ht="22.5" customHeight="1" x14ac:dyDescent="0.25">
      <c r="D433" s="59" t="str">
        <f t="shared" si="31"/>
        <v/>
      </c>
      <c r="E433" s="59" t="str">
        <f t="shared" si="33"/>
        <v/>
      </c>
      <c r="F433" s="59" t="str">
        <f t="shared" si="34"/>
        <v/>
      </c>
      <c r="G433" s="59" t="str">
        <f>IF($A433="","",
   SUMIFS(Transactions!$P:$P,
          Transactions!$G:$G,$A433,
          Transactions!$C:$C,"IN",
          Transactions!$Q:$Q,"Paid"))</f>
        <v/>
      </c>
      <c r="H433" s="59" t="str">
        <f>IF($A433="","",
   SUMIFS(Transactions!$P:$P,
          Transactions!$G:$G,$A433,
          Transactions!$C:$C,"OUT"))</f>
        <v/>
      </c>
      <c r="I433" s="65" t="str">
        <f t="shared" si="32"/>
        <v/>
      </c>
      <c r="J433" s="59" t="str">
        <f t="shared" si="35"/>
        <v/>
      </c>
    </row>
    <row r="434" spans="4:10" ht="22.5" customHeight="1" x14ac:dyDescent="0.25">
      <c r="D434" s="59" t="str">
        <f t="shared" si="31"/>
        <v/>
      </c>
      <c r="E434" s="59" t="str">
        <f t="shared" si="33"/>
        <v/>
      </c>
      <c r="F434" s="59" t="str">
        <f t="shared" si="34"/>
        <v/>
      </c>
      <c r="G434" s="59" t="str">
        <f>IF($A434="","",
   SUMIFS(Transactions!$P:$P,
          Transactions!$G:$G,$A434,
          Transactions!$C:$C,"IN",
          Transactions!$Q:$Q,"Paid"))</f>
        <v/>
      </c>
      <c r="H434" s="59" t="str">
        <f>IF($A434="","",
   SUMIFS(Transactions!$P:$P,
          Transactions!$G:$G,$A434,
          Transactions!$C:$C,"OUT"))</f>
        <v/>
      </c>
      <c r="I434" s="65" t="str">
        <f t="shared" si="32"/>
        <v/>
      </c>
      <c r="J434" s="59" t="str">
        <f t="shared" si="35"/>
        <v/>
      </c>
    </row>
    <row r="435" spans="4:10" ht="22.5" customHeight="1" x14ac:dyDescent="0.25">
      <c r="D435" s="59" t="str">
        <f t="shared" si="31"/>
        <v/>
      </c>
      <c r="E435" s="59" t="str">
        <f t="shared" si="33"/>
        <v/>
      </c>
      <c r="F435" s="59" t="str">
        <f t="shared" si="34"/>
        <v/>
      </c>
      <c r="G435" s="59" t="str">
        <f>IF($A435="","",
   SUMIFS(Transactions!$P:$P,
          Transactions!$G:$G,$A435,
          Transactions!$C:$C,"IN",
          Transactions!$Q:$Q,"Paid"))</f>
        <v/>
      </c>
      <c r="H435" s="59" t="str">
        <f>IF($A435="","",
   SUMIFS(Transactions!$P:$P,
          Transactions!$G:$G,$A435,
          Transactions!$C:$C,"OUT"))</f>
        <v/>
      </c>
      <c r="I435" s="65" t="str">
        <f t="shared" si="32"/>
        <v/>
      </c>
      <c r="J435" s="59" t="str">
        <f t="shared" si="35"/>
        <v/>
      </c>
    </row>
    <row r="436" spans="4:10" ht="22.5" customHeight="1" x14ac:dyDescent="0.25">
      <c r="D436" s="59" t="str">
        <f t="shared" si="31"/>
        <v/>
      </c>
      <c r="E436" s="59" t="str">
        <f t="shared" si="33"/>
        <v/>
      </c>
      <c r="F436" s="59" t="str">
        <f t="shared" si="34"/>
        <v/>
      </c>
      <c r="G436" s="59" t="str">
        <f>IF($A436="","",
   SUMIFS(Transactions!$P:$P,
          Transactions!$G:$G,$A436,
          Transactions!$C:$C,"IN",
          Transactions!$Q:$Q,"Paid"))</f>
        <v/>
      </c>
      <c r="H436" s="59" t="str">
        <f>IF($A436="","",
   SUMIFS(Transactions!$P:$P,
          Transactions!$G:$G,$A436,
          Transactions!$C:$C,"OUT"))</f>
        <v/>
      </c>
      <c r="I436" s="65" t="str">
        <f t="shared" si="32"/>
        <v/>
      </c>
      <c r="J436" s="59" t="str">
        <f t="shared" si="35"/>
        <v/>
      </c>
    </row>
    <row r="437" spans="4:10" ht="22.5" customHeight="1" x14ac:dyDescent="0.25">
      <c r="D437" s="59" t="str">
        <f t="shared" si="31"/>
        <v/>
      </c>
      <c r="E437" s="59" t="str">
        <f t="shared" si="33"/>
        <v/>
      </c>
      <c r="F437" s="59" t="str">
        <f t="shared" si="34"/>
        <v/>
      </c>
      <c r="G437" s="59" t="str">
        <f>IF($A437="","",
   SUMIFS(Transactions!$P:$P,
          Transactions!$G:$G,$A437,
          Transactions!$C:$C,"IN",
          Transactions!$Q:$Q,"Paid"))</f>
        <v/>
      </c>
      <c r="H437" s="59" t="str">
        <f>IF($A437="","",
   SUMIFS(Transactions!$P:$P,
          Transactions!$G:$G,$A437,
          Transactions!$C:$C,"OUT"))</f>
        <v/>
      </c>
      <c r="I437" s="65" t="str">
        <f t="shared" si="32"/>
        <v/>
      </c>
      <c r="J437" s="59" t="str">
        <f t="shared" si="35"/>
        <v/>
      </c>
    </row>
    <row r="438" spans="4:10" ht="22.5" customHeight="1" x14ac:dyDescent="0.25">
      <c r="D438" s="59" t="str">
        <f t="shared" si="31"/>
        <v/>
      </c>
      <c r="E438" s="59" t="str">
        <f t="shared" si="33"/>
        <v/>
      </c>
      <c r="F438" s="59" t="str">
        <f t="shared" si="34"/>
        <v/>
      </c>
      <c r="G438" s="59" t="str">
        <f>IF($A438="","",
   SUMIFS(Transactions!$P:$P,
          Transactions!$G:$G,$A438,
          Transactions!$C:$C,"IN",
          Transactions!$Q:$Q,"Paid"))</f>
        <v/>
      </c>
      <c r="H438" s="59" t="str">
        <f>IF($A438="","",
   SUMIFS(Transactions!$P:$P,
          Transactions!$G:$G,$A438,
          Transactions!$C:$C,"OUT"))</f>
        <v/>
      </c>
      <c r="I438" s="65" t="str">
        <f t="shared" si="32"/>
        <v/>
      </c>
      <c r="J438" s="59" t="str">
        <f t="shared" si="35"/>
        <v/>
      </c>
    </row>
    <row r="439" spans="4:10" ht="22.5" customHeight="1" x14ac:dyDescent="0.25">
      <c r="D439" s="59" t="str">
        <f t="shared" si="31"/>
        <v/>
      </c>
      <c r="E439" s="59" t="str">
        <f t="shared" si="33"/>
        <v/>
      </c>
      <c r="F439" s="59" t="str">
        <f t="shared" si="34"/>
        <v/>
      </c>
      <c r="G439" s="59" t="str">
        <f>IF($A439="","",
   SUMIFS(Transactions!$P:$P,
          Transactions!$G:$G,$A439,
          Transactions!$C:$C,"IN",
          Transactions!$Q:$Q,"Paid"))</f>
        <v/>
      </c>
      <c r="H439" s="59" t="str">
        <f>IF($A439="","",
   SUMIFS(Transactions!$P:$P,
          Transactions!$G:$G,$A439,
          Transactions!$C:$C,"OUT"))</f>
        <v/>
      </c>
      <c r="I439" s="65" t="str">
        <f t="shared" si="32"/>
        <v/>
      </c>
      <c r="J439" s="59" t="str">
        <f t="shared" si="35"/>
        <v/>
      </c>
    </row>
    <row r="440" spans="4:10" ht="22.5" customHeight="1" x14ac:dyDescent="0.25">
      <c r="D440" s="59" t="str">
        <f t="shared" si="31"/>
        <v/>
      </c>
      <c r="E440" s="59" t="str">
        <f t="shared" si="33"/>
        <v/>
      </c>
      <c r="F440" s="59" t="str">
        <f t="shared" si="34"/>
        <v/>
      </c>
      <c r="G440" s="59" t="str">
        <f>IF($A440="","",
   SUMIFS(Transactions!$P:$P,
          Transactions!$G:$G,$A440,
          Transactions!$C:$C,"IN",
          Transactions!$Q:$Q,"Paid"))</f>
        <v/>
      </c>
      <c r="H440" s="59" t="str">
        <f>IF($A440="","",
   SUMIFS(Transactions!$P:$P,
          Transactions!$G:$G,$A440,
          Transactions!$C:$C,"OUT"))</f>
        <v/>
      </c>
      <c r="I440" s="65" t="str">
        <f t="shared" si="32"/>
        <v/>
      </c>
      <c r="J440" s="59" t="str">
        <f t="shared" si="35"/>
        <v/>
      </c>
    </row>
    <row r="441" spans="4:10" ht="22.5" customHeight="1" x14ac:dyDescent="0.25">
      <c r="D441" s="59" t="str">
        <f t="shared" si="31"/>
        <v/>
      </c>
      <c r="E441" s="59" t="str">
        <f t="shared" si="33"/>
        <v/>
      </c>
      <c r="F441" s="59" t="str">
        <f t="shared" si="34"/>
        <v/>
      </c>
      <c r="G441" s="59" t="str">
        <f>IF($A441="","",
   SUMIFS(Transactions!$P:$P,
          Transactions!$G:$G,$A441,
          Transactions!$C:$C,"IN",
          Transactions!$Q:$Q,"Paid"))</f>
        <v/>
      </c>
      <c r="H441" s="59" t="str">
        <f>IF($A441="","",
   SUMIFS(Transactions!$P:$P,
          Transactions!$G:$G,$A441,
          Transactions!$C:$C,"OUT"))</f>
        <v/>
      </c>
      <c r="I441" s="65" t="str">
        <f t="shared" si="32"/>
        <v/>
      </c>
      <c r="J441" s="59" t="str">
        <f t="shared" si="35"/>
        <v/>
      </c>
    </row>
    <row r="442" spans="4:10" ht="22.5" customHeight="1" x14ac:dyDescent="0.25">
      <c r="D442" s="59" t="str">
        <f t="shared" si="31"/>
        <v/>
      </c>
      <c r="E442" s="59" t="str">
        <f t="shared" si="33"/>
        <v/>
      </c>
      <c r="F442" s="59" t="str">
        <f t="shared" si="34"/>
        <v/>
      </c>
      <c r="G442" s="59" t="str">
        <f>IF($A442="","",
   SUMIFS(Transactions!$P:$P,
          Transactions!$G:$G,$A442,
          Transactions!$C:$C,"IN",
          Transactions!$Q:$Q,"Paid"))</f>
        <v/>
      </c>
      <c r="H442" s="59" t="str">
        <f>IF($A442="","",
   SUMIFS(Transactions!$P:$P,
          Transactions!$G:$G,$A442,
          Transactions!$C:$C,"OUT"))</f>
        <v/>
      </c>
      <c r="I442" s="65" t="str">
        <f t="shared" si="32"/>
        <v/>
      </c>
      <c r="J442" s="59" t="str">
        <f t="shared" si="35"/>
        <v/>
      </c>
    </row>
    <row r="443" spans="4:10" ht="22.5" customHeight="1" x14ac:dyDescent="0.25">
      <c r="D443" s="59" t="str">
        <f t="shared" si="31"/>
        <v/>
      </c>
      <c r="E443" s="59" t="str">
        <f t="shared" si="33"/>
        <v/>
      </c>
      <c r="F443" s="59" t="str">
        <f t="shared" si="34"/>
        <v/>
      </c>
      <c r="G443" s="59" t="str">
        <f>IF($A443="","",
   SUMIFS(Transactions!$P:$P,
          Transactions!$G:$G,$A443,
          Transactions!$C:$C,"IN",
          Transactions!$Q:$Q,"Paid"))</f>
        <v/>
      </c>
      <c r="H443" s="59" t="str">
        <f>IF($A443="","",
   SUMIFS(Transactions!$P:$P,
          Transactions!$G:$G,$A443,
          Transactions!$C:$C,"OUT"))</f>
        <v/>
      </c>
      <c r="I443" s="65" t="str">
        <f t="shared" si="32"/>
        <v/>
      </c>
      <c r="J443" s="59" t="str">
        <f t="shared" si="35"/>
        <v/>
      </c>
    </row>
    <row r="444" spans="4:10" ht="22.5" customHeight="1" x14ac:dyDescent="0.25">
      <c r="D444" s="59" t="str">
        <f t="shared" si="31"/>
        <v/>
      </c>
      <c r="E444" s="59" t="str">
        <f t="shared" si="33"/>
        <v/>
      </c>
      <c r="F444" s="59" t="str">
        <f t="shared" si="34"/>
        <v/>
      </c>
      <c r="G444" s="59" t="str">
        <f>IF($A444="","",
   SUMIFS(Transactions!$P:$P,
          Transactions!$G:$G,$A444,
          Transactions!$C:$C,"IN",
          Transactions!$Q:$Q,"Paid"))</f>
        <v/>
      </c>
      <c r="H444" s="59" t="str">
        <f>IF($A444="","",
   SUMIFS(Transactions!$P:$P,
          Transactions!$G:$G,$A444,
          Transactions!$C:$C,"OUT"))</f>
        <v/>
      </c>
      <c r="I444" s="65" t="str">
        <f t="shared" si="32"/>
        <v/>
      </c>
      <c r="J444" s="59" t="str">
        <f t="shared" si="35"/>
        <v/>
      </c>
    </row>
    <row r="445" spans="4:10" ht="22.5" customHeight="1" x14ac:dyDescent="0.25">
      <c r="D445" s="59" t="str">
        <f t="shared" si="31"/>
        <v/>
      </c>
      <c r="E445" s="59" t="str">
        <f t="shared" si="33"/>
        <v/>
      </c>
      <c r="F445" s="59" t="str">
        <f t="shared" si="34"/>
        <v/>
      </c>
      <c r="G445" s="59" t="str">
        <f>IF($A445="","",
   SUMIFS(Transactions!$P:$P,
          Transactions!$G:$G,$A445,
          Transactions!$C:$C,"IN",
          Transactions!$Q:$Q,"Paid"))</f>
        <v/>
      </c>
      <c r="H445" s="59" t="str">
        <f>IF($A445="","",
   SUMIFS(Transactions!$P:$P,
          Transactions!$G:$G,$A445,
          Transactions!$C:$C,"OUT"))</f>
        <v/>
      </c>
      <c r="I445" s="65" t="str">
        <f t="shared" si="32"/>
        <v/>
      </c>
      <c r="J445" s="59" t="str">
        <f t="shared" si="35"/>
        <v/>
      </c>
    </row>
    <row r="446" spans="4:10" ht="22.5" customHeight="1" x14ac:dyDescent="0.25">
      <c r="D446" s="59" t="str">
        <f t="shared" si="31"/>
        <v/>
      </c>
      <c r="E446" s="59" t="str">
        <f t="shared" si="33"/>
        <v/>
      </c>
      <c r="F446" s="59" t="str">
        <f t="shared" si="34"/>
        <v/>
      </c>
      <c r="G446" s="59" t="str">
        <f>IF($A446="","",
   SUMIFS(Transactions!$P:$P,
          Transactions!$G:$G,$A446,
          Transactions!$C:$C,"IN",
          Transactions!$Q:$Q,"Paid"))</f>
        <v/>
      </c>
      <c r="H446" s="59" t="str">
        <f>IF($A446="","",
   SUMIFS(Transactions!$P:$P,
          Transactions!$G:$G,$A446,
          Transactions!$C:$C,"OUT"))</f>
        <v/>
      </c>
      <c r="I446" s="65" t="str">
        <f t="shared" si="32"/>
        <v/>
      </c>
      <c r="J446" s="59" t="str">
        <f t="shared" si="35"/>
        <v/>
      </c>
    </row>
    <row r="447" spans="4:10" ht="22.5" customHeight="1" x14ac:dyDescent="0.25">
      <c r="D447" s="59" t="str">
        <f t="shared" si="31"/>
        <v/>
      </c>
      <c r="E447" s="59" t="str">
        <f t="shared" si="33"/>
        <v/>
      </c>
      <c r="F447" s="59" t="str">
        <f t="shared" si="34"/>
        <v/>
      </c>
      <c r="G447" s="59" t="str">
        <f>IF($A447="","",
   SUMIFS(Transactions!$P:$P,
          Transactions!$G:$G,$A447,
          Transactions!$C:$C,"IN",
          Transactions!$Q:$Q,"Paid"))</f>
        <v/>
      </c>
      <c r="H447" s="59" t="str">
        <f>IF($A447="","",
   SUMIFS(Transactions!$P:$P,
          Transactions!$G:$G,$A447,
          Transactions!$C:$C,"OUT"))</f>
        <v/>
      </c>
      <c r="I447" s="65" t="str">
        <f t="shared" si="32"/>
        <v/>
      </c>
      <c r="J447" s="59" t="str">
        <f t="shared" si="35"/>
        <v/>
      </c>
    </row>
    <row r="448" spans="4:10" ht="22.5" customHeight="1" x14ac:dyDescent="0.25">
      <c r="D448" s="59" t="str">
        <f t="shared" si="31"/>
        <v/>
      </c>
      <c r="E448" s="59" t="str">
        <f t="shared" si="33"/>
        <v/>
      </c>
      <c r="F448" s="59" t="str">
        <f t="shared" si="34"/>
        <v/>
      </c>
      <c r="G448" s="59" t="str">
        <f>IF($A448="","",
   SUMIFS(Transactions!$P:$P,
          Transactions!$G:$G,$A448,
          Transactions!$C:$C,"IN",
          Transactions!$Q:$Q,"Paid"))</f>
        <v/>
      </c>
      <c r="H448" s="59" t="str">
        <f>IF($A448="","",
   SUMIFS(Transactions!$P:$P,
          Transactions!$G:$G,$A448,
          Transactions!$C:$C,"OUT"))</f>
        <v/>
      </c>
      <c r="I448" s="65" t="str">
        <f t="shared" si="32"/>
        <v/>
      </c>
      <c r="J448" s="59" t="str">
        <f t="shared" si="35"/>
        <v/>
      </c>
    </row>
    <row r="449" spans="4:10" ht="22.5" customHeight="1" x14ac:dyDescent="0.25">
      <c r="D449" s="59" t="str">
        <f t="shared" si="31"/>
        <v/>
      </c>
      <c r="E449" s="59" t="str">
        <f t="shared" si="33"/>
        <v/>
      </c>
      <c r="F449" s="59" t="str">
        <f t="shared" si="34"/>
        <v/>
      </c>
      <c r="G449" s="59" t="str">
        <f>IF($A449="","",
   SUMIFS(Transactions!$P:$P,
          Transactions!$G:$G,$A449,
          Transactions!$C:$C,"IN",
          Transactions!$Q:$Q,"Paid"))</f>
        <v/>
      </c>
      <c r="H449" s="59" t="str">
        <f>IF($A449="","",
   SUMIFS(Transactions!$P:$P,
          Transactions!$G:$G,$A449,
          Transactions!$C:$C,"OUT"))</f>
        <v/>
      </c>
      <c r="I449" s="65" t="str">
        <f t="shared" si="32"/>
        <v/>
      </c>
      <c r="J449" s="59" t="str">
        <f t="shared" si="35"/>
        <v/>
      </c>
    </row>
    <row r="450" spans="4:10" ht="22.5" customHeight="1" x14ac:dyDescent="0.25">
      <c r="D450" s="59" t="str">
        <f t="shared" si="31"/>
        <v/>
      </c>
      <c r="E450" s="59" t="str">
        <f t="shared" si="33"/>
        <v/>
      </c>
      <c r="F450" s="59" t="str">
        <f t="shared" si="34"/>
        <v/>
      </c>
      <c r="G450" s="59" t="str">
        <f>IF($A450="","",
   SUMIFS(Transactions!$P:$P,
          Transactions!$G:$G,$A450,
          Transactions!$C:$C,"IN",
          Transactions!$Q:$Q,"Paid"))</f>
        <v/>
      </c>
      <c r="H450" s="59" t="str">
        <f>IF($A450="","",
   SUMIFS(Transactions!$P:$P,
          Transactions!$G:$G,$A450,
          Transactions!$C:$C,"OUT"))</f>
        <v/>
      </c>
      <c r="I450" s="65" t="str">
        <f t="shared" si="32"/>
        <v/>
      </c>
      <c r="J450" s="59" t="str">
        <f t="shared" si="35"/>
        <v/>
      </c>
    </row>
    <row r="451" spans="4:10" ht="22.5" customHeight="1" x14ac:dyDescent="0.25">
      <c r="D451" s="59" t="str">
        <f t="shared" ref="D451:D514" si="36">IF(C451="","",ROUND(C451*0.15,2))</f>
        <v/>
      </c>
      <c r="E451" s="59" t="str">
        <f t="shared" si="33"/>
        <v/>
      </c>
      <c r="F451" s="59" t="str">
        <f t="shared" si="34"/>
        <v/>
      </c>
      <c r="G451" s="59" t="str">
        <f>IF($A451="","",
   SUMIFS(Transactions!$P:$P,
          Transactions!$G:$G,$A451,
          Transactions!$C:$C,"IN",
          Transactions!$Q:$Q,"Paid"))</f>
        <v/>
      </c>
      <c r="H451" s="59" t="str">
        <f>IF($A451="","",
   SUMIFS(Transactions!$P:$P,
          Transactions!$G:$G,$A451,
          Transactions!$C:$C,"OUT"))</f>
        <v/>
      </c>
      <c r="I451" s="65" t="str">
        <f t="shared" ref="I451:I514" si="37">IF(C451="","",C451-H451)</f>
        <v/>
      </c>
      <c r="J451" s="59" t="str">
        <f t="shared" si="35"/>
        <v/>
      </c>
    </row>
    <row r="452" spans="4:10" ht="22.5" customHeight="1" x14ac:dyDescent="0.25">
      <c r="D452" s="59" t="str">
        <f t="shared" si="36"/>
        <v/>
      </c>
      <c r="E452" s="59" t="str">
        <f t="shared" ref="E452:E515" si="38">IF(C452="","",C452+D452)</f>
        <v/>
      </c>
      <c r="F452" s="59" t="str">
        <f t="shared" ref="F452:F515" si="39">IF(E452="","",E452*0.5)</f>
        <v/>
      </c>
      <c r="G452" s="59" t="str">
        <f>IF($A452="","",
   SUMIFS(Transactions!$P:$P,
          Transactions!$G:$G,$A452,
          Transactions!$C:$C,"IN",
          Transactions!$Q:$Q,"Paid"))</f>
        <v/>
      </c>
      <c r="H452" s="59" t="str">
        <f>IF($A452="","",
   SUMIFS(Transactions!$P:$P,
          Transactions!$G:$G,$A452,
          Transactions!$C:$C,"OUT"))</f>
        <v/>
      </c>
      <c r="I452" s="65" t="str">
        <f t="shared" si="37"/>
        <v/>
      </c>
      <c r="J452" s="59" t="str">
        <f t="shared" ref="J452:J515" si="40">IF(E452="","",E452-G452)</f>
        <v/>
      </c>
    </row>
    <row r="453" spans="4:10" ht="22.5" customHeight="1" x14ac:dyDescent="0.25">
      <c r="D453" s="59" t="str">
        <f t="shared" si="36"/>
        <v/>
      </c>
      <c r="E453" s="59" t="str">
        <f t="shared" si="38"/>
        <v/>
      </c>
      <c r="F453" s="59" t="str">
        <f t="shared" si="39"/>
        <v/>
      </c>
      <c r="G453" s="59" t="str">
        <f>IF($A453="","",
   SUMIFS(Transactions!$P:$P,
          Transactions!$G:$G,$A453,
          Transactions!$C:$C,"IN",
          Transactions!$Q:$Q,"Paid"))</f>
        <v/>
      </c>
      <c r="H453" s="59" t="str">
        <f>IF($A453="","",
   SUMIFS(Transactions!$P:$P,
          Transactions!$G:$G,$A453,
          Transactions!$C:$C,"OUT"))</f>
        <v/>
      </c>
      <c r="I453" s="65" t="str">
        <f t="shared" si="37"/>
        <v/>
      </c>
      <c r="J453" s="59" t="str">
        <f t="shared" si="40"/>
        <v/>
      </c>
    </row>
    <row r="454" spans="4:10" ht="22.5" customHeight="1" x14ac:dyDescent="0.25">
      <c r="D454" s="59" t="str">
        <f t="shared" si="36"/>
        <v/>
      </c>
      <c r="E454" s="59" t="str">
        <f t="shared" si="38"/>
        <v/>
      </c>
      <c r="F454" s="59" t="str">
        <f t="shared" si="39"/>
        <v/>
      </c>
      <c r="G454" s="59" t="str">
        <f>IF($A454="","",
   SUMIFS(Transactions!$P:$P,
          Transactions!$G:$G,$A454,
          Transactions!$C:$C,"IN",
          Transactions!$Q:$Q,"Paid"))</f>
        <v/>
      </c>
      <c r="H454" s="59" t="str">
        <f>IF($A454="","",
   SUMIFS(Transactions!$P:$P,
          Transactions!$G:$G,$A454,
          Transactions!$C:$C,"OUT"))</f>
        <v/>
      </c>
      <c r="I454" s="65" t="str">
        <f t="shared" si="37"/>
        <v/>
      </c>
      <c r="J454" s="59" t="str">
        <f t="shared" si="40"/>
        <v/>
      </c>
    </row>
    <row r="455" spans="4:10" ht="22.5" customHeight="1" x14ac:dyDescent="0.25">
      <c r="D455" s="59" t="str">
        <f t="shared" si="36"/>
        <v/>
      </c>
      <c r="E455" s="59" t="str">
        <f t="shared" si="38"/>
        <v/>
      </c>
      <c r="F455" s="59" t="str">
        <f t="shared" si="39"/>
        <v/>
      </c>
      <c r="G455" s="59" t="str">
        <f>IF($A455="","",
   SUMIFS(Transactions!$P:$P,
          Transactions!$G:$G,$A455,
          Transactions!$C:$C,"IN",
          Transactions!$Q:$Q,"Paid"))</f>
        <v/>
      </c>
      <c r="H455" s="59" t="str">
        <f>IF($A455="","",
   SUMIFS(Transactions!$P:$P,
          Transactions!$G:$G,$A455,
          Transactions!$C:$C,"OUT"))</f>
        <v/>
      </c>
      <c r="I455" s="65" t="str">
        <f t="shared" si="37"/>
        <v/>
      </c>
      <c r="J455" s="59" t="str">
        <f t="shared" si="40"/>
        <v/>
      </c>
    </row>
    <row r="456" spans="4:10" ht="22.5" customHeight="1" x14ac:dyDescent="0.25">
      <c r="D456" s="59" t="str">
        <f t="shared" si="36"/>
        <v/>
      </c>
      <c r="E456" s="59" t="str">
        <f t="shared" si="38"/>
        <v/>
      </c>
      <c r="F456" s="59" t="str">
        <f t="shared" si="39"/>
        <v/>
      </c>
      <c r="G456" s="59" t="str">
        <f>IF($A456="","",
   SUMIFS(Transactions!$P:$P,
          Transactions!$G:$G,$A456,
          Transactions!$C:$C,"IN",
          Transactions!$Q:$Q,"Paid"))</f>
        <v/>
      </c>
      <c r="H456" s="59" t="str">
        <f>IF($A456="","",
   SUMIFS(Transactions!$P:$P,
          Transactions!$G:$G,$A456,
          Transactions!$C:$C,"OUT"))</f>
        <v/>
      </c>
      <c r="I456" s="65" t="str">
        <f t="shared" si="37"/>
        <v/>
      </c>
      <c r="J456" s="59" t="str">
        <f t="shared" si="40"/>
        <v/>
      </c>
    </row>
    <row r="457" spans="4:10" ht="22.5" customHeight="1" x14ac:dyDescent="0.25">
      <c r="D457" s="59" t="str">
        <f t="shared" si="36"/>
        <v/>
      </c>
      <c r="E457" s="59" t="str">
        <f t="shared" si="38"/>
        <v/>
      </c>
      <c r="F457" s="59" t="str">
        <f t="shared" si="39"/>
        <v/>
      </c>
      <c r="G457" s="59" t="str">
        <f>IF($A457="","",
   SUMIFS(Transactions!$P:$P,
          Transactions!$G:$G,$A457,
          Transactions!$C:$C,"IN",
          Transactions!$Q:$Q,"Paid"))</f>
        <v/>
      </c>
      <c r="H457" s="59" t="str">
        <f>IF($A457="","",
   SUMIFS(Transactions!$P:$P,
          Transactions!$G:$G,$A457,
          Transactions!$C:$C,"OUT"))</f>
        <v/>
      </c>
      <c r="I457" s="65" t="str">
        <f t="shared" si="37"/>
        <v/>
      </c>
      <c r="J457" s="59" t="str">
        <f t="shared" si="40"/>
        <v/>
      </c>
    </row>
    <row r="458" spans="4:10" ht="22.5" customHeight="1" x14ac:dyDescent="0.25">
      <c r="D458" s="59" t="str">
        <f t="shared" si="36"/>
        <v/>
      </c>
      <c r="E458" s="59" t="str">
        <f t="shared" si="38"/>
        <v/>
      </c>
      <c r="F458" s="59" t="str">
        <f t="shared" si="39"/>
        <v/>
      </c>
      <c r="G458" s="59" t="str">
        <f>IF($A458="","",
   SUMIFS(Transactions!$P:$P,
          Transactions!$G:$G,$A458,
          Transactions!$C:$C,"IN",
          Transactions!$Q:$Q,"Paid"))</f>
        <v/>
      </c>
      <c r="H458" s="59" t="str">
        <f>IF($A458="","",
   SUMIFS(Transactions!$P:$P,
          Transactions!$G:$G,$A458,
          Transactions!$C:$C,"OUT"))</f>
        <v/>
      </c>
      <c r="I458" s="65" t="str">
        <f t="shared" si="37"/>
        <v/>
      </c>
      <c r="J458" s="59" t="str">
        <f t="shared" si="40"/>
        <v/>
      </c>
    </row>
    <row r="459" spans="4:10" ht="22.5" customHeight="1" x14ac:dyDescent="0.25">
      <c r="D459" s="59" t="str">
        <f t="shared" si="36"/>
        <v/>
      </c>
      <c r="E459" s="59" t="str">
        <f t="shared" si="38"/>
        <v/>
      </c>
      <c r="F459" s="59" t="str">
        <f t="shared" si="39"/>
        <v/>
      </c>
      <c r="G459" s="59" t="str">
        <f>IF($A459="","",
   SUMIFS(Transactions!$P:$P,
          Transactions!$G:$G,$A459,
          Transactions!$C:$C,"IN",
          Transactions!$Q:$Q,"Paid"))</f>
        <v/>
      </c>
      <c r="H459" s="59" t="str">
        <f>IF($A459="","",
   SUMIFS(Transactions!$P:$P,
          Transactions!$G:$G,$A459,
          Transactions!$C:$C,"OUT"))</f>
        <v/>
      </c>
      <c r="I459" s="65" t="str">
        <f t="shared" si="37"/>
        <v/>
      </c>
      <c r="J459" s="59" t="str">
        <f t="shared" si="40"/>
        <v/>
      </c>
    </row>
    <row r="460" spans="4:10" ht="22.5" customHeight="1" x14ac:dyDescent="0.25">
      <c r="D460" s="59" t="str">
        <f t="shared" si="36"/>
        <v/>
      </c>
      <c r="E460" s="59" t="str">
        <f t="shared" si="38"/>
        <v/>
      </c>
      <c r="F460" s="59" t="str">
        <f t="shared" si="39"/>
        <v/>
      </c>
      <c r="G460" s="59" t="str">
        <f>IF($A460="","",
   SUMIFS(Transactions!$P:$P,
          Transactions!$G:$G,$A460,
          Transactions!$C:$C,"IN",
          Transactions!$Q:$Q,"Paid"))</f>
        <v/>
      </c>
      <c r="H460" s="59" t="str">
        <f>IF($A460="","",
   SUMIFS(Transactions!$P:$P,
          Transactions!$G:$G,$A460,
          Transactions!$C:$C,"OUT"))</f>
        <v/>
      </c>
      <c r="I460" s="65" t="str">
        <f t="shared" si="37"/>
        <v/>
      </c>
      <c r="J460" s="59" t="str">
        <f t="shared" si="40"/>
        <v/>
      </c>
    </row>
    <row r="461" spans="4:10" ht="22.5" customHeight="1" x14ac:dyDescent="0.25">
      <c r="D461" s="59" t="str">
        <f t="shared" si="36"/>
        <v/>
      </c>
      <c r="E461" s="59" t="str">
        <f t="shared" si="38"/>
        <v/>
      </c>
      <c r="F461" s="59" t="str">
        <f t="shared" si="39"/>
        <v/>
      </c>
      <c r="G461" s="59" t="str">
        <f>IF($A461="","",
   SUMIFS(Transactions!$P:$P,
          Transactions!$G:$G,$A461,
          Transactions!$C:$C,"IN",
          Transactions!$Q:$Q,"Paid"))</f>
        <v/>
      </c>
      <c r="H461" s="59" t="str">
        <f>IF($A461="","",
   SUMIFS(Transactions!$P:$P,
          Transactions!$G:$G,$A461,
          Transactions!$C:$C,"OUT"))</f>
        <v/>
      </c>
      <c r="I461" s="65" t="str">
        <f t="shared" si="37"/>
        <v/>
      </c>
      <c r="J461" s="59" t="str">
        <f t="shared" si="40"/>
        <v/>
      </c>
    </row>
    <row r="462" spans="4:10" ht="22.5" customHeight="1" x14ac:dyDescent="0.25">
      <c r="D462" s="59" t="str">
        <f t="shared" si="36"/>
        <v/>
      </c>
      <c r="E462" s="59" t="str">
        <f t="shared" si="38"/>
        <v/>
      </c>
      <c r="F462" s="59" t="str">
        <f t="shared" si="39"/>
        <v/>
      </c>
      <c r="G462" s="59" t="str">
        <f>IF($A462="","",
   SUMIFS(Transactions!$P:$P,
          Transactions!$G:$G,$A462,
          Transactions!$C:$C,"IN",
          Transactions!$Q:$Q,"Paid"))</f>
        <v/>
      </c>
      <c r="H462" s="59" t="str">
        <f>IF($A462="","",
   SUMIFS(Transactions!$P:$P,
          Transactions!$G:$G,$A462,
          Transactions!$C:$C,"OUT"))</f>
        <v/>
      </c>
      <c r="I462" s="65" t="str">
        <f t="shared" si="37"/>
        <v/>
      </c>
      <c r="J462" s="59" t="str">
        <f t="shared" si="40"/>
        <v/>
      </c>
    </row>
    <row r="463" spans="4:10" ht="22.5" customHeight="1" x14ac:dyDescent="0.25">
      <c r="D463" s="59" t="str">
        <f t="shared" si="36"/>
        <v/>
      </c>
      <c r="E463" s="59" t="str">
        <f t="shared" si="38"/>
        <v/>
      </c>
      <c r="F463" s="59" t="str">
        <f t="shared" si="39"/>
        <v/>
      </c>
      <c r="G463" s="59" t="str">
        <f>IF($A463="","",
   SUMIFS(Transactions!$P:$P,
          Transactions!$G:$G,$A463,
          Transactions!$C:$C,"IN",
          Transactions!$Q:$Q,"Paid"))</f>
        <v/>
      </c>
      <c r="H463" s="59" t="str">
        <f>IF($A463="","",
   SUMIFS(Transactions!$P:$P,
          Transactions!$G:$G,$A463,
          Transactions!$C:$C,"OUT"))</f>
        <v/>
      </c>
      <c r="I463" s="65" t="str">
        <f t="shared" si="37"/>
        <v/>
      </c>
      <c r="J463" s="59" t="str">
        <f t="shared" si="40"/>
        <v/>
      </c>
    </row>
    <row r="464" spans="4:10" ht="22.5" customHeight="1" x14ac:dyDescent="0.25">
      <c r="D464" s="59" t="str">
        <f t="shared" si="36"/>
        <v/>
      </c>
      <c r="E464" s="59" t="str">
        <f t="shared" si="38"/>
        <v/>
      </c>
      <c r="F464" s="59" t="str">
        <f t="shared" si="39"/>
        <v/>
      </c>
      <c r="G464" s="59" t="str">
        <f>IF($A464="","",
   SUMIFS(Transactions!$P:$P,
          Transactions!$G:$G,$A464,
          Transactions!$C:$C,"IN",
          Transactions!$Q:$Q,"Paid"))</f>
        <v/>
      </c>
      <c r="H464" s="59" t="str">
        <f>IF($A464="","",
   SUMIFS(Transactions!$P:$P,
          Transactions!$G:$G,$A464,
          Transactions!$C:$C,"OUT"))</f>
        <v/>
      </c>
      <c r="I464" s="65" t="str">
        <f t="shared" si="37"/>
        <v/>
      </c>
      <c r="J464" s="59" t="str">
        <f t="shared" si="40"/>
        <v/>
      </c>
    </row>
    <row r="465" spans="4:10" ht="22.5" customHeight="1" x14ac:dyDescent="0.25">
      <c r="D465" s="59" t="str">
        <f t="shared" si="36"/>
        <v/>
      </c>
      <c r="E465" s="59" t="str">
        <f t="shared" si="38"/>
        <v/>
      </c>
      <c r="F465" s="59" t="str">
        <f t="shared" si="39"/>
        <v/>
      </c>
      <c r="G465" s="59" t="str">
        <f>IF($A465="","",
   SUMIFS(Transactions!$P:$P,
          Transactions!$G:$G,$A465,
          Transactions!$C:$C,"IN",
          Transactions!$Q:$Q,"Paid"))</f>
        <v/>
      </c>
      <c r="H465" s="59" t="str">
        <f>IF($A465="","",
   SUMIFS(Transactions!$P:$P,
          Transactions!$G:$G,$A465,
          Transactions!$C:$C,"OUT"))</f>
        <v/>
      </c>
      <c r="I465" s="65" t="str">
        <f t="shared" si="37"/>
        <v/>
      </c>
      <c r="J465" s="59" t="str">
        <f t="shared" si="40"/>
        <v/>
      </c>
    </row>
    <row r="466" spans="4:10" ht="22.5" customHeight="1" x14ac:dyDescent="0.25">
      <c r="D466" s="59" t="str">
        <f t="shared" si="36"/>
        <v/>
      </c>
      <c r="E466" s="59" t="str">
        <f t="shared" si="38"/>
        <v/>
      </c>
      <c r="F466" s="59" t="str">
        <f t="shared" si="39"/>
        <v/>
      </c>
      <c r="G466" s="59" t="str">
        <f>IF($A466="","",
   SUMIFS(Transactions!$P:$P,
          Transactions!$G:$G,$A466,
          Transactions!$C:$C,"IN",
          Transactions!$Q:$Q,"Paid"))</f>
        <v/>
      </c>
      <c r="H466" s="59" t="str">
        <f>IF($A466="","",
   SUMIFS(Transactions!$P:$P,
          Transactions!$G:$G,$A466,
          Transactions!$C:$C,"OUT"))</f>
        <v/>
      </c>
      <c r="I466" s="65" t="str">
        <f t="shared" si="37"/>
        <v/>
      </c>
      <c r="J466" s="59" t="str">
        <f t="shared" si="40"/>
        <v/>
      </c>
    </row>
    <row r="467" spans="4:10" ht="22.5" customHeight="1" x14ac:dyDescent="0.25">
      <c r="D467" s="59" t="str">
        <f t="shared" si="36"/>
        <v/>
      </c>
      <c r="E467" s="59" t="str">
        <f t="shared" si="38"/>
        <v/>
      </c>
      <c r="F467" s="59" t="str">
        <f t="shared" si="39"/>
        <v/>
      </c>
      <c r="G467" s="59" t="str">
        <f>IF($A467="","",
   SUMIFS(Transactions!$P:$P,
          Transactions!$G:$G,$A467,
          Transactions!$C:$C,"IN",
          Transactions!$Q:$Q,"Paid"))</f>
        <v/>
      </c>
      <c r="H467" s="59" t="str">
        <f>IF($A467="","",
   SUMIFS(Transactions!$P:$P,
          Transactions!$G:$G,$A467,
          Transactions!$C:$C,"OUT"))</f>
        <v/>
      </c>
      <c r="I467" s="65" t="str">
        <f t="shared" si="37"/>
        <v/>
      </c>
      <c r="J467" s="59" t="str">
        <f t="shared" si="40"/>
        <v/>
      </c>
    </row>
    <row r="468" spans="4:10" ht="22.5" customHeight="1" x14ac:dyDescent="0.25">
      <c r="D468" s="59" t="str">
        <f t="shared" si="36"/>
        <v/>
      </c>
      <c r="E468" s="59" t="str">
        <f t="shared" si="38"/>
        <v/>
      </c>
      <c r="F468" s="59" t="str">
        <f t="shared" si="39"/>
        <v/>
      </c>
      <c r="G468" s="59" t="str">
        <f>IF($A468="","",
   SUMIFS(Transactions!$P:$P,
          Transactions!$G:$G,$A468,
          Transactions!$C:$C,"IN",
          Transactions!$Q:$Q,"Paid"))</f>
        <v/>
      </c>
      <c r="H468" s="59" t="str">
        <f>IF($A468="","",
   SUMIFS(Transactions!$P:$P,
          Transactions!$G:$G,$A468,
          Transactions!$C:$C,"OUT"))</f>
        <v/>
      </c>
      <c r="I468" s="65" t="str">
        <f t="shared" si="37"/>
        <v/>
      </c>
      <c r="J468" s="59" t="str">
        <f t="shared" si="40"/>
        <v/>
      </c>
    </row>
    <row r="469" spans="4:10" ht="22.5" customHeight="1" x14ac:dyDescent="0.25">
      <c r="D469" s="59" t="str">
        <f t="shared" si="36"/>
        <v/>
      </c>
      <c r="E469" s="59" t="str">
        <f t="shared" si="38"/>
        <v/>
      </c>
      <c r="F469" s="59" t="str">
        <f t="shared" si="39"/>
        <v/>
      </c>
      <c r="G469" s="59" t="str">
        <f>IF($A469="","",
   SUMIFS(Transactions!$P:$P,
          Transactions!$G:$G,$A469,
          Transactions!$C:$C,"IN",
          Transactions!$Q:$Q,"Paid"))</f>
        <v/>
      </c>
      <c r="H469" s="59" t="str">
        <f>IF($A469="","",
   SUMIFS(Transactions!$P:$P,
          Transactions!$G:$G,$A469,
          Transactions!$C:$C,"OUT"))</f>
        <v/>
      </c>
      <c r="I469" s="65" t="str">
        <f t="shared" si="37"/>
        <v/>
      </c>
      <c r="J469" s="59" t="str">
        <f t="shared" si="40"/>
        <v/>
      </c>
    </row>
    <row r="470" spans="4:10" ht="22.5" customHeight="1" x14ac:dyDescent="0.25">
      <c r="D470" s="59" t="str">
        <f t="shared" si="36"/>
        <v/>
      </c>
      <c r="E470" s="59" t="str">
        <f t="shared" si="38"/>
        <v/>
      </c>
      <c r="F470" s="59" t="str">
        <f t="shared" si="39"/>
        <v/>
      </c>
      <c r="G470" s="59" t="str">
        <f>IF($A470="","",
   SUMIFS(Transactions!$P:$P,
          Transactions!$G:$G,$A470,
          Transactions!$C:$C,"IN",
          Transactions!$Q:$Q,"Paid"))</f>
        <v/>
      </c>
      <c r="H470" s="59" t="str">
        <f>IF($A470="","",
   SUMIFS(Transactions!$P:$P,
          Transactions!$G:$G,$A470,
          Transactions!$C:$C,"OUT"))</f>
        <v/>
      </c>
      <c r="I470" s="65" t="str">
        <f t="shared" si="37"/>
        <v/>
      </c>
      <c r="J470" s="59" t="str">
        <f t="shared" si="40"/>
        <v/>
      </c>
    </row>
    <row r="471" spans="4:10" ht="22.5" customHeight="1" x14ac:dyDescent="0.25">
      <c r="D471" s="59" t="str">
        <f t="shared" si="36"/>
        <v/>
      </c>
      <c r="E471" s="59" t="str">
        <f t="shared" si="38"/>
        <v/>
      </c>
      <c r="F471" s="59" t="str">
        <f t="shared" si="39"/>
        <v/>
      </c>
      <c r="G471" s="59" t="str">
        <f>IF($A471="","",
   SUMIFS(Transactions!$P:$P,
          Transactions!$G:$G,$A471,
          Transactions!$C:$C,"IN",
          Transactions!$Q:$Q,"Paid"))</f>
        <v/>
      </c>
      <c r="H471" s="59" t="str">
        <f>IF($A471="","",
   SUMIFS(Transactions!$P:$P,
          Transactions!$G:$G,$A471,
          Transactions!$C:$C,"OUT"))</f>
        <v/>
      </c>
      <c r="I471" s="65" t="str">
        <f t="shared" si="37"/>
        <v/>
      </c>
      <c r="J471" s="59" t="str">
        <f t="shared" si="40"/>
        <v/>
      </c>
    </row>
    <row r="472" spans="4:10" ht="22.5" customHeight="1" x14ac:dyDescent="0.25">
      <c r="D472" s="59" t="str">
        <f t="shared" si="36"/>
        <v/>
      </c>
      <c r="E472" s="59" t="str">
        <f t="shared" si="38"/>
        <v/>
      </c>
      <c r="F472" s="59" t="str">
        <f t="shared" si="39"/>
        <v/>
      </c>
      <c r="G472" s="59" t="str">
        <f>IF($A472="","",
   SUMIFS(Transactions!$P:$P,
          Transactions!$G:$G,$A472,
          Transactions!$C:$C,"IN",
          Transactions!$Q:$Q,"Paid"))</f>
        <v/>
      </c>
      <c r="H472" s="59" t="str">
        <f>IF($A472="","",
   SUMIFS(Transactions!$P:$P,
          Transactions!$G:$G,$A472,
          Transactions!$C:$C,"OUT"))</f>
        <v/>
      </c>
      <c r="I472" s="65" t="str">
        <f t="shared" si="37"/>
        <v/>
      </c>
      <c r="J472" s="59" t="str">
        <f t="shared" si="40"/>
        <v/>
      </c>
    </row>
    <row r="473" spans="4:10" ht="22.5" customHeight="1" x14ac:dyDescent="0.25">
      <c r="D473" s="59" t="str">
        <f t="shared" si="36"/>
        <v/>
      </c>
      <c r="E473" s="59" t="str">
        <f t="shared" si="38"/>
        <v/>
      </c>
      <c r="F473" s="59" t="str">
        <f t="shared" si="39"/>
        <v/>
      </c>
      <c r="G473" s="59" t="str">
        <f>IF($A473="","",
   SUMIFS(Transactions!$P:$P,
          Transactions!$G:$G,$A473,
          Transactions!$C:$C,"IN",
          Transactions!$Q:$Q,"Paid"))</f>
        <v/>
      </c>
      <c r="H473" s="59" t="str">
        <f>IF($A473="","",
   SUMIFS(Transactions!$P:$P,
          Transactions!$G:$G,$A473,
          Transactions!$C:$C,"OUT"))</f>
        <v/>
      </c>
      <c r="I473" s="65" t="str">
        <f t="shared" si="37"/>
        <v/>
      </c>
      <c r="J473" s="59" t="str">
        <f t="shared" si="40"/>
        <v/>
      </c>
    </row>
    <row r="474" spans="4:10" ht="22.5" customHeight="1" x14ac:dyDescent="0.25">
      <c r="D474" s="59" t="str">
        <f t="shared" si="36"/>
        <v/>
      </c>
      <c r="E474" s="59" t="str">
        <f t="shared" si="38"/>
        <v/>
      </c>
      <c r="F474" s="59" t="str">
        <f t="shared" si="39"/>
        <v/>
      </c>
      <c r="G474" s="59" t="str">
        <f>IF($A474="","",
   SUMIFS(Transactions!$P:$P,
          Transactions!$G:$G,$A474,
          Transactions!$C:$C,"IN",
          Transactions!$Q:$Q,"Paid"))</f>
        <v/>
      </c>
      <c r="H474" s="59" t="str">
        <f>IF($A474="","",
   SUMIFS(Transactions!$P:$P,
          Transactions!$G:$G,$A474,
          Transactions!$C:$C,"OUT"))</f>
        <v/>
      </c>
      <c r="I474" s="65" t="str">
        <f t="shared" si="37"/>
        <v/>
      </c>
      <c r="J474" s="59" t="str">
        <f t="shared" si="40"/>
        <v/>
      </c>
    </row>
    <row r="475" spans="4:10" ht="22.5" customHeight="1" x14ac:dyDescent="0.25">
      <c r="D475" s="59" t="str">
        <f t="shared" si="36"/>
        <v/>
      </c>
      <c r="E475" s="59" t="str">
        <f t="shared" si="38"/>
        <v/>
      </c>
      <c r="F475" s="59" t="str">
        <f t="shared" si="39"/>
        <v/>
      </c>
      <c r="G475" s="59" t="str">
        <f>IF($A475="","",
   SUMIFS(Transactions!$P:$P,
          Transactions!$G:$G,$A475,
          Transactions!$C:$C,"IN",
          Transactions!$Q:$Q,"Paid"))</f>
        <v/>
      </c>
      <c r="H475" s="59" t="str">
        <f>IF($A475="","",
   SUMIFS(Transactions!$P:$P,
          Transactions!$G:$G,$A475,
          Transactions!$C:$C,"OUT"))</f>
        <v/>
      </c>
      <c r="I475" s="65" t="str">
        <f t="shared" si="37"/>
        <v/>
      </c>
      <c r="J475" s="59" t="str">
        <f t="shared" si="40"/>
        <v/>
      </c>
    </row>
    <row r="476" spans="4:10" ht="22.5" customHeight="1" x14ac:dyDescent="0.25">
      <c r="D476" s="59" t="str">
        <f t="shared" si="36"/>
        <v/>
      </c>
      <c r="E476" s="59" t="str">
        <f t="shared" si="38"/>
        <v/>
      </c>
      <c r="F476" s="59" t="str">
        <f t="shared" si="39"/>
        <v/>
      </c>
      <c r="G476" s="59" t="str">
        <f>IF($A476="","",
   SUMIFS(Transactions!$P:$P,
          Transactions!$G:$G,$A476,
          Transactions!$C:$C,"IN",
          Transactions!$Q:$Q,"Paid"))</f>
        <v/>
      </c>
      <c r="H476" s="59" t="str">
        <f>IF($A476="","",
   SUMIFS(Transactions!$P:$P,
          Transactions!$G:$G,$A476,
          Transactions!$C:$C,"OUT"))</f>
        <v/>
      </c>
      <c r="I476" s="65" t="str">
        <f t="shared" si="37"/>
        <v/>
      </c>
      <c r="J476" s="59" t="str">
        <f t="shared" si="40"/>
        <v/>
      </c>
    </row>
    <row r="477" spans="4:10" ht="22.5" customHeight="1" x14ac:dyDescent="0.25">
      <c r="D477" s="59" t="str">
        <f t="shared" si="36"/>
        <v/>
      </c>
      <c r="E477" s="59" t="str">
        <f t="shared" si="38"/>
        <v/>
      </c>
      <c r="F477" s="59" t="str">
        <f t="shared" si="39"/>
        <v/>
      </c>
      <c r="G477" s="59" t="str">
        <f>IF($A477="","",
   SUMIFS(Transactions!$P:$P,
          Transactions!$G:$G,$A477,
          Transactions!$C:$C,"IN",
          Transactions!$Q:$Q,"Paid"))</f>
        <v/>
      </c>
      <c r="H477" s="59" t="str">
        <f>IF($A477="","",
   SUMIFS(Transactions!$P:$P,
          Transactions!$G:$G,$A477,
          Transactions!$C:$C,"OUT"))</f>
        <v/>
      </c>
      <c r="I477" s="65" t="str">
        <f t="shared" si="37"/>
        <v/>
      </c>
      <c r="J477" s="59" t="str">
        <f t="shared" si="40"/>
        <v/>
      </c>
    </row>
    <row r="478" spans="4:10" ht="22.5" customHeight="1" x14ac:dyDescent="0.25">
      <c r="D478" s="59" t="str">
        <f t="shared" si="36"/>
        <v/>
      </c>
      <c r="E478" s="59" t="str">
        <f t="shared" si="38"/>
        <v/>
      </c>
      <c r="F478" s="59" t="str">
        <f t="shared" si="39"/>
        <v/>
      </c>
      <c r="G478" s="59" t="str">
        <f>IF($A478="","",
   SUMIFS(Transactions!$P:$P,
          Transactions!$G:$G,$A478,
          Transactions!$C:$C,"IN",
          Transactions!$Q:$Q,"Paid"))</f>
        <v/>
      </c>
      <c r="H478" s="59" t="str">
        <f>IF($A478="","",
   SUMIFS(Transactions!$P:$P,
          Transactions!$G:$G,$A478,
          Transactions!$C:$C,"OUT"))</f>
        <v/>
      </c>
      <c r="I478" s="65" t="str">
        <f t="shared" si="37"/>
        <v/>
      </c>
      <c r="J478" s="59" t="str">
        <f t="shared" si="40"/>
        <v/>
      </c>
    </row>
    <row r="479" spans="4:10" ht="22.5" customHeight="1" x14ac:dyDescent="0.25">
      <c r="D479" s="59" t="str">
        <f t="shared" si="36"/>
        <v/>
      </c>
      <c r="E479" s="59" t="str">
        <f t="shared" si="38"/>
        <v/>
      </c>
      <c r="F479" s="59" t="str">
        <f t="shared" si="39"/>
        <v/>
      </c>
      <c r="G479" s="59" t="str">
        <f>IF($A479="","",
   SUMIFS(Transactions!$P:$P,
          Transactions!$G:$G,$A479,
          Transactions!$C:$C,"IN",
          Transactions!$Q:$Q,"Paid"))</f>
        <v/>
      </c>
      <c r="H479" s="59" t="str">
        <f>IF($A479="","",
   SUMIFS(Transactions!$P:$P,
          Transactions!$G:$G,$A479,
          Transactions!$C:$C,"OUT"))</f>
        <v/>
      </c>
      <c r="I479" s="65" t="str">
        <f t="shared" si="37"/>
        <v/>
      </c>
      <c r="J479" s="59" t="str">
        <f t="shared" si="40"/>
        <v/>
      </c>
    </row>
    <row r="480" spans="4:10" ht="22.5" customHeight="1" x14ac:dyDescent="0.25">
      <c r="D480" s="59" t="str">
        <f t="shared" si="36"/>
        <v/>
      </c>
      <c r="E480" s="59" t="str">
        <f t="shared" si="38"/>
        <v/>
      </c>
      <c r="F480" s="59" t="str">
        <f t="shared" si="39"/>
        <v/>
      </c>
      <c r="G480" s="59" t="str">
        <f>IF($A480="","",
   SUMIFS(Transactions!$P:$P,
          Transactions!$G:$G,$A480,
          Transactions!$C:$C,"IN",
          Transactions!$Q:$Q,"Paid"))</f>
        <v/>
      </c>
      <c r="H480" s="59" t="str">
        <f>IF($A480="","",
   SUMIFS(Transactions!$P:$P,
          Transactions!$G:$G,$A480,
          Transactions!$C:$C,"OUT"))</f>
        <v/>
      </c>
      <c r="I480" s="65" t="str">
        <f t="shared" si="37"/>
        <v/>
      </c>
      <c r="J480" s="59" t="str">
        <f t="shared" si="40"/>
        <v/>
      </c>
    </row>
    <row r="481" spans="4:10" ht="22.5" customHeight="1" x14ac:dyDescent="0.25">
      <c r="D481" s="59" t="str">
        <f t="shared" si="36"/>
        <v/>
      </c>
      <c r="E481" s="59" t="str">
        <f t="shared" si="38"/>
        <v/>
      </c>
      <c r="F481" s="59" t="str">
        <f t="shared" si="39"/>
        <v/>
      </c>
      <c r="G481" s="59" t="str">
        <f>IF($A481="","",
   SUMIFS(Transactions!$P:$P,
          Transactions!$G:$G,$A481,
          Transactions!$C:$C,"IN",
          Transactions!$Q:$Q,"Paid"))</f>
        <v/>
      </c>
      <c r="H481" s="59" t="str">
        <f>IF($A481="","",
   SUMIFS(Transactions!$P:$P,
          Transactions!$G:$G,$A481,
          Transactions!$C:$C,"OUT"))</f>
        <v/>
      </c>
      <c r="I481" s="65" t="str">
        <f t="shared" si="37"/>
        <v/>
      </c>
      <c r="J481" s="59" t="str">
        <f t="shared" si="40"/>
        <v/>
      </c>
    </row>
    <row r="482" spans="4:10" ht="22.5" customHeight="1" x14ac:dyDescent="0.25">
      <c r="D482" s="59" t="str">
        <f t="shared" si="36"/>
        <v/>
      </c>
      <c r="E482" s="59" t="str">
        <f t="shared" si="38"/>
        <v/>
      </c>
      <c r="F482" s="59" t="str">
        <f t="shared" si="39"/>
        <v/>
      </c>
      <c r="G482" s="59" t="str">
        <f>IF($A482="","",
   SUMIFS(Transactions!$P:$P,
          Transactions!$G:$G,$A482,
          Transactions!$C:$C,"IN",
          Transactions!$Q:$Q,"Paid"))</f>
        <v/>
      </c>
      <c r="H482" s="59" t="str">
        <f>IF($A482="","",
   SUMIFS(Transactions!$P:$P,
          Transactions!$G:$G,$A482,
          Transactions!$C:$C,"OUT"))</f>
        <v/>
      </c>
      <c r="I482" s="65" t="str">
        <f t="shared" si="37"/>
        <v/>
      </c>
      <c r="J482" s="59" t="str">
        <f t="shared" si="40"/>
        <v/>
      </c>
    </row>
    <row r="483" spans="4:10" ht="22.5" customHeight="1" x14ac:dyDescent="0.25">
      <c r="D483" s="59" t="str">
        <f t="shared" si="36"/>
        <v/>
      </c>
      <c r="E483" s="59" t="str">
        <f t="shared" si="38"/>
        <v/>
      </c>
      <c r="F483" s="59" t="str">
        <f t="shared" si="39"/>
        <v/>
      </c>
      <c r="G483" s="59" t="str">
        <f>IF($A483="","",
   SUMIFS(Transactions!$P:$P,
          Transactions!$G:$G,$A483,
          Transactions!$C:$C,"IN",
          Transactions!$Q:$Q,"Paid"))</f>
        <v/>
      </c>
      <c r="H483" s="59" t="str">
        <f>IF($A483="","",
   SUMIFS(Transactions!$P:$P,
          Transactions!$G:$G,$A483,
          Transactions!$C:$C,"OUT"))</f>
        <v/>
      </c>
      <c r="I483" s="65" t="str">
        <f t="shared" si="37"/>
        <v/>
      </c>
      <c r="J483" s="59" t="str">
        <f t="shared" si="40"/>
        <v/>
      </c>
    </row>
    <row r="484" spans="4:10" ht="22.5" customHeight="1" x14ac:dyDescent="0.25">
      <c r="D484" s="59" t="str">
        <f t="shared" si="36"/>
        <v/>
      </c>
      <c r="E484" s="59" t="str">
        <f t="shared" si="38"/>
        <v/>
      </c>
      <c r="F484" s="59" t="str">
        <f t="shared" si="39"/>
        <v/>
      </c>
      <c r="G484" s="59" t="str">
        <f>IF($A484="","",
   SUMIFS(Transactions!$P:$P,
          Transactions!$G:$G,$A484,
          Transactions!$C:$C,"IN",
          Transactions!$Q:$Q,"Paid"))</f>
        <v/>
      </c>
      <c r="H484" s="59" t="str">
        <f>IF($A484="","",
   SUMIFS(Transactions!$P:$P,
          Transactions!$G:$G,$A484,
          Transactions!$C:$C,"OUT"))</f>
        <v/>
      </c>
      <c r="I484" s="65" t="str">
        <f t="shared" si="37"/>
        <v/>
      </c>
      <c r="J484" s="59" t="str">
        <f t="shared" si="40"/>
        <v/>
      </c>
    </row>
    <row r="485" spans="4:10" ht="22.5" customHeight="1" x14ac:dyDescent="0.25">
      <c r="D485" s="59" t="str">
        <f t="shared" si="36"/>
        <v/>
      </c>
      <c r="E485" s="59" t="str">
        <f t="shared" si="38"/>
        <v/>
      </c>
      <c r="F485" s="59" t="str">
        <f t="shared" si="39"/>
        <v/>
      </c>
      <c r="G485" s="59" t="str">
        <f>IF($A485="","",
   SUMIFS(Transactions!$P:$P,
          Transactions!$G:$G,$A485,
          Transactions!$C:$C,"IN",
          Transactions!$Q:$Q,"Paid"))</f>
        <v/>
      </c>
      <c r="H485" s="59" t="str">
        <f>IF($A485="","",
   SUMIFS(Transactions!$P:$P,
          Transactions!$G:$G,$A485,
          Transactions!$C:$C,"OUT"))</f>
        <v/>
      </c>
      <c r="I485" s="65" t="str">
        <f t="shared" si="37"/>
        <v/>
      </c>
      <c r="J485" s="59" t="str">
        <f t="shared" si="40"/>
        <v/>
      </c>
    </row>
    <row r="486" spans="4:10" ht="22.5" customHeight="1" x14ac:dyDescent="0.25">
      <c r="D486" s="59" t="str">
        <f t="shared" si="36"/>
        <v/>
      </c>
      <c r="E486" s="59" t="str">
        <f t="shared" si="38"/>
        <v/>
      </c>
      <c r="F486" s="59" t="str">
        <f t="shared" si="39"/>
        <v/>
      </c>
      <c r="G486" s="59" t="str">
        <f>IF($A486="","",
   SUMIFS(Transactions!$P:$P,
          Transactions!$G:$G,$A486,
          Transactions!$C:$C,"IN",
          Transactions!$Q:$Q,"Paid"))</f>
        <v/>
      </c>
      <c r="H486" s="59" t="str">
        <f>IF($A486="","",
   SUMIFS(Transactions!$P:$P,
          Transactions!$G:$G,$A486,
          Transactions!$C:$C,"OUT"))</f>
        <v/>
      </c>
      <c r="I486" s="65" t="str">
        <f t="shared" si="37"/>
        <v/>
      </c>
      <c r="J486" s="59" t="str">
        <f t="shared" si="40"/>
        <v/>
      </c>
    </row>
    <row r="487" spans="4:10" ht="22.5" customHeight="1" x14ac:dyDescent="0.25">
      <c r="D487" s="59" t="str">
        <f t="shared" si="36"/>
        <v/>
      </c>
      <c r="E487" s="59" t="str">
        <f t="shared" si="38"/>
        <v/>
      </c>
      <c r="F487" s="59" t="str">
        <f t="shared" si="39"/>
        <v/>
      </c>
      <c r="G487" s="59" t="str">
        <f>IF($A487="","",
   SUMIFS(Transactions!$P:$P,
          Transactions!$G:$G,$A487,
          Transactions!$C:$C,"IN",
          Transactions!$Q:$Q,"Paid"))</f>
        <v/>
      </c>
      <c r="H487" s="59" t="str">
        <f>IF($A487="","",
   SUMIFS(Transactions!$P:$P,
          Transactions!$G:$G,$A487,
          Transactions!$C:$C,"OUT"))</f>
        <v/>
      </c>
      <c r="I487" s="65" t="str">
        <f t="shared" si="37"/>
        <v/>
      </c>
      <c r="J487" s="59" t="str">
        <f t="shared" si="40"/>
        <v/>
      </c>
    </row>
    <row r="488" spans="4:10" ht="22.5" customHeight="1" x14ac:dyDescent="0.25">
      <c r="D488" s="59" t="str">
        <f t="shared" si="36"/>
        <v/>
      </c>
      <c r="E488" s="59" t="str">
        <f t="shared" si="38"/>
        <v/>
      </c>
      <c r="F488" s="59" t="str">
        <f t="shared" si="39"/>
        <v/>
      </c>
      <c r="G488" s="59" t="str">
        <f>IF($A488="","",
   SUMIFS(Transactions!$P:$P,
          Transactions!$G:$G,$A488,
          Transactions!$C:$C,"IN",
          Transactions!$Q:$Q,"Paid"))</f>
        <v/>
      </c>
      <c r="H488" s="59" t="str">
        <f>IF($A488="","",
   SUMIFS(Transactions!$P:$P,
          Transactions!$G:$G,$A488,
          Transactions!$C:$C,"OUT"))</f>
        <v/>
      </c>
      <c r="I488" s="65" t="str">
        <f t="shared" si="37"/>
        <v/>
      </c>
      <c r="J488" s="59" t="str">
        <f t="shared" si="40"/>
        <v/>
      </c>
    </row>
    <row r="489" spans="4:10" ht="22.5" customHeight="1" x14ac:dyDescent="0.25">
      <c r="D489" s="59" t="str">
        <f t="shared" si="36"/>
        <v/>
      </c>
      <c r="E489" s="59" t="str">
        <f t="shared" si="38"/>
        <v/>
      </c>
      <c r="F489" s="59" t="str">
        <f t="shared" si="39"/>
        <v/>
      </c>
      <c r="G489" s="59" t="str">
        <f>IF($A489="","",
   SUMIFS(Transactions!$P:$P,
          Transactions!$G:$G,$A489,
          Transactions!$C:$C,"IN",
          Transactions!$Q:$Q,"Paid"))</f>
        <v/>
      </c>
      <c r="H489" s="59" t="str">
        <f>IF($A489="","",
   SUMIFS(Transactions!$P:$P,
          Transactions!$G:$G,$A489,
          Transactions!$C:$C,"OUT"))</f>
        <v/>
      </c>
      <c r="I489" s="65" t="str">
        <f t="shared" si="37"/>
        <v/>
      </c>
      <c r="J489" s="59" t="str">
        <f t="shared" si="40"/>
        <v/>
      </c>
    </row>
    <row r="490" spans="4:10" ht="22.5" customHeight="1" x14ac:dyDescent="0.25">
      <c r="D490" s="59" t="str">
        <f t="shared" si="36"/>
        <v/>
      </c>
      <c r="E490" s="59" t="str">
        <f t="shared" si="38"/>
        <v/>
      </c>
      <c r="F490" s="59" t="str">
        <f t="shared" si="39"/>
        <v/>
      </c>
      <c r="G490" s="59" t="str">
        <f>IF($A490="","",
   SUMIFS(Transactions!$P:$P,
          Transactions!$G:$G,$A490,
          Transactions!$C:$C,"IN",
          Transactions!$Q:$Q,"Paid"))</f>
        <v/>
      </c>
      <c r="H490" s="59" t="str">
        <f>IF($A490="","",
   SUMIFS(Transactions!$P:$P,
          Transactions!$G:$G,$A490,
          Transactions!$C:$C,"OUT"))</f>
        <v/>
      </c>
      <c r="I490" s="65" t="str">
        <f t="shared" si="37"/>
        <v/>
      </c>
      <c r="J490" s="59" t="str">
        <f t="shared" si="40"/>
        <v/>
      </c>
    </row>
    <row r="491" spans="4:10" ht="22.5" customHeight="1" x14ac:dyDescent="0.25">
      <c r="D491" s="59" t="str">
        <f t="shared" si="36"/>
        <v/>
      </c>
      <c r="E491" s="59" t="str">
        <f t="shared" si="38"/>
        <v/>
      </c>
      <c r="F491" s="59" t="str">
        <f t="shared" si="39"/>
        <v/>
      </c>
      <c r="G491" s="59" t="str">
        <f>IF($A491="","",
   SUMIFS(Transactions!$P:$P,
          Transactions!$G:$G,$A491,
          Transactions!$C:$C,"IN",
          Transactions!$Q:$Q,"Paid"))</f>
        <v/>
      </c>
      <c r="H491" s="59" t="str">
        <f>IF($A491="","",
   SUMIFS(Transactions!$P:$P,
          Transactions!$G:$G,$A491,
          Transactions!$C:$C,"OUT"))</f>
        <v/>
      </c>
      <c r="I491" s="65" t="str">
        <f t="shared" si="37"/>
        <v/>
      </c>
      <c r="J491" s="59" t="str">
        <f t="shared" si="40"/>
        <v/>
      </c>
    </row>
    <row r="492" spans="4:10" ht="22.5" customHeight="1" x14ac:dyDescent="0.25">
      <c r="D492" s="59" t="str">
        <f t="shared" si="36"/>
        <v/>
      </c>
      <c r="E492" s="59" t="str">
        <f t="shared" si="38"/>
        <v/>
      </c>
      <c r="F492" s="59" t="str">
        <f t="shared" si="39"/>
        <v/>
      </c>
      <c r="G492" s="59" t="str">
        <f>IF($A492="","",
   SUMIFS(Transactions!$P:$P,
          Transactions!$G:$G,$A492,
          Transactions!$C:$C,"IN",
          Transactions!$Q:$Q,"Paid"))</f>
        <v/>
      </c>
      <c r="H492" s="59" t="str">
        <f>IF($A492="","",
   SUMIFS(Transactions!$P:$P,
          Transactions!$G:$G,$A492,
          Transactions!$C:$C,"OUT"))</f>
        <v/>
      </c>
      <c r="I492" s="65" t="str">
        <f t="shared" si="37"/>
        <v/>
      </c>
      <c r="J492" s="59" t="str">
        <f t="shared" si="40"/>
        <v/>
      </c>
    </row>
    <row r="493" spans="4:10" ht="22.5" customHeight="1" x14ac:dyDescent="0.25">
      <c r="D493" s="59" t="str">
        <f t="shared" si="36"/>
        <v/>
      </c>
      <c r="E493" s="59" t="str">
        <f t="shared" si="38"/>
        <v/>
      </c>
      <c r="F493" s="59" t="str">
        <f t="shared" si="39"/>
        <v/>
      </c>
      <c r="G493" s="59" t="str">
        <f>IF($A493="","",
   SUMIFS(Transactions!$P:$P,
          Transactions!$G:$G,$A493,
          Transactions!$C:$C,"IN",
          Transactions!$Q:$Q,"Paid"))</f>
        <v/>
      </c>
      <c r="H493" s="59" t="str">
        <f>IF($A493="","",
   SUMIFS(Transactions!$P:$P,
          Transactions!$G:$G,$A493,
          Transactions!$C:$C,"OUT"))</f>
        <v/>
      </c>
      <c r="I493" s="65" t="str">
        <f t="shared" si="37"/>
        <v/>
      </c>
      <c r="J493" s="59" t="str">
        <f t="shared" si="40"/>
        <v/>
      </c>
    </row>
    <row r="494" spans="4:10" ht="22.5" customHeight="1" x14ac:dyDescent="0.25">
      <c r="D494" s="59" t="str">
        <f t="shared" si="36"/>
        <v/>
      </c>
      <c r="E494" s="59" t="str">
        <f t="shared" si="38"/>
        <v/>
      </c>
      <c r="F494" s="59" t="str">
        <f t="shared" si="39"/>
        <v/>
      </c>
      <c r="G494" s="59" t="str">
        <f>IF($A494="","",
   SUMIFS(Transactions!$P:$P,
          Transactions!$G:$G,$A494,
          Transactions!$C:$C,"IN",
          Transactions!$Q:$Q,"Paid"))</f>
        <v/>
      </c>
      <c r="H494" s="59" t="str">
        <f>IF($A494="","",
   SUMIFS(Transactions!$P:$P,
          Transactions!$G:$G,$A494,
          Transactions!$C:$C,"OUT"))</f>
        <v/>
      </c>
      <c r="I494" s="65" t="str">
        <f t="shared" si="37"/>
        <v/>
      </c>
      <c r="J494" s="59" t="str">
        <f t="shared" si="40"/>
        <v/>
      </c>
    </row>
    <row r="495" spans="4:10" ht="22.5" customHeight="1" x14ac:dyDescent="0.25">
      <c r="D495" s="59" t="str">
        <f t="shared" si="36"/>
        <v/>
      </c>
      <c r="E495" s="59" t="str">
        <f t="shared" si="38"/>
        <v/>
      </c>
      <c r="F495" s="59" t="str">
        <f t="shared" si="39"/>
        <v/>
      </c>
      <c r="G495" s="59" t="str">
        <f>IF($A495="","",
   SUMIFS(Transactions!$P:$P,
          Transactions!$G:$G,$A495,
          Transactions!$C:$C,"IN",
          Transactions!$Q:$Q,"Paid"))</f>
        <v/>
      </c>
      <c r="H495" s="59" t="str">
        <f>IF($A495="","",
   SUMIFS(Transactions!$P:$P,
          Transactions!$G:$G,$A495,
          Transactions!$C:$C,"OUT"))</f>
        <v/>
      </c>
      <c r="I495" s="65" t="str">
        <f t="shared" si="37"/>
        <v/>
      </c>
      <c r="J495" s="59" t="str">
        <f t="shared" si="40"/>
        <v/>
      </c>
    </row>
    <row r="496" spans="4:10" ht="22.5" customHeight="1" x14ac:dyDescent="0.25">
      <c r="D496" s="59" t="str">
        <f t="shared" si="36"/>
        <v/>
      </c>
      <c r="E496" s="59" t="str">
        <f t="shared" si="38"/>
        <v/>
      </c>
      <c r="F496" s="59" t="str">
        <f t="shared" si="39"/>
        <v/>
      </c>
      <c r="G496" s="59" t="str">
        <f>IF($A496="","",
   SUMIFS(Transactions!$P:$P,
          Transactions!$G:$G,$A496,
          Transactions!$C:$C,"IN",
          Transactions!$Q:$Q,"Paid"))</f>
        <v/>
      </c>
      <c r="H496" s="59" t="str">
        <f>IF($A496="","",
   SUMIFS(Transactions!$P:$P,
          Transactions!$G:$G,$A496,
          Transactions!$C:$C,"OUT"))</f>
        <v/>
      </c>
      <c r="I496" s="65" t="str">
        <f t="shared" si="37"/>
        <v/>
      </c>
      <c r="J496" s="59" t="str">
        <f t="shared" si="40"/>
        <v/>
      </c>
    </row>
    <row r="497" spans="4:10" ht="22.5" customHeight="1" x14ac:dyDescent="0.25">
      <c r="D497" s="59" t="str">
        <f t="shared" si="36"/>
        <v/>
      </c>
      <c r="E497" s="59" t="str">
        <f t="shared" si="38"/>
        <v/>
      </c>
      <c r="F497" s="59" t="str">
        <f t="shared" si="39"/>
        <v/>
      </c>
      <c r="G497" s="59" t="str">
        <f>IF($A497="","",
   SUMIFS(Transactions!$P:$P,
          Transactions!$G:$G,$A497,
          Transactions!$C:$C,"IN",
          Transactions!$Q:$Q,"Paid"))</f>
        <v/>
      </c>
      <c r="H497" s="59" t="str">
        <f>IF($A497="","",
   SUMIFS(Transactions!$P:$P,
          Transactions!$G:$G,$A497,
          Transactions!$C:$C,"OUT"))</f>
        <v/>
      </c>
      <c r="I497" s="65" t="str">
        <f t="shared" si="37"/>
        <v/>
      </c>
      <c r="J497" s="59" t="str">
        <f t="shared" si="40"/>
        <v/>
      </c>
    </row>
    <row r="498" spans="4:10" ht="22.5" customHeight="1" x14ac:dyDescent="0.25">
      <c r="D498" s="59" t="str">
        <f t="shared" si="36"/>
        <v/>
      </c>
      <c r="E498" s="59" t="str">
        <f t="shared" si="38"/>
        <v/>
      </c>
      <c r="F498" s="59" t="str">
        <f t="shared" si="39"/>
        <v/>
      </c>
      <c r="G498" s="59" t="str">
        <f>IF($A498="","",
   SUMIFS(Transactions!$P:$P,
          Transactions!$G:$G,$A498,
          Transactions!$C:$C,"IN",
          Transactions!$Q:$Q,"Paid"))</f>
        <v/>
      </c>
      <c r="H498" s="59" t="str">
        <f>IF($A498="","",
   SUMIFS(Transactions!$P:$P,
          Transactions!$G:$G,$A498,
          Transactions!$C:$C,"OUT"))</f>
        <v/>
      </c>
      <c r="I498" s="65" t="str">
        <f t="shared" si="37"/>
        <v/>
      </c>
      <c r="J498" s="59" t="str">
        <f t="shared" si="40"/>
        <v/>
      </c>
    </row>
    <row r="499" spans="4:10" ht="22.5" customHeight="1" x14ac:dyDescent="0.25">
      <c r="D499" s="59" t="str">
        <f t="shared" si="36"/>
        <v/>
      </c>
      <c r="E499" s="59" t="str">
        <f t="shared" si="38"/>
        <v/>
      </c>
      <c r="F499" s="59" t="str">
        <f t="shared" si="39"/>
        <v/>
      </c>
      <c r="G499" s="59" t="str">
        <f>IF($A499="","",
   SUMIFS(Transactions!$P:$P,
          Transactions!$G:$G,$A499,
          Transactions!$C:$C,"IN",
          Transactions!$Q:$Q,"Paid"))</f>
        <v/>
      </c>
      <c r="H499" s="59" t="str">
        <f>IF($A499="","",
   SUMIFS(Transactions!$P:$P,
          Transactions!$G:$G,$A499,
          Transactions!$C:$C,"OUT"))</f>
        <v/>
      </c>
      <c r="I499" s="65" t="str">
        <f t="shared" si="37"/>
        <v/>
      </c>
      <c r="J499" s="59" t="str">
        <f t="shared" si="40"/>
        <v/>
      </c>
    </row>
    <row r="500" spans="4:10" ht="22.5" customHeight="1" x14ac:dyDescent="0.25">
      <c r="D500" s="59" t="str">
        <f t="shared" si="36"/>
        <v/>
      </c>
      <c r="E500" s="59" t="str">
        <f t="shared" si="38"/>
        <v/>
      </c>
      <c r="F500" s="59" t="str">
        <f t="shared" si="39"/>
        <v/>
      </c>
      <c r="G500" s="59" t="str">
        <f>IF($A500="","",
   SUMIFS(Transactions!$P:$P,
          Transactions!$G:$G,$A500,
          Transactions!$C:$C,"IN",
          Transactions!$Q:$Q,"Paid"))</f>
        <v/>
      </c>
      <c r="H500" s="59" t="str">
        <f>IF($A500="","",
   SUMIFS(Transactions!$P:$P,
          Transactions!$G:$G,$A500,
          Transactions!$C:$C,"OUT"))</f>
        <v/>
      </c>
      <c r="I500" s="65" t="str">
        <f t="shared" si="37"/>
        <v/>
      </c>
      <c r="J500" s="59" t="str">
        <f t="shared" si="40"/>
        <v/>
      </c>
    </row>
    <row r="501" spans="4:10" ht="22.5" customHeight="1" x14ac:dyDescent="0.25">
      <c r="D501" s="59" t="str">
        <f t="shared" si="36"/>
        <v/>
      </c>
      <c r="E501" s="59" t="str">
        <f t="shared" si="38"/>
        <v/>
      </c>
      <c r="F501" s="59" t="str">
        <f t="shared" si="39"/>
        <v/>
      </c>
      <c r="G501" s="59" t="str">
        <f>IF($A501="","",
   SUMIFS(Transactions!$P:$P,
          Transactions!$G:$G,$A501,
          Transactions!$C:$C,"IN",
          Transactions!$Q:$Q,"Paid"))</f>
        <v/>
      </c>
      <c r="H501" s="59" t="str">
        <f>IF($A501="","",
   SUMIFS(Transactions!$P:$P,
          Transactions!$G:$G,$A501,
          Transactions!$C:$C,"OUT"))</f>
        <v/>
      </c>
      <c r="I501" s="65" t="str">
        <f t="shared" si="37"/>
        <v/>
      </c>
      <c r="J501" s="59" t="str">
        <f t="shared" si="40"/>
        <v/>
      </c>
    </row>
    <row r="502" spans="4:10" ht="22.5" customHeight="1" x14ac:dyDescent="0.25">
      <c r="D502" s="59" t="str">
        <f t="shared" si="36"/>
        <v/>
      </c>
      <c r="E502" s="59" t="str">
        <f t="shared" si="38"/>
        <v/>
      </c>
      <c r="F502" s="59" t="str">
        <f t="shared" si="39"/>
        <v/>
      </c>
      <c r="G502" s="59" t="str">
        <f>IF($A502="","",
   SUMIFS(Transactions!$P:$P,
          Transactions!$G:$G,$A502,
          Transactions!$C:$C,"IN",
          Transactions!$Q:$Q,"Paid"))</f>
        <v/>
      </c>
      <c r="H502" s="59" t="str">
        <f>IF($A502="","",
   SUMIFS(Transactions!$P:$P,
          Transactions!$G:$G,$A502,
          Transactions!$C:$C,"OUT"))</f>
        <v/>
      </c>
      <c r="I502" s="65" t="str">
        <f t="shared" si="37"/>
        <v/>
      </c>
      <c r="J502" s="59" t="str">
        <f t="shared" si="40"/>
        <v/>
      </c>
    </row>
    <row r="503" spans="4:10" ht="22.5" customHeight="1" x14ac:dyDescent="0.25">
      <c r="D503" s="59" t="str">
        <f t="shared" si="36"/>
        <v/>
      </c>
      <c r="E503" s="59" t="str">
        <f t="shared" si="38"/>
        <v/>
      </c>
      <c r="F503" s="59" t="str">
        <f t="shared" si="39"/>
        <v/>
      </c>
      <c r="G503" s="59" t="str">
        <f>IF($A503="","",
   SUMIFS(Transactions!$P:$P,
          Transactions!$G:$G,$A503,
          Transactions!$C:$C,"IN",
          Transactions!$Q:$Q,"Paid"))</f>
        <v/>
      </c>
      <c r="H503" s="59" t="str">
        <f>IF($A503="","",
   SUMIFS(Transactions!$P:$P,
          Transactions!$G:$G,$A503,
          Transactions!$C:$C,"OUT"))</f>
        <v/>
      </c>
      <c r="I503" s="65" t="str">
        <f t="shared" si="37"/>
        <v/>
      </c>
      <c r="J503" s="59" t="str">
        <f t="shared" si="40"/>
        <v/>
      </c>
    </row>
    <row r="504" spans="4:10" ht="22.5" customHeight="1" x14ac:dyDescent="0.25">
      <c r="D504" s="59" t="str">
        <f t="shared" si="36"/>
        <v/>
      </c>
      <c r="E504" s="59" t="str">
        <f t="shared" si="38"/>
        <v/>
      </c>
      <c r="F504" s="59" t="str">
        <f t="shared" si="39"/>
        <v/>
      </c>
      <c r="G504" s="59" t="str">
        <f>IF($A504="","",
   SUMIFS(Transactions!$P:$P,
          Transactions!$G:$G,$A504,
          Transactions!$C:$C,"IN",
          Transactions!$Q:$Q,"Paid"))</f>
        <v/>
      </c>
      <c r="H504" s="59" t="str">
        <f>IF($A504="","",
   SUMIFS(Transactions!$P:$P,
          Transactions!$G:$G,$A504,
          Transactions!$C:$C,"OUT"))</f>
        <v/>
      </c>
      <c r="I504" s="65" t="str">
        <f t="shared" si="37"/>
        <v/>
      </c>
      <c r="J504" s="59" t="str">
        <f t="shared" si="40"/>
        <v/>
      </c>
    </row>
    <row r="505" spans="4:10" ht="22.5" customHeight="1" x14ac:dyDescent="0.25">
      <c r="D505" s="59" t="str">
        <f t="shared" si="36"/>
        <v/>
      </c>
      <c r="E505" s="59" t="str">
        <f t="shared" si="38"/>
        <v/>
      </c>
      <c r="F505" s="59" t="str">
        <f t="shared" si="39"/>
        <v/>
      </c>
      <c r="G505" s="59" t="str">
        <f>IF($A505="","",
   SUMIFS(Transactions!$P:$P,
          Transactions!$G:$G,$A505,
          Transactions!$C:$C,"IN",
          Transactions!$Q:$Q,"Paid"))</f>
        <v/>
      </c>
      <c r="H505" s="59" t="str">
        <f>IF($A505="","",
   SUMIFS(Transactions!$P:$P,
          Transactions!$G:$G,$A505,
          Transactions!$C:$C,"OUT"))</f>
        <v/>
      </c>
      <c r="I505" s="65" t="str">
        <f t="shared" si="37"/>
        <v/>
      </c>
      <c r="J505" s="59" t="str">
        <f t="shared" si="40"/>
        <v/>
      </c>
    </row>
    <row r="506" spans="4:10" ht="22.5" customHeight="1" x14ac:dyDescent="0.25">
      <c r="D506" s="59" t="str">
        <f t="shared" si="36"/>
        <v/>
      </c>
      <c r="E506" s="59" t="str">
        <f t="shared" si="38"/>
        <v/>
      </c>
      <c r="F506" s="59" t="str">
        <f t="shared" si="39"/>
        <v/>
      </c>
      <c r="G506" s="59" t="str">
        <f>IF($A506="","",
   SUMIFS(Transactions!$P:$P,
          Transactions!$G:$G,$A506,
          Transactions!$C:$C,"IN",
          Transactions!$Q:$Q,"Paid"))</f>
        <v/>
      </c>
      <c r="H506" s="59" t="str">
        <f>IF($A506="","",
   SUMIFS(Transactions!$P:$P,
          Transactions!$G:$G,$A506,
          Transactions!$C:$C,"OUT"))</f>
        <v/>
      </c>
      <c r="I506" s="65" t="str">
        <f t="shared" si="37"/>
        <v/>
      </c>
      <c r="J506" s="59" t="str">
        <f t="shared" si="40"/>
        <v/>
      </c>
    </row>
    <row r="507" spans="4:10" ht="22.5" customHeight="1" x14ac:dyDescent="0.25">
      <c r="D507" s="59" t="str">
        <f t="shared" si="36"/>
        <v/>
      </c>
      <c r="E507" s="59" t="str">
        <f t="shared" si="38"/>
        <v/>
      </c>
      <c r="F507" s="59" t="str">
        <f t="shared" si="39"/>
        <v/>
      </c>
      <c r="G507" s="59" t="str">
        <f>IF($A507="","",
   SUMIFS(Transactions!$P:$P,
          Transactions!$G:$G,$A507,
          Transactions!$C:$C,"IN",
          Transactions!$Q:$Q,"Paid"))</f>
        <v/>
      </c>
      <c r="H507" s="59" t="str">
        <f>IF($A507="","",
   SUMIFS(Transactions!$P:$P,
          Transactions!$G:$G,$A507,
          Transactions!$C:$C,"OUT"))</f>
        <v/>
      </c>
      <c r="I507" s="65" t="str">
        <f t="shared" si="37"/>
        <v/>
      </c>
      <c r="J507" s="59" t="str">
        <f t="shared" si="40"/>
        <v/>
      </c>
    </row>
    <row r="508" spans="4:10" ht="22.5" customHeight="1" x14ac:dyDescent="0.25">
      <c r="D508" s="59" t="str">
        <f t="shared" si="36"/>
        <v/>
      </c>
      <c r="E508" s="59" t="str">
        <f t="shared" si="38"/>
        <v/>
      </c>
      <c r="F508" s="59" t="str">
        <f t="shared" si="39"/>
        <v/>
      </c>
      <c r="G508" s="59" t="str">
        <f>IF($A508="","",
   SUMIFS(Transactions!$P:$P,
          Transactions!$G:$G,$A508,
          Transactions!$C:$C,"IN",
          Transactions!$Q:$Q,"Paid"))</f>
        <v/>
      </c>
      <c r="H508" s="59" t="str">
        <f>IF($A508="","",
   SUMIFS(Transactions!$P:$P,
          Transactions!$G:$G,$A508,
          Transactions!$C:$C,"OUT"))</f>
        <v/>
      </c>
      <c r="I508" s="65" t="str">
        <f t="shared" si="37"/>
        <v/>
      </c>
      <c r="J508" s="59" t="str">
        <f t="shared" si="40"/>
        <v/>
      </c>
    </row>
    <row r="509" spans="4:10" ht="22.5" customHeight="1" x14ac:dyDescent="0.25">
      <c r="D509" s="59" t="str">
        <f t="shared" si="36"/>
        <v/>
      </c>
      <c r="E509" s="59" t="str">
        <f t="shared" si="38"/>
        <v/>
      </c>
      <c r="F509" s="59" t="str">
        <f t="shared" si="39"/>
        <v/>
      </c>
      <c r="G509" s="59" t="str">
        <f>IF($A509="","",
   SUMIFS(Transactions!$P:$P,
          Transactions!$G:$G,$A509,
          Transactions!$C:$C,"IN",
          Transactions!$Q:$Q,"Paid"))</f>
        <v/>
      </c>
      <c r="H509" s="59" t="str">
        <f>IF($A509="","",
   SUMIFS(Transactions!$P:$P,
          Transactions!$G:$G,$A509,
          Transactions!$C:$C,"OUT"))</f>
        <v/>
      </c>
      <c r="I509" s="65" t="str">
        <f t="shared" si="37"/>
        <v/>
      </c>
      <c r="J509" s="59" t="str">
        <f t="shared" si="40"/>
        <v/>
      </c>
    </row>
    <row r="510" spans="4:10" ht="22.5" customHeight="1" x14ac:dyDescent="0.25">
      <c r="D510" s="59" t="str">
        <f t="shared" si="36"/>
        <v/>
      </c>
      <c r="E510" s="59" t="str">
        <f t="shared" si="38"/>
        <v/>
      </c>
      <c r="F510" s="59" t="str">
        <f t="shared" si="39"/>
        <v/>
      </c>
      <c r="G510" s="59" t="str">
        <f>IF($A510="","",
   SUMIFS(Transactions!$P:$P,
          Transactions!$G:$G,$A510,
          Transactions!$C:$C,"IN",
          Transactions!$Q:$Q,"Paid"))</f>
        <v/>
      </c>
      <c r="H510" s="59" t="str">
        <f>IF($A510="","",
   SUMIFS(Transactions!$P:$P,
          Transactions!$G:$G,$A510,
          Transactions!$C:$C,"OUT"))</f>
        <v/>
      </c>
      <c r="I510" s="65" t="str">
        <f t="shared" si="37"/>
        <v/>
      </c>
      <c r="J510" s="59" t="str">
        <f t="shared" si="40"/>
        <v/>
      </c>
    </row>
    <row r="511" spans="4:10" ht="22.5" customHeight="1" x14ac:dyDescent="0.25">
      <c r="D511" s="59" t="str">
        <f t="shared" si="36"/>
        <v/>
      </c>
      <c r="E511" s="59" t="str">
        <f t="shared" si="38"/>
        <v/>
      </c>
      <c r="F511" s="59" t="str">
        <f t="shared" si="39"/>
        <v/>
      </c>
      <c r="G511" s="59" t="str">
        <f>IF($A511="","",
   SUMIFS(Transactions!$P:$P,
          Transactions!$G:$G,$A511,
          Transactions!$C:$C,"IN",
          Transactions!$Q:$Q,"Paid"))</f>
        <v/>
      </c>
      <c r="H511" s="59" t="str">
        <f>IF($A511="","",
   SUMIFS(Transactions!$P:$P,
          Transactions!$G:$G,$A511,
          Transactions!$C:$C,"OUT"))</f>
        <v/>
      </c>
      <c r="I511" s="65" t="str">
        <f t="shared" si="37"/>
        <v/>
      </c>
      <c r="J511" s="59" t="str">
        <f t="shared" si="40"/>
        <v/>
      </c>
    </row>
    <row r="512" spans="4:10" ht="22.5" customHeight="1" x14ac:dyDescent="0.25">
      <c r="D512" s="59" t="str">
        <f t="shared" si="36"/>
        <v/>
      </c>
      <c r="E512" s="59" t="str">
        <f t="shared" si="38"/>
        <v/>
      </c>
      <c r="F512" s="59" t="str">
        <f t="shared" si="39"/>
        <v/>
      </c>
      <c r="G512" s="59" t="str">
        <f>IF($A512="","",
   SUMIFS(Transactions!$P:$P,
          Transactions!$G:$G,$A512,
          Transactions!$C:$C,"IN",
          Transactions!$Q:$Q,"Paid"))</f>
        <v/>
      </c>
      <c r="H512" s="59" t="str">
        <f>IF($A512="","",
   SUMIFS(Transactions!$P:$P,
          Transactions!$G:$G,$A512,
          Transactions!$C:$C,"OUT"))</f>
        <v/>
      </c>
      <c r="I512" s="65" t="str">
        <f t="shared" si="37"/>
        <v/>
      </c>
      <c r="J512" s="59" t="str">
        <f t="shared" si="40"/>
        <v/>
      </c>
    </row>
    <row r="513" spans="4:10" ht="22.5" customHeight="1" x14ac:dyDescent="0.25">
      <c r="D513" s="59" t="str">
        <f t="shared" si="36"/>
        <v/>
      </c>
      <c r="E513" s="59" t="str">
        <f t="shared" si="38"/>
        <v/>
      </c>
      <c r="F513" s="59" t="str">
        <f t="shared" si="39"/>
        <v/>
      </c>
      <c r="G513" s="59" t="str">
        <f>IF($A513="","",
   SUMIFS(Transactions!$P:$P,
          Transactions!$G:$G,$A513,
          Transactions!$C:$C,"IN",
          Transactions!$Q:$Q,"Paid"))</f>
        <v/>
      </c>
      <c r="H513" s="59" t="str">
        <f>IF($A513="","",
   SUMIFS(Transactions!$P:$P,
          Transactions!$G:$G,$A513,
          Transactions!$C:$C,"OUT"))</f>
        <v/>
      </c>
      <c r="I513" s="65" t="str">
        <f t="shared" si="37"/>
        <v/>
      </c>
      <c r="J513" s="59" t="str">
        <f t="shared" si="40"/>
        <v/>
      </c>
    </row>
    <row r="514" spans="4:10" ht="22.5" customHeight="1" x14ac:dyDescent="0.25">
      <c r="D514" s="59" t="str">
        <f t="shared" si="36"/>
        <v/>
      </c>
      <c r="E514" s="59" t="str">
        <f t="shared" si="38"/>
        <v/>
      </c>
      <c r="F514" s="59" t="str">
        <f t="shared" si="39"/>
        <v/>
      </c>
      <c r="G514" s="59" t="str">
        <f>IF($A514="","",
   SUMIFS(Transactions!$P:$P,
          Transactions!$G:$G,$A514,
          Transactions!$C:$C,"IN",
          Transactions!$Q:$Q,"Paid"))</f>
        <v/>
      </c>
      <c r="H514" s="59" t="str">
        <f>IF($A514="","",
   SUMIFS(Transactions!$P:$P,
          Transactions!$G:$G,$A514,
          Transactions!$C:$C,"OUT"))</f>
        <v/>
      </c>
      <c r="I514" s="65" t="str">
        <f t="shared" si="37"/>
        <v/>
      </c>
      <c r="J514" s="59" t="str">
        <f t="shared" si="40"/>
        <v/>
      </c>
    </row>
    <row r="515" spans="4:10" ht="22.5" customHeight="1" x14ac:dyDescent="0.25">
      <c r="D515" s="59" t="str">
        <f t="shared" ref="D515:D578" si="41">IF(C515="","",ROUND(C515*0.15,2))</f>
        <v/>
      </c>
      <c r="E515" s="59" t="str">
        <f t="shared" si="38"/>
        <v/>
      </c>
      <c r="F515" s="59" t="str">
        <f t="shared" si="39"/>
        <v/>
      </c>
      <c r="G515" s="59" t="str">
        <f>IF($A515="","",
   SUMIFS(Transactions!$P:$P,
          Transactions!$G:$G,$A515,
          Transactions!$C:$C,"IN",
          Transactions!$Q:$Q,"Paid"))</f>
        <v/>
      </c>
      <c r="H515" s="59" t="str">
        <f>IF($A515="","",
   SUMIFS(Transactions!$P:$P,
          Transactions!$G:$G,$A515,
          Transactions!$C:$C,"OUT"))</f>
        <v/>
      </c>
      <c r="I515" s="65" t="str">
        <f t="shared" ref="I515:I578" si="42">IF(C515="","",C515-H515)</f>
        <v/>
      </c>
      <c r="J515" s="59" t="str">
        <f t="shared" si="40"/>
        <v/>
      </c>
    </row>
    <row r="516" spans="4:10" ht="22.5" customHeight="1" x14ac:dyDescent="0.25">
      <c r="D516" s="59" t="str">
        <f t="shared" si="41"/>
        <v/>
      </c>
      <c r="E516" s="59" t="str">
        <f t="shared" ref="E516:E579" si="43">IF(C516="","",C516+D516)</f>
        <v/>
      </c>
      <c r="F516" s="59" t="str">
        <f t="shared" ref="F516:F579" si="44">IF(E516="","",E516*0.5)</f>
        <v/>
      </c>
      <c r="G516" s="59" t="str">
        <f>IF($A516="","",
   SUMIFS(Transactions!$P:$P,
          Transactions!$G:$G,$A516,
          Transactions!$C:$C,"IN",
          Transactions!$Q:$Q,"Paid"))</f>
        <v/>
      </c>
      <c r="H516" s="59" t="str">
        <f>IF($A516="","",
   SUMIFS(Transactions!$P:$P,
          Transactions!$G:$G,$A516,
          Transactions!$C:$C,"OUT"))</f>
        <v/>
      </c>
      <c r="I516" s="65" t="str">
        <f t="shared" si="42"/>
        <v/>
      </c>
      <c r="J516" s="59" t="str">
        <f t="shared" ref="J516:J579" si="45">IF(E516="","",E516-G516)</f>
        <v/>
      </c>
    </row>
    <row r="517" spans="4:10" ht="22.5" customHeight="1" x14ac:dyDescent="0.25">
      <c r="D517" s="59" t="str">
        <f t="shared" si="41"/>
        <v/>
      </c>
      <c r="E517" s="59" t="str">
        <f t="shared" si="43"/>
        <v/>
      </c>
      <c r="F517" s="59" t="str">
        <f t="shared" si="44"/>
        <v/>
      </c>
      <c r="G517" s="59" t="str">
        <f>IF($A517="","",
   SUMIFS(Transactions!$P:$P,
          Transactions!$G:$G,$A517,
          Transactions!$C:$C,"IN",
          Transactions!$Q:$Q,"Paid"))</f>
        <v/>
      </c>
      <c r="H517" s="59" t="str">
        <f>IF($A517="","",
   SUMIFS(Transactions!$P:$P,
          Transactions!$G:$G,$A517,
          Transactions!$C:$C,"OUT"))</f>
        <v/>
      </c>
      <c r="I517" s="65" t="str">
        <f t="shared" si="42"/>
        <v/>
      </c>
      <c r="J517" s="59" t="str">
        <f t="shared" si="45"/>
        <v/>
      </c>
    </row>
    <row r="518" spans="4:10" ht="22.5" customHeight="1" x14ac:dyDescent="0.25">
      <c r="D518" s="59" t="str">
        <f t="shared" si="41"/>
        <v/>
      </c>
      <c r="E518" s="59" t="str">
        <f t="shared" si="43"/>
        <v/>
      </c>
      <c r="F518" s="59" t="str">
        <f t="shared" si="44"/>
        <v/>
      </c>
      <c r="G518" s="59" t="str">
        <f>IF($A518="","",
   SUMIFS(Transactions!$P:$P,
          Transactions!$G:$G,$A518,
          Transactions!$C:$C,"IN",
          Transactions!$Q:$Q,"Paid"))</f>
        <v/>
      </c>
      <c r="H518" s="59" t="str">
        <f>IF($A518="","",
   SUMIFS(Transactions!$P:$P,
          Transactions!$G:$G,$A518,
          Transactions!$C:$C,"OUT"))</f>
        <v/>
      </c>
      <c r="I518" s="65" t="str">
        <f t="shared" si="42"/>
        <v/>
      </c>
      <c r="J518" s="59" t="str">
        <f t="shared" si="45"/>
        <v/>
      </c>
    </row>
    <row r="519" spans="4:10" ht="22.5" customHeight="1" x14ac:dyDescent="0.25">
      <c r="D519" s="59" t="str">
        <f t="shared" si="41"/>
        <v/>
      </c>
      <c r="E519" s="59" t="str">
        <f t="shared" si="43"/>
        <v/>
      </c>
      <c r="F519" s="59" t="str">
        <f t="shared" si="44"/>
        <v/>
      </c>
      <c r="G519" s="59" t="str">
        <f>IF($A519="","",
   SUMIFS(Transactions!$P:$P,
          Transactions!$G:$G,$A519,
          Transactions!$C:$C,"IN",
          Transactions!$Q:$Q,"Paid"))</f>
        <v/>
      </c>
      <c r="H519" s="59" t="str">
        <f>IF($A519="","",
   SUMIFS(Transactions!$P:$P,
          Transactions!$G:$G,$A519,
          Transactions!$C:$C,"OUT"))</f>
        <v/>
      </c>
      <c r="I519" s="65" t="str">
        <f t="shared" si="42"/>
        <v/>
      </c>
      <c r="J519" s="59" t="str">
        <f t="shared" si="45"/>
        <v/>
      </c>
    </row>
    <row r="520" spans="4:10" ht="22.5" customHeight="1" x14ac:dyDescent="0.25">
      <c r="D520" s="59" t="str">
        <f t="shared" si="41"/>
        <v/>
      </c>
      <c r="E520" s="59" t="str">
        <f t="shared" si="43"/>
        <v/>
      </c>
      <c r="F520" s="59" t="str">
        <f t="shared" si="44"/>
        <v/>
      </c>
      <c r="G520" s="59" t="str">
        <f>IF($A520="","",
   SUMIFS(Transactions!$P:$P,
          Transactions!$G:$G,$A520,
          Transactions!$C:$C,"IN",
          Transactions!$Q:$Q,"Paid"))</f>
        <v/>
      </c>
      <c r="H520" s="59" t="str">
        <f>IF($A520="","",
   SUMIFS(Transactions!$P:$P,
          Transactions!$G:$G,$A520,
          Transactions!$C:$C,"OUT"))</f>
        <v/>
      </c>
      <c r="I520" s="65" t="str">
        <f t="shared" si="42"/>
        <v/>
      </c>
      <c r="J520" s="59" t="str">
        <f t="shared" si="45"/>
        <v/>
      </c>
    </row>
    <row r="521" spans="4:10" ht="22.5" customHeight="1" x14ac:dyDescent="0.25">
      <c r="D521" s="59" t="str">
        <f t="shared" si="41"/>
        <v/>
      </c>
      <c r="E521" s="59" t="str">
        <f t="shared" si="43"/>
        <v/>
      </c>
      <c r="F521" s="59" t="str">
        <f t="shared" si="44"/>
        <v/>
      </c>
      <c r="G521" s="59" t="str">
        <f>IF($A521="","",
   SUMIFS(Transactions!$P:$P,
          Transactions!$G:$G,$A521,
          Transactions!$C:$C,"IN",
          Transactions!$Q:$Q,"Paid"))</f>
        <v/>
      </c>
      <c r="H521" s="59" t="str">
        <f>IF($A521="","",
   SUMIFS(Transactions!$P:$P,
          Transactions!$G:$G,$A521,
          Transactions!$C:$C,"OUT"))</f>
        <v/>
      </c>
      <c r="I521" s="65" t="str">
        <f t="shared" si="42"/>
        <v/>
      </c>
      <c r="J521" s="59" t="str">
        <f t="shared" si="45"/>
        <v/>
      </c>
    </row>
    <row r="522" spans="4:10" ht="22.5" customHeight="1" x14ac:dyDescent="0.25">
      <c r="D522" s="59" t="str">
        <f t="shared" si="41"/>
        <v/>
      </c>
      <c r="E522" s="59" t="str">
        <f t="shared" si="43"/>
        <v/>
      </c>
      <c r="F522" s="59" t="str">
        <f t="shared" si="44"/>
        <v/>
      </c>
      <c r="G522" s="59" t="str">
        <f>IF($A522="","",
   SUMIFS(Transactions!$P:$P,
          Transactions!$G:$G,$A522,
          Transactions!$C:$C,"IN",
          Transactions!$Q:$Q,"Paid"))</f>
        <v/>
      </c>
      <c r="H522" s="59" t="str">
        <f>IF($A522="","",
   SUMIFS(Transactions!$P:$P,
          Transactions!$G:$G,$A522,
          Transactions!$C:$C,"OUT"))</f>
        <v/>
      </c>
      <c r="I522" s="65" t="str">
        <f t="shared" si="42"/>
        <v/>
      </c>
      <c r="J522" s="59" t="str">
        <f t="shared" si="45"/>
        <v/>
      </c>
    </row>
    <row r="523" spans="4:10" ht="22.5" customHeight="1" x14ac:dyDescent="0.25">
      <c r="D523" s="59" t="str">
        <f t="shared" si="41"/>
        <v/>
      </c>
      <c r="E523" s="59" t="str">
        <f t="shared" si="43"/>
        <v/>
      </c>
      <c r="F523" s="59" t="str">
        <f t="shared" si="44"/>
        <v/>
      </c>
      <c r="G523" s="59" t="str">
        <f>IF($A523="","",
   SUMIFS(Transactions!$P:$P,
          Transactions!$G:$G,$A523,
          Transactions!$C:$C,"IN",
          Transactions!$Q:$Q,"Paid"))</f>
        <v/>
      </c>
      <c r="H523" s="59" t="str">
        <f>IF($A523="","",
   SUMIFS(Transactions!$P:$P,
          Transactions!$G:$G,$A523,
          Transactions!$C:$C,"OUT"))</f>
        <v/>
      </c>
      <c r="I523" s="65" t="str">
        <f t="shared" si="42"/>
        <v/>
      </c>
      <c r="J523" s="59" t="str">
        <f t="shared" si="45"/>
        <v/>
      </c>
    </row>
    <row r="524" spans="4:10" ht="22.5" customHeight="1" x14ac:dyDescent="0.25">
      <c r="D524" s="59" t="str">
        <f t="shared" si="41"/>
        <v/>
      </c>
      <c r="E524" s="59" t="str">
        <f t="shared" si="43"/>
        <v/>
      </c>
      <c r="F524" s="59" t="str">
        <f t="shared" si="44"/>
        <v/>
      </c>
      <c r="G524" s="59" t="str">
        <f>IF($A524="","",
   SUMIFS(Transactions!$P:$P,
          Transactions!$G:$G,$A524,
          Transactions!$C:$C,"IN",
          Transactions!$Q:$Q,"Paid"))</f>
        <v/>
      </c>
      <c r="H524" s="59" t="str">
        <f>IF($A524="","",
   SUMIFS(Transactions!$P:$P,
          Transactions!$G:$G,$A524,
          Transactions!$C:$C,"OUT"))</f>
        <v/>
      </c>
      <c r="I524" s="65" t="str">
        <f t="shared" si="42"/>
        <v/>
      </c>
      <c r="J524" s="59" t="str">
        <f t="shared" si="45"/>
        <v/>
      </c>
    </row>
    <row r="525" spans="4:10" ht="22.5" customHeight="1" x14ac:dyDescent="0.25">
      <c r="D525" s="59" t="str">
        <f t="shared" si="41"/>
        <v/>
      </c>
      <c r="E525" s="59" t="str">
        <f t="shared" si="43"/>
        <v/>
      </c>
      <c r="F525" s="59" t="str">
        <f t="shared" si="44"/>
        <v/>
      </c>
      <c r="G525" s="59" t="str">
        <f>IF($A525="","",
   SUMIFS(Transactions!$P:$P,
          Transactions!$G:$G,$A525,
          Transactions!$C:$C,"IN",
          Transactions!$Q:$Q,"Paid"))</f>
        <v/>
      </c>
      <c r="H525" s="59" t="str">
        <f>IF($A525="","",
   SUMIFS(Transactions!$P:$P,
          Transactions!$G:$G,$A525,
          Transactions!$C:$C,"OUT"))</f>
        <v/>
      </c>
      <c r="I525" s="65" t="str">
        <f t="shared" si="42"/>
        <v/>
      </c>
      <c r="J525" s="59" t="str">
        <f t="shared" si="45"/>
        <v/>
      </c>
    </row>
    <row r="526" spans="4:10" ht="22.5" customHeight="1" x14ac:dyDescent="0.25">
      <c r="D526" s="59" t="str">
        <f t="shared" si="41"/>
        <v/>
      </c>
      <c r="E526" s="59" t="str">
        <f t="shared" si="43"/>
        <v/>
      </c>
      <c r="F526" s="59" t="str">
        <f t="shared" si="44"/>
        <v/>
      </c>
      <c r="G526" s="59" t="str">
        <f>IF($A526="","",
   SUMIFS(Transactions!$P:$P,
          Transactions!$G:$G,$A526,
          Transactions!$C:$C,"IN",
          Transactions!$Q:$Q,"Paid"))</f>
        <v/>
      </c>
      <c r="H526" s="59" t="str">
        <f>IF($A526="","",
   SUMIFS(Transactions!$P:$P,
          Transactions!$G:$G,$A526,
          Transactions!$C:$C,"OUT"))</f>
        <v/>
      </c>
      <c r="I526" s="65" t="str">
        <f t="shared" si="42"/>
        <v/>
      </c>
      <c r="J526" s="59" t="str">
        <f t="shared" si="45"/>
        <v/>
      </c>
    </row>
    <row r="527" spans="4:10" ht="22.5" customHeight="1" x14ac:dyDescent="0.25">
      <c r="D527" s="59" t="str">
        <f t="shared" si="41"/>
        <v/>
      </c>
      <c r="E527" s="59" t="str">
        <f t="shared" si="43"/>
        <v/>
      </c>
      <c r="F527" s="59" t="str">
        <f t="shared" si="44"/>
        <v/>
      </c>
      <c r="G527" s="59" t="str">
        <f>IF($A527="","",
   SUMIFS(Transactions!$P:$P,
          Transactions!$G:$G,$A527,
          Transactions!$C:$C,"IN",
          Transactions!$Q:$Q,"Paid"))</f>
        <v/>
      </c>
      <c r="H527" s="59" t="str">
        <f>IF($A527="","",
   SUMIFS(Transactions!$P:$P,
          Transactions!$G:$G,$A527,
          Transactions!$C:$C,"OUT"))</f>
        <v/>
      </c>
      <c r="I527" s="65" t="str">
        <f t="shared" si="42"/>
        <v/>
      </c>
      <c r="J527" s="59" t="str">
        <f t="shared" si="45"/>
        <v/>
      </c>
    </row>
    <row r="528" spans="4:10" ht="22.5" customHeight="1" x14ac:dyDescent="0.25">
      <c r="D528" s="59" t="str">
        <f t="shared" si="41"/>
        <v/>
      </c>
      <c r="E528" s="59" t="str">
        <f t="shared" si="43"/>
        <v/>
      </c>
      <c r="F528" s="59" t="str">
        <f t="shared" si="44"/>
        <v/>
      </c>
      <c r="G528" s="59" t="str">
        <f>IF($A528="","",
   SUMIFS(Transactions!$P:$P,
          Transactions!$G:$G,$A528,
          Transactions!$C:$C,"IN",
          Transactions!$Q:$Q,"Paid"))</f>
        <v/>
      </c>
      <c r="H528" s="59" t="str">
        <f>IF($A528="","",
   SUMIFS(Transactions!$P:$P,
          Transactions!$G:$G,$A528,
          Transactions!$C:$C,"OUT"))</f>
        <v/>
      </c>
      <c r="I528" s="65" t="str">
        <f t="shared" si="42"/>
        <v/>
      </c>
      <c r="J528" s="59" t="str">
        <f t="shared" si="45"/>
        <v/>
      </c>
    </row>
    <row r="529" spans="4:10" ht="22.5" customHeight="1" x14ac:dyDescent="0.25">
      <c r="D529" s="59" t="str">
        <f t="shared" si="41"/>
        <v/>
      </c>
      <c r="E529" s="59" t="str">
        <f t="shared" si="43"/>
        <v/>
      </c>
      <c r="F529" s="59" t="str">
        <f t="shared" si="44"/>
        <v/>
      </c>
      <c r="G529" s="59" t="str">
        <f>IF($A529="","",
   SUMIFS(Transactions!$P:$P,
          Transactions!$G:$G,$A529,
          Transactions!$C:$C,"IN",
          Transactions!$Q:$Q,"Paid"))</f>
        <v/>
      </c>
      <c r="H529" s="59" t="str">
        <f>IF($A529="","",
   SUMIFS(Transactions!$P:$P,
          Transactions!$G:$G,$A529,
          Transactions!$C:$C,"OUT"))</f>
        <v/>
      </c>
      <c r="I529" s="65" t="str">
        <f t="shared" si="42"/>
        <v/>
      </c>
      <c r="J529" s="59" t="str">
        <f t="shared" si="45"/>
        <v/>
      </c>
    </row>
    <row r="530" spans="4:10" ht="22.5" customHeight="1" x14ac:dyDescent="0.25">
      <c r="D530" s="59" t="str">
        <f t="shared" si="41"/>
        <v/>
      </c>
      <c r="E530" s="59" t="str">
        <f t="shared" si="43"/>
        <v/>
      </c>
      <c r="F530" s="59" t="str">
        <f t="shared" si="44"/>
        <v/>
      </c>
      <c r="G530" s="59" t="str">
        <f>IF($A530="","",
   SUMIFS(Transactions!$P:$P,
          Transactions!$G:$G,$A530,
          Transactions!$C:$C,"IN",
          Transactions!$Q:$Q,"Paid"))</f>
        <v/>
      </c>
      <c r="H530" s="59" t="str">
        <f>IF($A530="","",
   SUMIFS(Transactions!$P:$P,
          Transactions!$G:$G,$A530,
          Transactions!$C:$C,"OUT"))</f>
        <v/>
      </c>
      <c r="I530" s="65" t="str">
        <f t="shared" si="42"/>
        <v/>
      </c>
      <c r="J530" s="59" t="str">
        <f t="shared" si="45"/>
        <v/>
      </c>
    </row>
    <row r="531" spans="4:10" ht="22.5" customHeight="1" x14ac:dyDescent="0.25">
      <c r="D531" s="59" t="str">
        <f t="shared" si="41"/>
        <v/>
      </c>
      <c r="E531" s="59" t="str">
        <f t="shared" si="43"/>
        <v/>
      </c>
      <c r="F531" s="59" t="str">
        <f t="shared" si="44"/>
        <v/>
      </c>
      <c r="G531" s="59" t="str">
        <f>IF($A531="","",
   SUMIFS(Transactions!$P:$P,
          Transactions!$G:$G,$A531,
          Transactions!$C:$C,"IN",
          Transactions!$Q:$Q,"Paid"))</f>
        <v/>
      </c>
      <c r="H531" s="59" t="str">
        <f>IF($A531="","",
   SUMIFS(Transactions!$P:$P,
          Transactions!$G:$G,$A531,
          Transactions!$C:$C,"OUT"))</f>
        <v/>
      </c>
      <c r="I531" s="65" t="str">
        <f t="shared" si="42"/>
        <v/>
      </c>
      <c r="J531" s="59" t="str">
        <f t="shared" si="45"/>
        <v/>
      </c>
    </row>
    <row r="532" spans="4:10" ht="22.5" customHeight="1" x14ac:dyDescent="0.25">
      <c r="D532" s="59" t="str">
        <f t="shared" si="41"/>
        <v/>
      </c>
      <c r="E532" s="59" t="str">
        <f t="shared" si="43"/>
        <v/>
      </c>
      <c r="F532" s="59" t="str">
        <f t="shared" si="44"/>
        <v/>
      </c>
      <c r="G532" s="59" t="str">
        <f>IF($A532="","",
   SUMIFS(Transactions!$P:$P,
          Transactions!$G:$G,$A532,
          Transactions!$C:$C,"IN",
          Transactions!$Q:$Q,"Paid"))</f>
        <v/>
      </c>
      <c r="H532" s="59" t="str">
        <f>IF($A532="","",
   SUMIFS(Transactions!$P:$P,
          Transactions!$G:$G,$A532,
          Transactions!$C:$C,"OUT"))</f>
        <v/>
      </c>
      <c r="I532" s="65" t="str">
        <f t="shared" si="42"/>
        <v/>
      </c>
      <c r="J532" s="59" t="str">
        <f t="shared" si="45"/>
        <v/>
      </c>
    </row>
    <row r="533" spans="4:10" ht="22.5" customHeight="1" x14ac:dyDescent="0.25">
      <c r="D533" s="59" t="str">
        <f t="shared" si="41"/>
        <v/>
      </c>
      <c r="E533" s="59" t="str">
        <f t="shared" si="43"/>
        <v/>
      </c>
      <c r="F533" s="59" t="str">
        <f t="shared" si="44"/>
        <v/>
      </c>
      <c r="G533" s="59" t="str">
        <f>IF($A533="","",
   SUMIFS(Transactions!$P:$P,
          Transactions!$G:$G,$A533,
          Transactions!$C:$C,"IN",
          Transactions!$Q:$Q,"Paid"))</f>
        <v/>
      </c>
      <c r="H533" s="59" t="str">
        <f>IF($A533="","",
   SUMIFS(Transactions!$P:$P,
          Transactions!$G:$G,$A533,
          Transactions!$C:$C,"OUT"))</f>
        <v/>
      </c>
      <c r="I533" s="65" t="str">
        <f t="shared" si="42"/>
        <v/>
      </c>
      <c r="J533" s="59" t="str">
        <f t="shared" si="45"/>
        <v/>
      </c>
    </row>
    <row r="534" spans="4:10" ht="22.5" customHeight="1" x14ac:dyDescent="0.25">
      <c r="D534" s="59" t="str">
        <f t="shared" si="41"/>
        <v/>
      </c>
      <c r="E534" s="59" t="str">
        <f t="shared" si="43"/>
        <v/>
      </c>
      <c r="F534" s="59" t="str">
        <f t="shared" si="44"/>
        <v/>
      </c>
      <c r="G534" s="59" t="str">
        <f>IF($A534="","",
   SUMIFS(Transactions!$P:$P,
          Transactions!$G:$G,$A534,
          Transactions!$C:$C,"IN",
          Transactions!$Q:$Q,"Paid"))</f>
        <v/>
      </c>
      <c r="H534" s="59" t="str">
        <f>IF($A534="","",
   SUMIFS(Transactions!$P:$P,
          Transactions!$G:$G,$A534,
          Transactions!$C:$C,"OUT"))</f>
        <v/>
      </c>
      <c r="I534" s="65" t="str">
        <f t="shared" si="42"/>
        <v/>
      </c>
      <c r="J534" s="59" t="str">
        <f t="shared" si="45"/>
        <v/>
      </c>
    </row>
    <row r="535" spans="4:10" ht="22.5" customHeight="1" x14ac:dyDescent="0.25">
      <c r="D535" s="59" t="str">
        <f t="shared" si="41"/>
        <v/>
      </c>
      <c r="E535" s="59" t="str">
        <f t="shared" si="43"/>
        <v/>
      </c>
      <c r="F535" s="59" t="str">
        <f t="shared" si="44"/>
        <v/>
      </c>
      <c r="G535" s="59" t="str">
        <f>IF($A535="","",
   SUMIFS(Transactions!$P:$P,
          Transactions!$G:$G,$A535,
          Transactions!$C:$C,"IN",
          Transactions!$Q:$Q,"Paid"))</f>
        <v/>
      </c>
      <c r="H535" s="59" t="str">
        <f>IF($A535="","",
   SUMIFS(Transactions!$P:$P,
          Transactions!$G:$G,$A535,
          Transactions!$C:$C,"OUT"))</f>
        <v/>
      </c>
      <c r="I535" s="65" t="str">
        <f t="shared" si="42"/>
        <v/>
      </c>
      <c r="J535" s="59" t="str">
        <f t="shared" si="45"/>
        <v/>
      </c>
    </row>
    <row r="536" spans="4:10" ht="22.5" customHeight="1" x14ac:dyDescent="0.25">
      <c r="D536" s="59" t="str">
        <f t="shared" si="41"/>
        <v/>
      </c>
      <c r="E536" s="59" t="str">
        <f t="shared" si="43"/>
        <v/>
      </c>
      <c r="F536" s="59" t="str">
        <f t="shared" si="44"/>
        <v/>
      </c>
      <c r="G536" s="59" t="str">
        <f>IF($A536="","",
   SUMIFS(Transactions!$P:$P,
          Transactions!$G:$G,$A536,
          Transactions!$C:$C,"IN",
          Transactions!$Q:$Q,"Paid"))</f>
        <v/>
      </c>
      <c r="H536" s="59" t="str">
        <f>IF($A536="","",
   SUMIFS(Transactions!$P:$P,
          Transactions!$G:$G,$A536,
          Transactions!$C:$C,"OUT"))</f>
        <v/>
      </c>
      <c r="I536" s="65" t="str">
        <f t="shared" si="42"/>
        <v/>
      </c>
      <c r="J536" s="59" t="str">
        <f t="shared" si="45"/>
        <v/>
      </c>
    </row>
    <row r="537" spans="4:10" ht="22.5" customHeight="1" x14ac:dyDescent="0.25">
      <c r="D537" s="59" t="str">
        <f t="shared" si="41"/>
        <v/>
      </c>
      <c r="E537" s="59" t="str">
        <f t="shared" si="43"/>
        <v/>
      </c>
      <c r="F537" s="59" t="str">
        <f t="shared" si="44"/>
        <v/>
      </c>
      <c r="G537" s="59" t="str">
        <f>IF($A537="","",
   SUMIFS(Transactions!$P:$P,
          Transactions!$G:$G,$A537,
          Transactions!$C:$C,"IN",
          Transactions!$Q:$Q,"Paid"))</f>
        <v/>
      </c>
      <c r="H537" s="59" t="str">
        <f>IF($A537="","",
   SUMIFS(Transactions!$P:$P,
          Transactions!$G:$G,$A537,
          Transactions!$C:$C,"OUT"))</f>
        <v/>
      </c>
      <c r="I537" s="65" t="str">
        <f t="shared" si="42"/>
        <v/>
      </c>
      <c r="J537" s="59" t="str">
        <f t="shared" si="45"/>
        <v/>
      </c>
    </row>
    <row r="538" spans="4:10" ht="22.5" customHeight="1" x14ac:dyDescent="0.25">
      <c r="D538" s="59" t="str">
        <f t="shared" si="41"/>
        <v/>
      </c>
      <c r="E538" s="59" t="str">
        <f t="shared" si="43"/>
        <v/>
      </c>
      <c r="F538" s="59" t="str">
        <f t="shared" si="44"/>
        <v/>
      </c>
      <c r="G538" s="59" t="str">
        <f>IF($A538="","",
   SUMIFS(Transactions!$P:$P,
          Transactions!$G:$G,$A538,
          Transactions!$C:$C,"IN",
          Transactions!$Q:$Q,"Paid"))</f>
        <v/>
      </c>
      <c r="H538" s="59" t="str">
        <f>IF($A538="","",
   SUMIFS(Transactions!$P:$P,
          Transactions!$G:$G,$A538,
          Transactions!$C:$C,"OUT"))</f>
        <v/>
      </c>
      <c r="I538" s="65" t="str">
        <f t="shared" si="42"/>
        <v/>
      </c>
      <c r="J538" s="59" t="str">
        <f t="shared" si="45"/>
        <v/>
      </c>
    </row>
    <row r="539" spans="4:10" ht="22.5" customHeight="1" x14ac:dyDescent="0.25">
      <c r="D539" s="59" t="str">
        <f t="shared" si="41"/>
        <v/>
      </c>
      <c r="E539" s="59" t="str">
        <f t="shared" si="43"/>
        <v/>
      </c>
      <c r="F539" s="59" t="str">
        <f t="shared" si="44"/>
        <v/>
      </c>
      <c r="G539" s="59" t="str">
        <f>IF($A539="","",
   SUMIFS(Transactions!$P:$P,
          Transactions!$G:$G,$A539,
          Transactions!$C:$C,"IN",
          Transactions!$Q:$Q,"Paid"))</f>
        <v/>
      </c>
      <c r="H539" s="59" t="str">
        <f>IF($A539="","",
   SUMIFS(Transactions!$P:$P,
          Transactions!$G:$G,$A539,
          Transactions!$C:$C,"OUT"))</f>
        <v/>
      </c>
      <c r="I539" s="65" t="str">
        <f t="shared" si="42"/>
        <v/>
      </c>
      <c r="J539" s="59" t="str">
        <f t="shared" si="45"/>
        <v/>
      </c>
    </row>
    <row r="540" spans="4:10" ht="22.5" customHeight="1" x14ac:dyDescent="0.25">
      <c r="D540" s="59" t="str">
        <f t="shared" si="41"/>
        <v/>
      </c>
      <c r="E540" s="59" t="str">
        <f t="shared" si="43"/>
        <v/>
      </c>
      <c r="F540" s="59" t="str">
        <f t="shared" si="44"/>
        <v/>
      </c>
      <c r="G540" s="59" t="str">
        <f>IF($A540="","",
   SUMIFS(Transactions!$P:$P,
          Transactions!$G:$G,$A540,
          Transactions!$C:$C,"IN",
          Transactions!$Q:$Q,"Paid"))</f>
        <v/>
      </c>
      <c r="H540" s="59" t="str">
        <f>IF($A540="","",
   SUMIFS(Transactions!$P:$P,
          Transactions!$G:$G,$A540,
          Transactions!$C:$C,"OUT"))</f>
        <v/>
      </c>
      <c r="I540" s="65" t="str">
        <f t="shared" si="42"/>
        <v/>
      </c>
      <c r="J540" s="59" t="str">
        <f t="shared" si="45"/>
        <v/>
      </c>
    </row>
    <row r="541" spans="4:10" ht="22.5" customHeight="1" x14ac:dyDescent="0.25">
      <c r="D541" s="59" t="str">
        <f t="shared" si="41"/>
        <v/>
      </c>
      <c r="E541" s="59" t="str">
        <f t="shared" si="43"/>
        <v/>
      </c>
      <c r="F541" s="59" t="str">
        <f t="shared" si="44"/>
        <v/>
      </c>
      <c r="G541" s="59" t="str">
        <f>IF($A541="","",
   SUMIFS(Transactions!$P:$P,
          Transactions!$G:$G,$A541,
          Transactions!$C:$C,"IN",
          Transactions!$Q:$Q,"Paid"))</f>
        <v/>
      </c>
      <c r="H541" s="59" t="str">
        <f>IF($A541="","",
   SUMIFS(Transactions!$P:$P,
          Transactions!$G:$G,$A541,
          Transactions!$C:$C,"OUT"))</f>
        <v/>
      </c>
      <c r="I541" s="65" t="str">
        <f t="shared" si="42"/>
        <v/>
      </c>
      <c r="J541" s="59" t="str">
        <f t="shared" si="45"/>
        <v/>
      </c>
    </row>
    <row r="542" spans="4:10" ht="22.5" customHeight="1" x14ac:dyDescent="0.25">
      <c r="D542" s="59" t="str">
        <f t="shared" si="41"/>
        <v/>
      </c>
      <c r="E542" s="59" t="str">
        <f t="shared" si="43"/>
        <v/>
      </c>
      <c r="F542" s="59" t="str">
        <f t="shared" si="44"/>
        <v/>
      </c>
      <c r="G542" s="59" t="str">
        <f>IF($A542="","",
   SUMIFS(Transactions!$P:$P,
          Transactions!$G:$G,$A542,
          Transactions!$C:$C,"IN",
          Transactions!$Q:$Q,"Paid"))</f>
        <v/>
      </c>
      <c r="H542" s="59" t="str">
        <f>IF($A542="","",
   SUMIFS(Transactions!$P:$P,
          Transactions!$G:$G,$A542,
          Transactions!$C:$C,"OUT"))</f>
        <v/>
      </c>
      <c r="I542" s="65" t="str">
        <f t="shared" si="42"/>
        <v/>
      </c>
      <c r="J542" s="59" t="str">
        <f t="shared" si="45"/>
        <v/>
      </c>
    </row>
    <row r="543" spans="4:10" ht="22.5" customHeight="1" x14ac:dyDescent="0.25">
      <c r="D543" s="59" t="str">
        <f t="shared" si="41"/>
        <v/>
      </c>
      <c r="E543" s="59" t="str">
        <f t="shared" si="43"/>
        <v/>
      </c>
      <c r="F543" s="59" t="str">
        <f t="shared" si="44"/>
        <v/>
      </c>
      <c r="G543" s="59" t="str">
        <f>IF($A543="","",
   SUMIFS(Transactions!$P:$P,
          Transactions!$G:$G,$A543,
          Transactions!$C:$C,"IN",
          Transactions!$Q:$Q,"Paid"))</f>
        <v/>
      </c>
      <c r="H543" s="59" t="str">
        <f>IF($A543="","",
   SUMIFS(Transactions!$P:$P,
          Transactions!$G:$G,$A543,
          Transactions!$C:$C,"OUT"))</f>
        <v/>
      </c>
      <c r="I543" s="65" t="str">
        <f t="shared" si="42"/>
        <v/>
      </c>
      <c r="J543" s="59" t="str">
        <f t="shared" si="45"/>
        <v/>
      </c>
    </row>
    <row r="544" spans="4:10" ht="22.5" customHeight="1" x14ac:dyDescent="0.25">
      <c r="D544" s="59" t="str">
        <f t="shared" si="41"/>
        <v/>
      </c>
      <c r="E544" s="59" t="str">
        <f t="shared" si="43"/>
        <v/>
      </c>
      <c r="F544" s="59" t="str">
        <f t="shared" si="44"/>
        <v/>
      </c>
      <c r="G544" s="59" t="str">
        <f>IF($A544="","",
   SUMIFS(Transactions!$P:$P,
          Transactions!$G:$G,$A544,
          Transactions!$C:$C,"IN",
          Transactions!$Q:$Q,"Paid"))</f>
        <v/>
      </c>
      <c r="H544" s="59" t="str">
        <f>IF($A544="","",
   SUMIFS(Transactions!$P:$P,
          Transactions!$G:$G,$A544,
          Transactions!$C:$C,"OUT"))</f>
        <v/>
      </c>
      <c r="I544" s="65" t="str">
        <f t="shared" si="42"/>
        <v/>
      </c>
      <c r="J544" s="59" t="str">
        <f t="shared" si="45"/>
        <v/>
      </c>
    </row>
    <row r="545" spans="4:10" ht="22.5" customHeight="1" x14ac:dyDescent="0.25">
      <c r="D545" s="59" t="str">
        <f t="shared" si="41"/>
        <v/>
      </c>
      <c r="E545" s="59" t="str">
        <f t="shared" si="43"/>
        <v/>
      </c>
      <c r="F545" s="59" t="str">
        <f t="shared" si="44"/>
        <v/>
      </c>
      <c r="G545" s="59" t="str">
        <f>IF($A545="","",
   SUMIFS(Transactions!$P:$P,
          Transactions!$G:$G,$A545,
          Transactions!$C:$C,"IN",
          Transactions!$Q:$Q,"Paid"))</f>
        <v/>
      </c>
      <c r="H545" s="59" t="str">
        <f>IF($A545="","",
   SUMIFS(Transactions!$P:$P,
          Transactions!$G:$G,$A545,
          Transactions!$C:$C,"OUT"))</f>
        <v/>
      </c>
      <c r="I545" s="65" t="str">
        <f t="shared" si="42"/>
        <v/>
      </c>
      <c r="J545" s="59" t="str">
        <f t="shared" si="45"/>
        <v/>
      </c>
    </row>
    <row r="546" spans="4:10" ht="22.5" customHeight="1" x14ac:dyDescent="0.25">
      <c r="D546" s="59" t="str">
        <f t="shared" si="41"/>
        <v/>
      </c>
      <c r="E546" s="59" t="str">
        <f t="shared" si="43"/>
        <v/>
      </c>
      <c r="F546" s="59" t="str">
        <f t="shared" si="44"/>
        <v/>
      </c>
      <c r="G546" s="59" t="str">
        <f>IF($A546="","",
   SUMIFS(Transactions!$P:$P,
          Transactions!$G:$G,$A546,
          Transactions!$C:$C,"IN",
          Transactions!$Q:$Q,"Paid"))</f>
        <v/>
      </c>
      <c r="H546" s="59" t="str">
        <f>IF($A546="","",
   SUMIFS(Transactions!$P:$P,
          Transactions!$G:$G,$A546,
          Transactions!$C:$C,"OUT"))</f>
        <v/>
      </c>
      <c r="I546" s="65" t="str">
        <f t="shared" si="42"/>
        <v/>
      </c>
      <c r="J546" s="59" t="str">
        <f t="shared" si="45"/>
        <v/>
      </c>
    </row>
    <row r="547" spans="4:10" ht="22.5" customHeight="1" x14ac:dyDescent="0.25">
      <c r="D547" s="59" t="str">
        <f t="shared" si="41"/>
        <v/>
      </c>
      <c r="E547" s="59" t="str">
        <f t="shared" si="43"/>
        <v/>
      </c>
      <c r="F547" s="59" t="str">
        <f t="shared" si="44"/>
        <v/>
      </c>
      <c r="G547" s="59" t="str">
        <f>IF($A547="","",
   SUMIFS(Transactions!$P:$P,
          Transactions!$G:$G,$A547,
          Transactions!$C:$C,"IN",
          Transactions!$Q:$Q,"Paid"))</f>
        <v/>
      </c>
      <c r="H547" s="59" t="str">
        <f>IF($A547="","",
   SUMIFS(Transactions!$P:$P,
          Transactions!$G:$G,$A547,
          Transactions!$C:$C,"OUT"))</f>
        <v/>
      </c>
      <c r="I547" s="65" t="str">
        <f t="shared" si="42"/>
        <v/>
      </c>
      <c r="J547" s="59" t="str">
        <f t="shared" si="45"/>
        <v/>
      </c>
    </row>
    <row r="548" spans="4:10" ht="22.5" customHeight="1" x14ac:dyDescent="0.25">
      <c r="D548" s="59" t="str">
        <f t="shared" si="41"/>
        <v/>
      </c>
      <c r="E548" s="59" t="str">
        <f t="shared" si="43"/>
        <v/>
      </c>
      <c r="F548" s="59" t="str">
        <f t="shared" si="44"/>
        <v/>
      </c>
      <c r="G548" s="59" t="str">
        <f>IF($A548="","",
   SUMIFS(Transactions!$P:$P,
          Transactions!$G:$G,$A548,
          Transactions!$C:$C,"IN",
          Transactions!$Q:$Q,"Paid"))</f>
        <v/>
      </c>
      <c r="H548" s="59" t="str">
        <f>IF($A548="","",
   SUMIFS(Transactions!$P:$P,
          Transactions!$G:$G,$A548,
          Transactions!$C:$C,"OUT"))</f>
        <v/>
      </c>
      <c r="I548" s="65" t="str">
        <f t="shared" si="42"/>
        <v/>
      </c>
      <c r="J548" s="59" t="str">
        <f t="shared" si="45"/>
        <v/>
      </c>
    </row>
    <row r="549" spans="4:10" ht="22.5" customHeight="1" x14ac:dyDescent="0.25">
      <c r="D549" s="59" t="str">
        <f t="shared" si="41"/>
        <v/>
      </c>
      <c r="E549" s="59" t="str">
        <f t="shared" si="43"/>
        <v/>
      </c>
      <c r="F549" s="59" t="str">
        <f t="shared" si="44"/>
        <v/>
      </c>
      <c r="G549" s="59" t="str">
        <f>IF($A549="","",
   SUMIFS(Transactions!$P:$P,
          Transactions!$G:$G,$A549,
          Transactions!$C:$C,"IN",
          Transactions!$Q:$Q,"Paid"))</f>
        <v/>
      </c>
      <c r="H549" s="59" t="str">
        <f>IF($A549="","",
   SUMIFS(Transactions!$P:$P,
          Transactions!$G:$G,$A549,
          Transactions!$C:$C,"OUT"))</f>
        <v/>
      </c>
      <c r="I549" s="65" t="str">
        <f t="shared" si="42"/>
        <v/>
      </c>
      <c r="J549" s="59" t="str">
        <f t="shared" si="45"/>
        <v/>
      </c>
    </row>
    <row r="550" spans="4:10" ht="22.5" customHeight="1" x14ac:dyDescent="0.25">
      <c r="D550" s="59" t="str">
        <f t="shared" si="41"/>
        <v/>
      </c>
      <c r="E550" s="59" t="str">
        <f t="shared" si="43"/>
        <v/>
      </c>
      <c r="F550" s="59" t="str">
        <f t="shared" si="44"/>
        <v/>
      </c>
      <c r="G550" s="59" t="str">
        <f>IF($A550="","",
   SUMIFS(Transactions!$P:$P,
          Transactions!$G:$G,$A550,
          Transactions!$C:$C,"IN",
          Transactions!$Q:$Q,"Paid"))</f>
        <v/>
      </c>
      <c r="H550" s="59" t="str">
        <f>IF($A550="","",
   SUMIFS(Transactions!$P:$P,
          Transactions!$G:$G,$A550,
          Transactions!$C:$C,"OUT"))</f>
        <v/>
      </c>
      <c r="I550" s="65" t="str">
        <f t="shared" si="42"/>
        <v/>
      </c>
      <c r="J550" s="59" t="str">
        <f t="shared" si="45"/>
        <v/>
      </c>
    </row>
    <row r="551" spans="4:10" ht="22.5" customHeight="1" x14ac:dyDescent="0.25">
      <c r="D551" s="59" t="str">
        <f t="shared" si="41"/>
        <v/>
      </c>
      <c r="E551" s="59" t="str">
        <f t="shared" si="43"/>
        <v/>
      </c>
      <c r="F551" s="59" t="str">
        <f t="shared" si="44"/>
        <v/>
      </c>
      <c r="G551" s="59" t="str">
        <f>IF($A551="","",
   SUMIFS(Transactions!$P:$P,
          Transactions!$G:$G,$A551,
          Transactions!$C:$C,"IN",
          Transactions!$Q:$Q,"Paid"))</f>
        <v/>
      </c>
      <c r="H551" s="59" t="str">
        <f>IF($A551="","",
   SUMIFS(Transactions!$P:$P,
          Transactions!$G:$G,$A551,
          Transactions!$C:$C,"OUT"))</f>
        <v/>
      </c>
      <c r="I551" s="65" t="str">
        <f t="shared" si="42"/>
        <v/>
      </c>
      <c r="J551" s="59" t="str">
        <f t="shared" si="45"/>
        <v/>
      </c>
    </row>
    <row r="552" spans="4:10" ht="22.5" customHeight="1" x14ac:dyDescent="0.25">
      <c r="D552" s="59" t="str">
        <f t="shared" si="41"/>
        <v/>
      </c>
      <c r="E552" s="59" t="str">
        <f t="shared" si="43"/>
        <v/>
      </c>
      <c r="F552" s="59" t="str">
        <f t="shared" si="44"/>
        <v/>
      </c>
      <c r="G552" s="59" t="str">
        <f>IF($A552="","",
   SUMIFS(Transactions!$P:$P,
          Transactions!$G:$G,$A552,
          Transactions!$C:$C,"IN",
          Transactions!$Q:$Q,"Paid"))</f>
        <v/>
      </c>
      <c r="H552" s="59" t="str">
        <f>IF($A552="","",
   SUMIFS(Transactions!$P:$P,
          Transactions!$G:$G,$A552,
          Transactions!$C:$C,"OUT"))</f>
        <v/>
      </c>
      <c r="I552" s="65" t="str">
        <f t="shared" si="42"/>
        <v/>
      </c>
      <c r="J552" s="59" t="str">
        <f t="shared" si="45"/>
        <v/>
      </c>
    </row>
    <row r="553" spans="4:10" ht="22.5" customHeight="1" x14ac:dyDescent="0.25">
      <c r="D553" s="59" t="str">
        <f t="shared" si="41"/>
        <v/>
      </c>
      <c r="E553" s="59" t="str">
        <f t="shared" si="43"/>
        <v/>
      </c>
      <c r="F553" s="59" t="str">
        <f t="shared" si="44"/>
        <v/>
      </c>
      <c r="G553" s="59" t="str">
        <f>IF($A553="","",
   SUMIFS(Transactions!$P:$P,
          Transactions!$G:$G,$A553,
          Transactions!$C:$C,"IN",
          Transactions!$Q:$Q,"Paid"))</f>
        <v/>
      </c>
      <c r="H553" s="59" t="str">
        <f>IF($A553="","",
   SUMIFS(Transactions!$P:$P,
          Transactions!$G:$G,$A553,
          Transactions!$C:$C,"OUT"))</f>
        <v/>
      </c>
      <c r="I553" s="65" t="str">
        <f t="shared" si="42"/>
        <v/>
      </c>
      <c r="J553" s="59" t="str">
        <f t="shared" si="45"/>
        <v/>
      </c>
    </row>
    <row r="554" spans="4:10" ht="22.5" customHeight="1" x14ac:dyDescent="0.25">
      <c r="D554" s="59" t="str">
        <f t="shared" si="41"/>
        <v/>
      </c>
      <c r="E554" s="59" t="str">
        <f t="shared" si="43"/>
        <v/>
      </c>
      <c r="F554" s="59" t="str">
        <f t="shared" si="44"/>
        <v/>
      </c>
      <c r="G554" s="59" t="str">
        <f>IF($A554="","",
   SUMIFS(Transactions!$P:$P,
          Transactions!$G:$G,$A554,
          Transactions!$C:$C,"IN",
          Transactions!$Q:$Q,"Paid"))</f>
        <v/>
      </c>
      <c r="H554" s="59" t="str">
        <f>IF($A554="","",
   SUMIFS(Transactions!$P:$P,
          Transactions!$G:$G,$A554,
          Transactions!$C:$C,"OUT"))</f>
        <v/>
      </c>
      <c r="I554" s="65" t="str">
        <f t="shared" si="42"/>
        <v/>
      </c>
      <c r="J554" s="59" t="str">
        <f t="shared" si="45"/>
        <v/>
      </c>
    </row>
    <row r="555" spans="4:10" ht="22.5" customHeight="1" x14ac:dyDescent="0.25">
      <c r="D555" s="59" t="str">
        <f t="shared" si="41"/>
        <v/>
      </c>
      <c r="E555" s="59" t="str">
        <f t="shared" si="43"/>
        <v/>
      </c>
      <c r="F555" s="59" t="str">
        <f t="shared" si="44"/>
        <v/>
      </c>
      <c r="G555" s="59" t="str">
        <f>IF($A555="","",
   SUMIFS(Transactions!$P:$P,
          Transactions!$G:$G,$A555,
          Transactions!$C:$C,"IN",
          Transactions!$Q:$Q,"Paid"))</f>
        <v/>
      </c>
      <c r="H555" s="59" t="str">
        <f>IF($A555="","",
   SUMIFS(Transactions!$P:$P,
          Transactions!$G:$G,$A555,
          Transactions!$C:$C,"OUT"))</f>
        <v/>
      </c>
      <c r="I555" s="65" t="str">
        <f t="shared" si="42"/>
        <v/>
      </c>
      <c r="J555" s="59" t="str">
        <f t="shared" si="45"/>
        <v/>
      </c>
    </row>
    <row r="556" spans="4:10" ht="22.5" customHeight="1" x14ac:dyDescent="0.25">
      <c r="D556" s="59" t="str">
        <f t="shared" si="41"/>
        <v/>
      </c>
      <c r="E556" s="59" t="str">
        <f t="shared" si="43"/>
        <v/>
      </c>
      <c r="F556" s="59" t="str">
        <f t="shared" si="44"/>
        <v/>
      </c>
      <c r="G556" s="59" t="str">
        <f>IF($A556="","",
   SUMIFS(Transactions!$P:$P,
          Transactions!$G:$G,$A556,
          Transactions!$C:$C,"IN",
          Transactions!$Q:$Q,"Paid"))</f>
        <v/>
      </c>
      <c r="H556" s="59" t="str">
        <f>IF($A556="","",
   SUMIFS(Transactions!$P:$P,
          Transactions!$G:$G,$A556,
          Transactions!$C:$C,"OUT"))</f>
        <v/>
      </c>
      <c r="I556" s="65" t="str">
        <f t="shared" si="42"/>
        <v/>
      </c>
      <c r="J556" s="59" t="str">
        <f t="shared" si="45"/>
        <v/>
      </c>
    </row>
    <row r="557" spans="4:10" ht="22.5" customHeight="1" x14ac:dyDescent="0.25">
      <c r="D557" s="59" t="str">
        <f t="shared" si="41"/>
        <v/>
      </c>
      <c r="E557" s="59" t="str">
        <f t="shared" si="43"/>
        <v/>
      </c>
      <c r="F557" s="59" t="str">
        <f t="shared" si="44"/>
        <v/>
      </c>
      <c r="G557" s="59" t="str">
        <f>IF($A557="","",
   SUMIFS(Transactions!$P:$P,
          Transactions!$G:$G,$A557,
          Transactions!$C:$C,"IN",
          Transactions!$Q:$Q,"Paid"))</f>
        <v/>
      </c>
      <c r="H557" s="59" t="str">
        <f>IF($A557="","",
   SUMIFS(Transactions!$P:$P,
          Transactions!$G:$G,$A557,
          Transactions!$C:$C,"OUT"))</f>
        <v/>
      </c>
      <c r="I557" s="65" t="str">
        <f t="shared" si="42"/>
        <v/>
      </c>
      <c r="J557" s="59" t="str">
        <f t="shared" si="45"/>
        <v/>
      </c>
    </row>
    <row r="558" spans="4:10" ht="22.5" customHeight="1" x14ac:dyDescent="0.25">
      <c r="D558" s="59" t="str">
        <f t="shared" si="41"/>
        <v/>
      </c>
      <c r="E558" s="59" t="str">
        <f t="shared" si="43"/>
        <v/>
      </c>
      <c r="F558" s="59" t="str">
        <f t="shared" si="44"/>
        <v/>
      </c>
      <c r="G558" s="59" t="str">
        <f>IF($A558="","",
   SUMIFS(Transactions!$P:$P,
          Transactions!$G:$G,$A558,
          Transactions!$C:$C,"IN",
          Transactions!$Q:$Q,"Paid"))</f>
        <v/>
      </c>
      <c r="H558" s="59" t="str">
        <f>IF($A558="","",
   SUMIFS(Transactions!$P:$P,
          Transactions!$G:$G,$A558,
          Transactions!$C:$C,"OUT"))</f>
        <v/>
      </c>
      <c r="I558" s="65" t="str">
        <f t="shared" si="42"/>
        <v/>
      </c>
      <c r="J558" s="59" t="str">
        <f t="shared" si="45"/>
        <v/>
      </c>
    </row>
    <row r="559" spans="4:10" ht="22.5" customHeight="1" x14ac:dyDescent="0.25">
      <c r="D559" s="59" t="str">
        <f t="shared" si="41"/>
        <v/>
      </c>
      <c r="E559" s="59" t="str">
        <f t="shared" si="43"/>
        <v/>
      </c>
      <c r="F559" s="59" t="str">
        <f t="shared" si="44"/>
        <v/>
      </c>
      <c r="G559" s="59" t="str">
        <f>IF($A559="","",
   SUMIFS(Transactions!$P:$P,
          Transactions!$G:$G,$A559,
          Transactions!$C:$C,"IN",
          Transactions!$Q:$Q,"Paid"))</f>
        <v/>
      </c>
      <c r="H559" s="59" t="str">
        <f>IF($A559="","",
   SUMIFS(Transactions!$P:$P,
          Transactions!$G:$G,$A559,
          Transactions!$C:$C,"OUT"))</f>
        <v/>
      </c>
      <c r="I559" s="65" t="str">
        <f t="shared" si="42"/>
        <v/>
      </c>
      <c r="J559" s="59" t="str">
        <f t="shared" si="45"/>
        <v/>
      </c>
    </row>
    <row r="560" spans="4:10" ht="22.5" customHeight="1" x14ac:dyDescent="0.25">
      <c r="D560" s="59" t="str">
        <f t="shared" si="41"/>
        <v/>
      </c>
      <c r="E560" s="59" t="str">
        <f t="shared" si="43"/>
        <v/>
      </c>
      <c r="F560" s="59" t="str">
        <f t="shared" si="44"/>
        <v/>
      </c>
      <c r="G560" s="59" t="str">
        <f>IF($A560="","",
   SUMIFS(Transactions!$P:$P,
          Transactions!$G:$G,$A560,
          Transactions!$C:$C,"IN",
          Transactions!$Q:$Q,"Paid"))</f>
        <v/>
      </c>
      <c r="H560" s="59" t="str">
        <f>IF($A560="","",
   SUMIFS(Transactions!$P:$P,
          Transactions!$G:$G,$A560,
          Transactions!$C:$C,"OUT"))</f>
        <v/>
      </c>
      <c r="I560" s="65" t="str">
        <f t="shared" si="42"/>
        <v/>
      </c>
      <c r="J560" s="59" t="str">
        <f t="shared" si="45"/>
        <v/>
      </c>
    </row>
    <row r="561" spans="4:10" ht="22.5" customHeight="1" x14ac:dyDescent="0.25">
      <c r="D561" s="59" t="str">
        <f t="shared" si="41"/>
        <v/>
      </c>
      <c r="E561" s="59" t="str">
        <f t="shared" si="43"/>
        <v/>
      </c>
      <c r="F561" s="59" t="str">
        <f t="shared" si="44"/>
        <v/>
      </c>
      <c r="G561" s="59" t="str">
        <f>IF($A561="","",
   SUMIFS(Transactions!$P:$P,
          Transactions!$G:$G,$A561,
          Transactions!$C:$C,"IN",
          Transactions!$Q:$Q,"Paid"))</f>
        <v/>
      </c>
      <c r="H561" s="59" t="str">
        <f>IF($A561="","",
   SUMIFS(Transactions!$P:$P,
          Transactions!$G:$G,$A561,
          Transactions!$C:$C,"OUT"))</f>
        <v/>
      </c>
      <c r="I561" s="65" t="str">
        <f t="shared" si="42"/>
        <v/>
      </c>
      <c r="J561" s="59" t="str">
        <f t="shared" si="45"/>
        <v/>
      </c>
    </row>
    <row r="562" spans="4:10" ht="22.5" customHeight="1" x14ac:dyDescent="0.25">
      <c r="D562" s="59" t="str">
        <f t="shared" si="41"/>
        <v/>
      </c>
      <c r="E562" s="59" t="str">
        <f t="shared" si="43"/>
        <v/>
      </c>
      <c r="F562" s="59" t="str">
        <f t="shared" si="44"/>
        <v/>
      </c>
      <c r="G562" s="59" t="str">
        <f>IF($A562="","",
   SUMIFS(Transactions!$P:$P,
          Transactions!$G:$G,$A562,
          Transactions!$C:$C,"IN",
          Transactions!$Q:$Q,"Paid"))</f>
        <v/>
      </c>
      <c r="H562" s="59" t="str">
        <f>IF($A562="","",
   SUMIFS(Transactions!$P:$P,
          Transactions!$G:$G,$A562,
          Transactions!$C:$C,"OUT"))</f>
        <v/>
      </c>
      <c r="I562" s="65" t="str">
        <f t="shared" si="42"/>
        <v/>
      </c>
      <c r="J562" s="59" t="str">
        <f t="shared" si="45"/>
        <v/>
      </c>
    </row>
    <row r="563" spans="4:10" ht="22.5" customHeight="1" x14ac:dyDescent="0.25">
      <c r="D563" s="59" t="str">
        <f t="shared" si="41"/>
        <v/>
      </c>
      <c r="E563" s="59" t="str">
        <f t="shared" si="43"/>
        <v/>
      </c>
      <c r="F563" s="59" t="str">
        <f t="shared" si="44"/>
        <v/>
      </c>
      <c r="G563" s="59" t="str">
        <f>IF($A563="","",
   SUMIFS(Transactions!$P:$P,
          Transactions!$G:$G,$A563,
          Transactions!$C:$C,"IN",
          Transactions!$Q:$Q,"Paid"))</f>
        <v/>
      </c>
      <c r="H563" s="59" t="str">
        <f>IF($A563="","",
   SUMIFS(Transactions!$P:$P,
          Transactions!$G:$G,$A563,
          Transactions!$C:$C,"OUT"))</f>
        <v/>
      </c>
      <c r="I563" s="65" t="str">
        <f t="shared" si="42"/>
        <v/>
      </c>
      <c r="J563" s="59" t="str">
        <f t="shared" si="45"/>
        <v/>
      </c>
    </row>
    <row r="564" spans="4:10" ht="22.5" customHeight="1" x14ac:dyDescent="0.25">
      <c r="D564" s="59" t="str">
        <f t="shared" si="41"/>
        <v/>
      </c>
      <c r="E564" s="59" t="str">
        <f t="shared" si="43"/>
        <v/>
      </c>
      <c r="F564" s="59" t="str">
        <f t="shared" si="44"/>
        <v/>
      </c>
      <c r="G564" s="59" t="str">
        <f>IF($A564="","",
   SUMIFS(Transactions!$P:$P,
          Transactions!$G:$G,$A564,
          Transactions!$C:$C,"IN",
          Transactions!$Q:$Q,"Paid"))</f>
        <v/>
      </c>
      <c r="H564" s="59" t="str">
        <f>IF($A564="","",
   SUMIFS(Transactions!$P:$P,
          Transactions!$G:$G,$A564,
          Transactions!$C:$C,"OUT"))</f>
        <v/>
      </c>
      <c r="I564" s="65" t="str">
        <f t="shared" si="42"/>
        <v/>
      </c>
      <c r="J564" s="59" t="str">
        <f t="shared" si="45"/>
        <v/>
      </c>
    </row>
    <row r="565" spans="4:10" ht="22.5" customHeight="1" x14ac:dyDescent="0.25">
      <c r="D565" s="59" t="str">
        <f t="shared" si="41"/>
        <v/>
      </c>
      <c r="E565" s="59" t="str">
        <f t="shared" si="43"/>
        <v/>
      </c>
      <c r="F565" s="59" t="str">
        <f t="shared" si="44"/>
        <v/>
      </c>
      <c r="G565" s="59" t="str">
        <f>IF($A565="","",
   SUMIFS(Transactions!$P:$P,
          Transactions!$G:$G,$A565,
          Transactions!$C:$C,"IN",
          Transactions!$Q:$Q,"Paid"))</f>
        <v/>
      </c>
      <c r="H565" s="59" t="str">
        <f>IF($A565="","",
   SUMIFS(Transactions!$P:$P,
          Transactions!$G:$G,$A565,
          Transactions!$C:$C,"OUT"))</f>
        <v/>
      </c>
      <c r="I565" s="65" t="str">
        <f t="shared" si="42"/>
        <v/>
      </c>
      <c r="J565" s="59" t="str">
        <f t="shared" si="45"/>
        <v/>
      </c>
    </row>
    <row r="566" spans="4:10" ht="22.5" customHeight="1" x14ac:dyDescent="0.25">
      <c r="D566" s="59" t="str">
        <f t="shared" si="41"/>
        <v/>
      </c>
      <c r="E566" s="59" t="str">
        <f t="shared" si="43"/>
        <v/>
      </c>
      <c r="F566" s="59" t="str">
        <f t="shared" si="44"/>
        <v/>
      </c>
      <c r="G566" s="59" t="str">
        <f>IF($A566="","",
   SUMIFS(Transactions!$P:$P,
          Transactions!$G:$G,$A566,
          Transactions!$C:$C,"IN",
          Transactions!$Q:$Q,"Paid"))</f>
        <v/>
      </c>
      <c r="H566" s="59" t="str">
        <f>IF($A566="","",
   SUMIFS(Transactions!$P:$P,
          Transactions!$G:$G,$A566,
          Transactions!$C:$C,"OUT"))</f>
        <v/>
      </c>
      <c r="I566" s="65" t="str">
        <f t="shared" si="42"/>
        <v/>
      </c>
      <c r="J566" s="59" t="str">
        <f t="shared" si="45"/>
        <v/>
      </c>
    </row>
    <row r="567" spans="4:10" ht="22.5" customHeight="1" x14ac:dyDescent="0.25">
      <c r="D567" s="59" t="str">
        <f t="shared" si="41"/>
        <v/>
      </c>
      <c r="E567" s="59" t="str">
        <f t="shared" si="43"/>
        <v/>
      </c>
      <c r="F567" s="59" t="str">
        <f t="shared" si="44"/>
        <v/>
      </c>
      <c r="G567" s="59" t="str">
        <f>IF($A567="","",
   SUMIFS(Transactions!$P:$P,
          Transactions!$G:$G,$A567,
          Transactions!$C:$C,"IN",
          Transactions!$Q:$Q,"Paid"))</f>
        <v/>
      </c>
      <c r="H567" s="59" t="str">
        <f>IF($A567="","",
   SUMIFS(Transactions!$P:$P,
          Transactions!$G:$G,$A567,
          Transactions!$C:$C,"OUT"))</f>
        <v/>
      </c>
      <c r="I567" s="65" t="str">
        <f t="shared" si="42"/>
        <v/>
      </c>
      <c r="J567" s="59" t="str">
        <f t="shared" si="45"/>
        <v/>
      </c>
    </row>
    <row r="568" spans="4:10" ht="22.5" customHeight="1" x14ac:dyDescent="0.25">
      <c r="D568" s="59" t="str">
        <f t="shared" si="41"/>
        <v/>
      </c>
      <c r="E568" s="59" t="str">
        <f t="shared" si="43"/>
        <v/>
      </c>
      <c r="F568" s="59" t="str">
        <f t="shared" si="44"/>
        <v/>
      </c>
      <c r="G568" s="59" t="str">
        <f>IF($A568="","",
   SUMIFS(Transactions!$P:$P,
          Transactions!$G:$G,$A568,
          Transactions!$C:$C,"IN",
          Transactions!$Q:$Q,"Paid"))</f>
        <v/>
      </c>
      <c r="H568" s="59" t="str">
        <f>IF($A568="","",
   SUMIFS(Transactions!$P:$P,
          Transactions!$G:$G,$A568,
          Transactions!$C:$C,"OUT"))</f>
        <v/>
      </c>
      <c r="I568" s="65" t="str">
        <f t="shared" si="42"/>
        <v/>
      </c>
      <c r="J568" s="59" t="str">
        <f t="shared" si="45"/>
        <v/>
      </c>
    </row>
    <row r="569" spans="4:10" ht="22.5" customHeight="1" x14ac:dyDescent="0.25">
      <c r="D569" s="59" t="str">
        <f t="shared" si="41"/>
        <v/>
      </c>
      <c r="E569" s="59" t="str">
        <f t="shared" si="43"/>
        <v/>
      </c>
      <c r="F569" s="59" t="str">
        <f t="shared" si="44"/>
        <v/>
      </c>
      <c r="G569" s="59" t="str">
        <f>IF($A569="","",
   SUMIFS(Transactions!$P:$P,
          Transactions!$G:$G,$A569,
          Transactions!$C:$C,"IN",
          Transactions!$Q:$Q,"Paid"))</f>
        <v/>
      </c>
      <c r="H569" s="59" t="str">
        <f>IF($A569="","",
   SUMIFS(Transactions!$P:$P,
          Transactions!$G:$G,$A569,
          Transactions!$C:$C,"OUT"))</f>
        <v/>
      </c>
      <c r="I569" s="65" t="str">
        <f t="shared" si="42"/>
        <v/>
      </c>
      <c r="J569" s="59" t="str">
        <f t="shared" si="45"/>
        <v/>
      </c>
    </row>
    <row r="570" spans="4:10" ht="22.5" customHeight="1" x14ac:dyDescent="0.25">
      <c r="D570" s="59" t="str">
        <f t="shared" si="41"/>
        <v/>
      </c>
      <c r="E570" s="59" t="str">
        <f t="shared" si="43"/>
        <v/>
      </c>
      <c r="F570" s="59" t="str">
        <f t="shared" si="44"/>
        <v/>
      </c>
      <c r="G570" s="59" t="str">
        <f>IF($A570="","",
   SUMIFS(Transactions!$P:$P,
          Transactions!$G:$G,$A570,
          Transactions!$C:$C,"IN",
          Transactions!$Q:$Q,"Paid"))</f>
        <v/>
      </c>
      <c r="H570" s="59" t="str">
        <f>IF($A570="","",
   SUMIFS(Transactions!$P:$P,
          Transactions!$G:$G,$A570,
          Transactions!$C:$C,"OUT"))</f>
        <v/>
      </c>
      <c r="I570" s="65" t="str">
        <f t="shared" si="42"/>
        <v/>
      </c>
      <c r="J570" s="59" t="str">
        <f t="shared" si="45"/>
        <v/>
      </c>
    </row>
    <row r="571" spans="4:10" ht="22.5" customHeight="1" x14ac:dyDescent="0.25">
      <c r="D571" s="59" t="str">
        <f t="shared" si="41"/>
        <v/>
      </c>
      <c r="E571" s="59" t="str">
        <f t="shared" si="43"/>
        <v/>
      </c>
      <c r="F571" s="59" t="str">
        <f t="shared" si="44"/>
        <v/>
      </c>
      <c r="G571" s="59" t="str">
        <f>IF($A571="","",
   SUMIFS(Transactions!$P:$P,
          Transactions!$G:$G,$A571,
          Transactions!$C:$C,"IN",
          Transactions!$Q:$Q,"Paid"))</f>
        <v/>
      </c>
      <c r="H571" s="59" t="str">
        <f>IF($A571="","",
   SUMIFS(Transactions!$P:$P,
          Transactions!$G:$G,$A571,
          Transactions!$C:$C,"OUT"))</f>
        <v/>
      </c>
      <c r="I571" s="65" t="str">
        <f t="shared" si="42"/>
        <v/>
      </c>
      <c r="J571" s="59" t="str">
        <f t="shared" si="45"/>
        <v/>
      </c>
    </row>
    <row r="572" spans="4:10" ht="22.5" customHeight="1" x14ac:dyDescent="0.25">
      <c r="D572" s="59" t="str">
        <f t="shared" si="41"/>
        <v/>
      </c>
      <c r="E572" s="59" t="str">
        <f t="shared" si="43"/>
        <v/>
      </c>
      <c r="F572" s="59" t="str">
        <f t="shared" si="44"/>
        <v/>
      </c>
      <c r="G572" s="59" t="str">
        <f>IF($A572="","",
   SUMIFS(Transactions!$P:$P,
          Transactions!$G:$G,$A572,
          Transactions!$C:$C,"IN",
          Transactions!$Q:$Q,"Paid"))</f>
        <v/>
      </c>
      <c r="H572" s="59" t="str">
        <f>IF($A572="","",
   SUMIFS(Transactions!$P:$P,
          Transactions!$G:$G,$A572,
          Transactions!$C:$C,"OUT"))</f>
        <v/>
      </c>
      <c r="I572" s="65" t="str">
        <f t="shared" si="42"/>
        <v/>
      </c>
      <c r="J572" s="59" t="str">
        <f t="shared" si="45"/>
        <v/>
      </c>
    </row>
    <row r="573" spans="4:10" ht="22.5" customHeight="1" x14ac:dyDescent="0.25">
      <c r="D573" s="59" t="str">
        <f t="shared" si="41"/>
        <v/>
      </c>
      <c r="E573" s="59" t="str">
        <f t="shared" si="43"/>
        <v/>
      </c>
      <c r="F573" s="59" t="str">
        <f t="shared" si="44"/>
        <v/>
      </c>
      <c r="G573" s="59" t="str">
        <f>IF($A573="","",
   SUMIFS(Transactions!$P:$P,
          Transactions!$G:$G,$A573,
          Transactions!$C:$C,"IN",
          Transactions!$Q:$Q,"Paid"))</f>
        <v/>
      </c>
      <c r="H573" s="59" t="str">
        <f>IF($A573="","",
   SUMIFS(Transactions!$P:$P,
          Transactions!$G:$G,$A573,
          Transactions!$C:$C,"OUT"))</f>
        <v/>
      </c>
      <c r="I573" s="65" t="str">
        <f t="shared" si="42"/>
        <v/>
      </c>
      <c r="J573" s="59" t="str">
        <f t="shared" si="45"/>
        <v/>
      </c>
    </row>
    <row r="574" spans="4:10" ht="22.5" customHeight="1" x14ac:dyDescent="0.25">
      <c r="D574" s="59" t="str">
        <f t="shared" si="41"/>
        <v/>
      </c>
      <c r="E574" s="59" t="str">
        <f t="shared" si="43"/>
        <v/>
      </c>
      <c r="F574" s="59" t="str">
        <f t="shared" si="44"/>
        <v/>
      </c>
      <c r="G574" s="59" t="str">
        <f>IF($A574="","",
   SUMIFS(Transactions!$P:$P,
          Transactions!$G:$G,$A574,
          Transactions!$C:$C,"IN",
          Transactions!$Q:$Q,"Paid"))</f>
        <v/>
      </c>
      <c r="H574" s="59" t="str">
        <f>IF($A574="","",
   SUMIFS(Transactions!$P:$P,
          Transactions!$G:$G,$A574,
          Transactions!$C:$C,"OUT"))</f>
        <v/>
      </c>
      <c r="I574" s="65" t="str">
        <f t="shared" si="42"/>
        <v/>
      </c>
      <c r="J574" s="59" t="str">
        <f t="shared" si="45"/>
        <v/>
      </c>
    </row>
    <row r="575" spans="4:10" ht="22.5" customHeight="1" x14ac:dyDescent="0.25">
      <c r="D575" s="59" t="str">
        <f t="shared" si="41"/>
        <v/>
      </c>
      <c r="E575" s="59" t="str">
        <f t="shared" si="43"/>
        <v/>
      </c>
      <c r="F575" s="59" t="str">
        <f t="shared" si="44"/>
        <v/>
      </c>
      <c r="G575" s="59" t="str">
        <f>IF($A575="","",
   SUMIFS(Transactions!$P:$P,
          Transactions!$G:$G,$A575,
          Transactions!$C:$C,"IN",
          Transactions!$Q:$Q,"Paid"))</f>
        <v/>
      </c>
      <c r="H575" s="59" t="str">
        <f>IF($A575="","",
   SUMIFS(Transactions!$P:$P,
          Transactions!$G:$G,$A575,
          Transactions!$C:$C,"OUT"))</f>
        <v/>
      </c>
      <c r="I575" s="65" t="str">
        <f t="shared" si="42"/>
        <v/>
      </c>
      <c r="J575" s="59" t="str">
        <f t="shared" si="45"/>
        <v/>
      </c>
    </row>
    <row r="576" spans="4:10" ht="22.5" customHeight="1" x14ac:dyDescent="0.25">
      <c r="D576" s="59" t="str">
        <f t="shared" si="41"/>
        <v/>
      </c>
      <c r="E576" s="59" t="str">
        <f t="shared" si="43"/>
        <v/>
      </c>
      <c r="F576" s="59" t="str">
        <f t="shared" si="44"/>
        <v/>
      </c>
      <c r="G576" s="59" t="str">
        <f>IF($A576="","",
   SUMIFS(Transactions!$P:$P,
          Transactions!$G:$G,$A576,
          Transactions!$C:$C,"IN",
          Transactions!$Q:$Q,"Paid"))</f>
        <v/>
      </c>
      <c r="H576" s="59" t="str">
        <f>IF($A576="","",
   SUMIFS(Transactions!$P:$P,
          Transactions!$G:$G,$A576,
          Transactions!$C:$C,"OUT"))</f>
        <v/>
      </c>
      <c r="I576" s="65" t="str">
        <f t="shared" si="42"/>
        <v/>
      </c>
      <c r="J576" s="59" t="str">
        <f t="shared" si="45"/>
        <v/>
      </c>
    </row>
    <row r="577" spans="4:10" ht="22.5" customHeight="1" x14ac:dyDescent="0.25">
      <c r="D577" s="59" t="str">
        <f t="shared" si="41"/>
        <v/>
      </c>
      <c r="E577" s="59" t="str">
        <f t="shared" si="43"/>
        <v/>
      </c>
      <c r="F577" s="59" t="str">
        <f t="shared" si="44"/>
        <v/>
      </c>
      <c r="G577" s="59" t="str">
        <f>IF($A577="","",
   SUMIFS(Transactions!$P:$P,
          Transactions!$G:$G,$A577,
          Transactions!$C:$C,"IN",
          Transactions!$Q:$Q,"Paid"))</f>
        <v/>
      </c>
      <c r="H577" s="59" t="str">
        <f>IF($A577="","",
   SUMIFS(Transactions!$P:$P,
          Transactions!$G:$G,$A577,
          Transactions!$C:$C,"OUT"))</f>
        <v/>
      </c>
      <c r="I577" s="65" t="str">
        <f t="shared" si="42"/>
        <v/>
      </c>
      <c r="J577" s="59" t="str">
        <f t="shared" si="45"/>
        <v/>
      </c>
    </row>
    <row r="578" spans="4:10" ht="22.5" customHeight="1" x14ac:dyDescent="0.25">
      <c r="D578" s="59" t="str">
        <f t="shared" si="41"/>
        <v/>
      </c>
      <c r="E578" s="59" t="str">
        <f t="shared" si="43"/>
        <v/>
      </c>
      <c r="F578" s="59" t="str">
        <f t="shared" si="44"/>
        <v/>
      </c>
      <c r="G578" s="59" t="str">
        <f>IF($A578="","",
   SUMIFS(Transactions!$P:$P,
          Transactions!$G:$G,$A578,
          Transactions!$C:$C,"IN",
          Transactions!$Q:$Q,"Paid"))</f>
        <v/>
      </c>
      <c r="H578" s="59" t="str">
        <f>IF($A578="","",
   SUMIFS(Transactions!$P:$P,
          Transactions!$G:$G,$A578,
          Transactions!$C:$C,"OUT"))</f>
        <v/>
      </c>
      <c r="I578" s="65" t="str">
        <f t="shared" si="42"/>
        <v/>
      </c>
      <c r="J578" s="59" t="str">
        <f t="shared" si="45"/>
        <v/>
      </c>
    </row>
    <row r="579" spans="4:10" ht="22.5" customHeight="1" x14ac:dyDescent="0.25">
      <c r="D579" s="59" t="str">
        <f t="shared" ref="D579:D642" si="46">IF(C579="","",ROUND(C579*0.15,2))</f>
        <v/>
      </c>
      <c r="E579" s="59" t="str">
        <f t="shared" si="43"/>
        <v/>
      </c>
      <c r="F579" s="59" t="str">
        <f t="shared" si="44"/>
        <v/>
      </c>
      <c r="G579" s="59" t="str">
        <f>IF($A579="","",
   SUMIFS(Transactions!$P:$P,
          Transactions!$G:$G,$A579,
          Transactions!$C:$C,"IN",
          Transactions!$Q:$Q,"Paid"))</f>
        <v/>
      </c>
      <c r="H579" s="59" t="str">
        <f>IF($A579="","",
   SUMIFS(Transactions!$P:$P,
          Transactions!$G:$G,$A579,
          Transactions!$C:$C,"OUT"))</f>
        <v/>
      </c>
      <c r="I579" s="65" t="str">
        <f t="shared" ref="I579:I642" si="47">IF(C579="","",C579-H579)</f>
        <v/>
      </c>
      <c r="J579" s="59" t="str">
        <f t="shared" si="45"/>
        <v/>
      </c>
    </row>
    <row r="580" spans="4:10" ht="22.5" customHeight="1" x14ac:dyDescent="0.25">
      <c r="D580" s="59" t="str">
        <f t="shared" si="46"/>
        <v/>
      </c>
      <c r="E580" s="59" t="str">
        <f t="shared" ref="E580:E643" si="48">IF(C580="","",C580+D580)</f>
        <v/>
      </c>
      <c r="F580" s="59" t="str">
        <f t="shared" ref="F580:F643" si="49">IF(E580="","",E580*0.5)</f>
        <v/>
      </c>
      <c r="G580" s="59" t="str">
        <f>IF($A580="","",
   SUMIFS(Transactions!$P:$P,
          Transactions!$G:$G,$A580,
          Transactions!$C:$C,"IN",
          Transactions!$Q:$Q,"Paid"))</f>
        <v/>
      </c>
      <c r="H580" s="59" t="str">
        <f>IF($A580="","",
   SUMIFS(Transactions!$P:$P,
          Transactions!$G:$G,$A580,
          Transactions!$C:$C,"OUT"))</f>
        <v/>
      </c>
      <c r="I580" s="65" t="str">
        <f t="shared" si="47"/>
        <v/>
      </c>
      <c r="J580" s="59" t="str">
        <f t="shared" ref="J580:J643" si="50">IF(E580="","",E580-G580)</f>
        <v/>
      </c>
    </row>
    <row r="581" spans="4:10" ht="22.5" customHeight="1" x14ac:dyDescent="0.25">
      <c r="D581" s="59" t="str">
        <f t="shared" si="46"/>
        <v/>
      </c>
      <c r="E581" s="59" t="str">
        <f t="shared" si="48"/>
        <v/>
      </c>
      <c r="F581" s="59" t="str">
        <f t="shared" si="49"/>
        <v/>
      </c>
      <c r="G581" s="59" t="str">
        <f>IF($A581="","",
   SUMIFS(Transactions!$P:$P,
          Transactions!$G:$G,$A581,
          Transactions!$C:$C,"IN",
          Transactions!$Q:$Q,"Paid"))</f>
        <v/>
      </c>
      <c r="H581" s="59" t="str">
        <f>IF($A581="","",
   SUMIFS(Transactions!$P:$P,
          Transactions!$G:$G,$A581,
          Transactions!$C:$C,"OUT"))</f>
        <v/>
      </c>
      <c r="I581" s="65" t="str">
        <f t="shared" si="47"/>
        <v/>
      </c>
      <c r="J581" s="59" t="str">
        <f t="shared" si="50"/>
        <v/>
      </c>
    </row>
    <row r="582" spans="4:10" ht="22.5" customHeight="1" x14ac:dyDescent="0.25">
      <c r="D582" s="59" t="str">
        <f t="shared" si="46"/>
        <v/>
      </c>
      <c r="E582" s="59" t="str">
        <f t="shared" si="48"/>
        <v/>
      </c>
      <c r="F582" s="59" t="str">
        <f t="shared" si="49"/>
        <v/>
      </c>
      <c r="G582" s="59" t="str">
        <f>IF($A582="","",
   SUMIFS(Transactions!$P:$P,
          Transactions!$G:$G,$A582,
          Transactions!$C:$C,"IN",
          Transactions!$Q:$Q,"Paid"))</f>
        <v/>
      </c>
      <c r="H582" s="59" t="str">
        <f>IF($A582="","",
   SUMIFS(Transactions!$P:$P,
          Transactions!$G:$G,$A582,
          Transactions!$C:$C,"OUT"))</f>
        <v/>
      </c>
      <c r="I582" s="65" t="str">
        <f t="shared" si="47"/>
        <v/>
      </c>
      <c r="J582" s="59" t="str">
        <f t="shared" si="50"/>
        <v/>
      </c>
    </row>
    <row r="583" spans="4:10" ht="22.5" customHeight="1" x14ac:dyDescent="0.25">
      <c r="D583" s="59" t="str">
        <f t="shared" si="46"/>
        <v/>
      </c>
      <c r="E583" s="59" t="str">
        <f t="shared" si="48"/>
        <v/>
      </c>
      <c r="F583" s="59" t="str">
        <f t="shared" si="49"/>
        <v/>
      </c>
      <c r="G583" s="59" t="str">
        <f>IF($A583="","",
   SUMIFS(Transactions!$P:$P,
          Transactions!$G:$G,$A583,
          Transactions!$C:$C,"IN",
          Transactions!$Q:$Q,"Paid"))</f>
        <v/>
      </c>
      <c r="H583" s="59" t="str">
        <f>IF($A583="","",
   SUMIFS(Transactions!$P:$P,
          Transactions!$G:$G,$A583,
          Transactions!$C:$C,"OUT"))</f>
        <v/>
      </c>
      <c r="I583" s="65" t="str">
        <f t="shared" si="47"/>
        <v/>
      </c>
      <c r="J583" s="59" t="str">
        <f t="shared" si="50"/>
        <v/>
      </c>
    </row>
    <row r="584" spans="4:10" ht="22.5" customHeight="1" x14ac:dyDescent="0.25">
      <c r="D584" s="59" t="str">
        <f t="shared" si="46"/>
        <v/>
      </c>
      <c r="E584" s="59" t="str">
        <f t="shared" si="48"/>
        <v/>
      </c>
      <c r="F584" s="59" t="str">
        <f t="shared" si="49"/>
        <v/>
      </c>
      <c r="G584" s="59" t="str">
        <f>IF($A584="","",
   SUMIFS(Transactions!$P:$P,
          Transactions!$G:$G,$A584,
          Transactions!$C:$C,"IN",
          Transactions!$Q:$Q,"Paid"))</f>
        <v/>
      </c>
      <c r="H584" s="59" t="str">
        <f>IF($A584="","",
   SUMIFS(Transactions!$P:$P,
          Transactions!$G:$G,$A584,
          Transactions!$C:$C,"OUT"))</f>
        <v/>
      </c>
      <c r="I584" s="65" t="str">
        <f t="shared" si="47"/>
        <v/>
      </c>
      <c r="J584" s="59" t="str">
        <f t="shared" si="50"/>
        <v/>
      </c>
    </row>
    <row r="585" spans="4:10" ht="22.5" customHeight="1" x14ac:dyDescent="0.25">
      <c r="D585" s="59" t="str">
        <f t="shared" si="46"/>
        <v/>
      </c>
      <c r="E585" s="59" t="str">
        <f t="shared" si="48"/>
        <v/>
      </c>
      <c r="F585" s="59" t="str">
        <f t="shared" si="49"/>
        <v/>
      </c>
      <c r="G585" s="59" t="str">
        <f>IF($A585="","",
   SUMIFS(Transactions!$P:$P,
          Transactions!$G:$G,$A585,
          Transactions!$C:$C,"IN",
          Transactions!$Q:$Q,"Paid"))</f>
        <v/>
      </c>
      <c r="H585" s="59" t="str">
        <f>IF($A585="","",
   SUMIFS(Transactions!$P:$P,
          Transactions!$G:$G,$A585,
          Transactions!$C:$C,"OUT"))</f>
        <v/>
      </c>
      <c r="I585" s="65" t="str">
        <f t="shared" si="47"/>
        <v/>
      </c>
      <c r="J585" s="59" t="str">
        <f t="shared" si="50"/>
        <v/>
      </c>
    </row>
    <row r="586" spans="4:10" ht="22.5" customHeight="1" x14ac:dyDescent="0.25">
      <c r="D586" s="59" t="str">
        <f t="shared" si="46"/>
        <v/>
      </c>
      <c r="E586" s="59" t="str">
        <f t="shared" si="48"/>
        <v/>
      </c>
      <c r="F586" s="59" t="str">
        <f t="shared" si="49"/>
        <v/>
      </c>
      <c r="G586" s="59" t="str">
        <f>IF($A586="","",
   SUMIFS(Transactions!$P:$P,
          Transactions!$G:$G,$A586,
          Transactions!$C:$C,"IN",
          Transactions!$Q:$Q,"Paid"))</f>
        <v/>
      </c>
      <c r="H586" s="59" t="str">
        <f>IF($A586="","",
   SUMIFS(Transactions!$P:$P,
          Transactions!$G:$G,$A586,
          Transactions!$C:$C,"OUT"))</f>
        <v/>
      </c>
      <c r="I586" s="65" t="str">
        <f t="shared" si="47"/>
        <v/>
      </c>
      <c r="J586" s="59" t="str">
        <f t="shared" si="50"/>
        <v/>
      </c>
    </row>
    <row r="587" spans="4:10" ht="22.5" customHeight="1" x14ac:dyDescent="0.25">
      <c r="D587" s="59" t="str">
        <f t="shared" si="46"/>
        <v/>
      </c>
      <c r="E587" s="59" t="str">
        <f t="shared" si="48"/>
        <v/>
      </c>
      <c r="F587" s="59" t="str">
        <f t="shared" si="49"/>
        <v/>
      </c>
      <c r="G587" s="59" t="str">
        <f>IF($A587="","",
   SUMIFS(Transactions!$P:$P,
          Transactions!$G:$G,$A587,
          Transactions!$C:$C,"IN",
          Transactions!$Q:$Q,"Paid"))</f>
        <v/>
      </c>
      <c r="H587" s="59" t="str">
        <f>IF($A587="","",
   SUMIFS(Transactions!$P:$P,
          Transactions!$G:$G,$A587,
          Transactions!$C:$C,"OUT"))</f>
        <v/>
      </c>
      <c r="I587" s="65" t="str">
        <f t="shared" si="47"/>
        <v/>
      </c>
      <c r="J587" s="59" t="str">
        <f t="shared" si="50"/>
        <v/>
      </c>
    </row>
    <row r="588" spans="4:10" ht="22.5" customHeight="1" x14ac:dyDescent="0.25">
      <c r="D588" s="59" t="str">
        <f t="shared" si="46"/>
        <v/>
      </c>
      <c r="E588" s="59" t="str">
        <f t="shared" si="48"/>
        <v/>
      </c>
      <c r="F588" s="59" t="str">
        <f t="shared" si="49"/>
        <v/>
      </c>
      <c r="G588" s="59" t="str">
        <f>IF($A588="","",
   SUMIFS(Transactions!$P:$P,
          Transactions!$G:$G,$A588,
          Transactions!$C:$C,"IN",
          Transactions!$Q:$Q,"Paid"))</f>
        <v/>
      </c>
      <c r="H588" s="59" t="str">
        <f>IF($A588="","",
   SUMIFS(Transactions!$P:$P,
          Transactions!$G:$G,$A588,
          Transactions!$C:$C,"OUT"))</f>
        <v/>
      </c>
      <c r="I588" s="65" t="str">
        <f t="shared" si="47"/>
        <v/>
      </c>
      <c r="J588" s="59" t="str">
        <f t="shared" si="50"/>
        <v/>
      </c>
    </row>
    <row r="589" spans="4:10" ht="22.5" customHeight="1" x14ac:dyDescent="0.25">
      <c r="D589" s="59" t="str">
        <f t="shared" si="46"/>
        <v/>
      </c>
      <c r="E589" s="59" t="str">
        <f t="shared" si="48"/>
        <v/>
      </c>
      <c r="F589" s="59" t="str">
        <f t="shared" si="49"/>
        <v/>
      </c>
      <c r="G589" s="59" t="str">
        <f>IF($A589="","",
   SUMIFS(Transactions!$P:$P,
          Transactions!$G:$G,$A589,
          Transactions!$C:$C,"IN",
          Transactions!$Q:$Q,"Paid"))</f>
        <v/>
      </c>
      <c r="H589" s="59" t="str">
        <f>IF($A589="","",
   SUMIFS(Transactions!$P:$P,
          Transactions!$G:$G,$A589,
          Transactions!$C:$C,"OUT"))</f>
        <v/>
      </c>
      <c r="I589" s="65" t="str">
        <f t="shared" si="47"/>
        <v/>
      </c>
      <c r="J589" s="59" t="str">
        <f t="shared" si="50"/>
        <v/>
      </c>
    </row>
    <row r="590" spans="4:10" ht="22.5" customHeight="1" x14ac:dyDescent="0.25">
      <c r="D590" s="59" t="str">
        <f t="shared" si="46"/>
        <v/>
      </c>
      <c r="E590" s="59" t="str">
        <f t="shared" si="48"/>
        <v/>
      </c>
      <c r="F590" s="59" t="str">
        <f t="shared" si="49"/>
        <v/>
      </c>
      <c r="G590" s="59" t="str">
        <f>IF($A590="","",
   SUMIFS(Transactions!$P:$P,
          Transactions!$G:$G,$A590,
          Transactions!$C:$C,"IN",
          Transactions!$Q:$Q,"Paid"))</f>
        <v/>
      </c>
      <c r="H590" s="59" t="str">
        <f>IF($A590="","",
   SUMIFS(Transactions!$P:$P,
          Transactions!$G:$G,$A590,
          Transactions!$C:$C,"OUT"))</f>
        <v/>
      </c>
      <c r="I590" s="65" t="str">
        <f t="shared" si="47"/>
        <v/>
      </c>
      <c r="J590" s="59" t="str">
        <f t="shared" si="50"/>
        <v/>
      </c>
    </row>
    <row r="591" spans="4:10" ht="22.5" customHeight="1" x14ac:dyDescent="0.25">
      <c r="D591" s="59" t="str">
        <f t="shared" si="46"/>
        <v/>
      </c>
      <c r="E591" s="59" t="str">
        <f t="shared" si="48"/>
        <v/>
      </c>
      <c r="F591" s="59" t="str">
        <f t="shared" si="49"/>
        <v/>
      </c>
      <c r="G591" s="59" t="str">
        <f>IF($A591="","",
   SUMIFS(Transactions!$P:$P,
          Transactions!$G:$G,$A591,
          Transactions!$C:$C,"IN",
          Transactions!$Q:$Q,"Paid"))</f>
        <v/>
      </c>
      <c r="H591" s="59" t="str">
        <f>IF($A591="","",
   SUMIFS(Transactions!$P:$P,
          Transactions!$G:$G,$A591,
          Transactions!$C:$C,"OUT"))</f>
        <v/>
      </c>
      <c r="I591" s="65" t="str">
        <f t="shared" si="47"/>
        <v/>
      </c>
      <c r="J591" s="59" t="str">
        <f t="shared" si="50"/>
        <v/>
      </c>
    </row>
    <row r="592" spans="4:10" ht="22.5" customHeight="1" x14ac:dyDescent="0.25">
      <c r="D592" s="59" t="str">
        <f t="shared" si="46"/>
        <v/>
      </c>
      <c r="E592" s="59" t="str">
        <f t="shared" si="48"/>
        <v/>
      </c>
      <c r="F592" s="59" t="str">
        <f t="shared" si="49"/>
        <v/>
      </c>
      <c r="G592" s="59" t="str">
        <f>IF($A592="","",
   SUMIFS(Transactions!$P:$P,
          Transactions!$G:$G,$A592,
          Transactions!$C:$C,"IN",
          Transactions!$Q:$Q,"Paid"))</f>
        <v/>
      </c>
      <c r="H592" s="59" t="str">
        <f>IF($A592="","",
   SUMIFS(Transactions!$P:$P,
          Transactions!$G:$G,$A592,
          Transactions!$C:$C,"OUT"))</f>
        <v/>
      </c>
      <c r="I592" s="65" t="str">
        <f t="shared" si="47"/>
        <v/>
      </c>
      <c r="J592" s="59" t="str">
        <f t="shared" si="50"/>
        <v/>
      </c>
    </row>
    <row r="593" spans="4:10" ht="22.5" customHeight="1" x14ac:dyDescent="0.25">
      <c r="D593" s="59" t="str">
        <f t="shared" si="46"/>
        <v/>
      </c>
      <c r="E593" s="59" t="str">
        <f t="shared" si="48"/>
        <v/>
      </c>
      <c r="F593" s="59" t="str">
        <f t="shared" si="49"/>
        <v/>
      </c>
      <c r="G593" s="59" t="str">
        <f>IF($A593="","",
   SUMIFS(Transactions!$P:$P,
          Transactions!$G:$G,$A593,
          Transactions!$C:$C,"IN",
          Transactions!$Q:$Q,"Paid"))</f>
        <v/>
      </c>
      <c r="H593" s="59" t="str">
        <f>IF($A593="","",
   SUMIFS(Transactions!$P:$P,
          Transactions!$G:$G,$A593,
          Transactions!$C:$C,"OUT"))</f>
        <v/>
      </c>
      <c r="I593" s="65" t="str">
        <f t="shared" si="47"/>
        <v/>
      </c>
      <c r="J593" s="59" t="str">
        <f t="shared" si="50"/>
        <v/>
      </c>
    </row>
    <row r="594" spans="4:10" ht="22.5" customHeight="1" x14ac:dyDescent="0.25">
      <c r="D594" s="59" t="str">
        <f t="shared" si="46"/>
        <v/>
      </c>
      <c r="E594" s="59" t="str">
        <f t="shared" si="48"/>
        <v/>
      </c>
      <c r="F594" s="59" t="str">
        <f t="shared" si="49"/>
        <v/>
      </c>
      <c r="G594" s="59" t="str">
        <f>IF($A594="","",
   SUMIFS(Transactions!$P:$P,
          Transactions!$G:$G,$A594,
          Transactions!$C:$C,"IN",
          Transactions!$Q:$Q,"Paid"))</f>
        <v/>
      </c>
      <c r="H594" s="59" t="str">
        <f>IF($A594="","",
   SUMIFS(Transactions!$P:$P,
          Transactions!$G:$G,$A594,
          Transactions!$C:$C,"OUT"))</f>
        <v/>
      </c>
      <c r="I594" s="65" t="str">
        <f t="shared" si="47"/>
        <v/>
      </c>
      <c r="J594" s="59" t="str">
        <f t="shared" si="50"/>
        <v/>
      </c>
    </row>
    <row r="595" spans="4:10" ht="22.5" customHeight="1" x14ac:dyDescent="0.25">
      <c r="D595" s="59" t="str">
        <f t="shared" si="46"/>
        <v/>
      </c>
      <c r="E595" s="59" t="str">
        <f t="shared" si="48"/>
        <v/>
      </c>
      <c r="F595" s="59" t="str">
        <f t="shared" si="49"/>
        <v/>
      </c>
      <c r="G595" s="59" t="str">
        <f>IF($A595="","",
   SUMIFS(Transactions!$P:$P,
          Transactions!$G:$G,$A595,
          Transactions!$C:$C,"IN",
          Transactions!$Q:$Q,"Paid"))</f>
        <v/>
      </c>
      <c r="H595" s="59" t="str">
        <f>IF($A595="","",
   SUMIFS(Transactions!$P:$P,
          Transactions!$G:$G,$A595,
          Transactions!$C:$C,"OUT"))</f>
        <v/>
      </c>
      <c r="I595" s="65" t="str">
        <f t="shared" si="47"/>
        <v/>
      </c>
      <c r="J595" s="59" t="str">
        <f t="shared" si="50"/>
        <v/>
      </c>
    </row>
    <row r="596" spans="4:10" ht="22.5" customHeight="1" x14ac:dyDescent="0.25">
      <c r="D596" s="59" t="str">
        <f t="shared" si="46"/>
        <v/>
      </c>
      <c r="E596" s="59" t="str">
        <f t="shared" si="48"/>
        <v/>
      </c>
      <c r="F596" s="59" t="str">
        <f t="shared" si="49"/>
        <v/>
      </c>
      <c r="G596" s="59" t="str">
        <f>IF($A596="","",
   SUMIFS(Transactions!$P:$P,
          Transactions!$G:$G,$A596,
          Transactions!$C:$C,"IN",
          Transactions!$Q:$Q,"Paid"))</f>
        <v/>
      </c>
      <c r="H596" s="59" t="str">
        <f>IF($A596="","",
   SUMIFS(Transactions!$P:$P,
          Transactions!$G:$G,$A596,
          Transactions!$C:$C,"OUT"))</f>
        <v/>
      </c>
      <c r="I596" s="65" t="str">
        <f t="shared" si="47"/>
        <v/>
      </c>
      <c r="J596" s="59" t="str">
        <f t="shared" si="50"/>
        <v/>
      </c>
    </row>
    <row r="597" spans="4:10" ht="22.5" customHeight="1" x14ac:dyDescent="0.25">
      <c r="D597" s="59" t="str">
        <f t="shared" si="46"/>
        <v/>
      </c>
      <c r="E597" s="59" t="str">
        <f t="shared" si="48"/>
        <v/>
      </c>
      <c r="F597" s="59" t="str">
        <f t="shared" si="49"/>
        <v/>
      </c>
      <c r="G597" s="59" t="str">
        <f>IF($A597="","",
   SUMIFS(Transactions!$P:$P,
          Transactions!$G:$G,$A597,
          Transactions!$C:$C,"IN",
          Transactions!$Q:$Q,"Paid"))</f>
        <v/>
      </c>
      <c r="H597" s="59" t="str">
        <f>IF($A597="","",
   SUMIFS(Transactions!$P:$P,
          Transactions!$G:$G,$A597,
          Transactions!$C:$C,"OUT"))</f>
        <v/>
      </c>
      <c r="I597" s="65" t="str">
        <f t="shared" si="47"/>
        <v/>
      </c>
      <c r="J597" s="59" t="str">
        <f t="shared" si="50"/>
        <v/>
      </c>
    </row>
    <row r="598" spans="4:10" ht="22.5" customHeight="1" x14ac:dyDescent="0.25">
      <c r="D598" s="59" t="str">
        <f t="shared" si="46"/>
        <v/>
      </c>
      <c r="E598" s="59" t="str">
        <f t="shared" si="48"/>
        <v/>
      </c>
      <c r="F598" s="59" t="str">
        <f t="shared" si="49"/>
        <v/>
      </c>
      <c r="G598" s="59" t="str">
        <f>IF($A598="","",
   SUMIFS(Transactions!$P:$P,
          Transactions!$G:$G,$A598,
          Transactions!$C:$C,"IN",
          Transactions!$Q:$Q,"Paid"))</f>
        <v/>
      </c>
      <c r="H598" s="59" t="str">
        <f>IF($A598="","",
   SUMIFS(Transactions!$P:$P,
          Transactions!$G:$G,$A598,
          Transactions!$C:$C,"OUT"))</f>
        <v/>
      </c>
      <c r="I598" s="65" t="str">
        <f t="shared" si="47"/>
        <v/>
      </c>
      <c r="J598" s="59" t="str">
        <f t="shared" si="50"/>
        <v/>
      </c>
    </row>
    <row r="599" spans="4:10" ht="22.5" customHeight="1" x14ac:dyDescent="0.25">
      <c r="D599" s="59" t="str">
        <f t="shared" si="46"/>
        <v/>
      </c>
      <c r="E599" s="59" t="str">
        <f t="shared" si="48"/>
        <v/>
      </c>
      <c r="F599" s="59" t="str">
        <f t="shared" si="49"/>
        <v/>
      </c>
      <c r="G599" s="59" t="str">
        <f>IF($A599="","",
   SUMIFS(Transactions!$P:$P,
          Transactions!$G:$G,$A599,
          Transactions!$C:$C,"IN",
          Transactions!$Q:$Q,"Paid"))</f>
        <v/>
      </c>
      <c r="H599" s="59" t="str">
        <f>IF($A599="","",
   SUMIFS(Transactions!$P:$P,
          Transactions!$G:$G,$A599,
          Transactions!$C:$C,"OUT"))</f>
        <v/>
      </c>
      <c r="I599" s="65" t="str">
        <f t="shared" si="47"/>
        <v/>
      </c>
      <c r="J599" s="59" t="str">
        <f t="shared" si="50"/>
        <v/>
      </c>
    </row>
    <row r="600" spans="4:10" ht="22.5" customHeight="1" x14ac:dyDescent="0.25">
      <c r="D600" s="59" t="str">
        <f t="shared" si="46"/>
        <v/>
      </c>
      <c r="E600" s="59" t="str">
        <f t="shared" si="48"/>
        <v/>
      </c>
      <c r="F600" s="59" t="str">
        <f t="shared" si="49"/>
        <v/>
      </c>
      <c r="G600" s="59" t="str">
        <f>IF($A600="","",
   SUMIFS(Transactions!$P:$P,
          Transactions!$G:$G,$A600,
          Transactions!$C:$C,"IN",
          Transactions!$Q:$Q,"Paid"))</f>
        <v/>
      </c>
      <c r="H600" s="59" t="str">
        <f>IF($A600="","",
   SUMIFS(Transactions!$P:$P,
          Transactions!$G:$G,$A600,
          Transactions!$C:$C,"OUT"))</f>
        <v/>
      </c>
      <c r="I600" s="65" t="str">
        <f t="shared" si="47"/>
        <v/>
      </c>
      <c r="J600" s="59" t="str">
        <f t="shared" si="50"/>
        <v/>
      </c>
    </row>
    <row r="601" spans="4:10" ht="22.5" customHeight="1" x14ac:dyDescent="0.25">
      <c r="D601" s="59" t="str">
        <f t="shared" si="46"/>
        <v/>
      </c>
      <c r="E601" s="59" t="str">
        <f t="shared" si="48"/>
        <v/>
      </c>
      <c r="F601" s="59" t="str">
        <f t="shared" si="49"/>
        <v/>
      </c>
      <c r="G601" s="59" t="str">
        <f>IF($A601="","",
   SUMIFS(Transactions!$P:$P,
          Transactions!$G:$G,$A601,
          Transactions!$C:$C,"IN",
          Transactions!$Q:$Q,"Paid"))</f>
        <v/>
      </c>
      <c r="H601" s="59" t="str">
        <f>IF($A601="","",
   SUMIFS(Transactions!$P:$P,
          Transactions!$G:$G,$A601,
          Transactions!$C:$C,"OUT"))</f>
        <v/>
      </c>
      <c r="I601" s="65" t="str">
        <f t="shared" si="47"/>
        <v/>
      </c>
      <c r="J601" s="59" t="str">
        <f t="shared" si="50"/>
        <v/>
      </c>
    </row>
    <row r="602" spans="4:10" ht="22.5" customHeight="1" x14ac:dyDescent="0.25">
      <c r="D602" s="59" t="str">
        <f t="shared" si="46"/>
        <v/>
      </c>
      <c r="E602" s="59" t="str">
        <f t="shared" si="48"/>
        <v/>
      </c>
      <c r="F602" s="59" t="str">
        <f t="shared" si="49"/>
        <v/>
      </c>
      <c r="G602" s="59" t="str">
        <f>IF($A602="","",
   SUMIFS(Transactions!$P:$P,
          Transactions!$G:$G,$A602,
          Transactions!$C:$C,"IN",
          Transactions!$Q:$Q,"Paid"))</f>
        <v/>
      </c>
      <c r="H602" s="59" t="str">
        <f>IF($A602="","",
   SUMIFS(Transactions!$P:$P,
          Transactions!$G:$G,$A602,
          Transactions!$C:$C,"OUT"))</f>
        <v/>
      </c>
      <c r="I602" s="65" t="str">
        <f t="shared" si="47"/>
        <v/>
      </c>
      <c r="J602" s="59" t="str">
        <f t="shared" si="50"/>
        <v/>
      </c>
    </row>
    <row r="603" spans="4:10" ht="22.5" customHeight="1" x14ac:dyDescent="0.25">
      <c r="D603" s="59" t="str">
        <f t="shared" si="46"/>
        <v/>
      </c>
      <c r="E603" s="59" t="str">
        <f t="shared" si="48"/>
        <v/>
      </c>
      <c r="F603" s="59" t="str">
        <f t="shared" si="49"/>
        <v/>
      </c>
      <c r="G603" s="59" t="str">
        <f>IF($A603="","",
   SUMIFS(Transactions!$P:$P,
          Transactions!$G:$G,$A603,
          Transactions!$C:$C,"IN",
          Transactions!$Q:$Q,"Paid"))</f>
        <v/>
      </c>
      <c r="H603" s="59" t="str">
        <f>IF($A603="","",
   SUMIFS(Transactions!$P:$P,
          Transactions!$G:$G,$A603,
          Transactions!$C:$C,"OUT"))</f>
        <v/>
      </c>
      <c r="I603" s="65" t="str">
        <f t="shared" si="47"/>
        <v/>
      </c>
      <c r="J603" s="59" t="str">
        <f t="shared" si="50"/>
        <v/>
      </c>
    </row>
    <row r="604" spans="4:10" ht="22.5" customHeight="1" x14ac:dyDescent="0.25">
      <c r="D604" s="59" t="str">
        <f t="shared" si="46"/>
        <v/>
      </c>
      <c r="E604" s="59" t="str">
        <f t="shared" si="48"/>
        <v/>
      </c>
      <c r="F604" s="59" t="str">
        <f t="shared" si="49"/>
        <v/>
      </c>
      <c r="G604" s="59" t="str">
        <f>IF($A604="","",
   SUMIFS(Transactions!$P:$P,
          Transactions!$G:$G,$A604,
          Transactions!$C:$C,"IN",
          Transactions!$Q:$Q,"Paid"))</f>
        <v/>
      </c>
      <c r="H604" s="59" t="str">
        <f>IF($A604="","",
   SUMIFS(Transactions!$P:$P,
          Transactions!$G:$G,$A604,
          Transactions!$C:$C,"OUT"))</f>
        <v/>
      </c>
      <c r="I604" s="65" t="str">
        <f t="shared" si="47"/>
        <v/>
      </c>
      <c r="J604" s="59" t="str">
        <f t="shared" si="50"/>
        <v/>
      </c>
    </row>
    <row r="605" spans="4:10" ht="22.5" customHeight="1" x14ac:dyDescent="0.25">
      <c r="D605" s="59" t="str">
        <f t="shared" si="46"/>
        <v/>
      </c>
      <c r="E605" s="59" t="str">
        <f t="shared" si="48"/>
        <v/>
      </c>
      <c r="F605" s="59" t="str">
        <f t="shared" si="49"/>
        <v/>
      </c>
      <c r="G605" s="59" t="str">
        <f>IF($A605="","",
   SUMIFS(Transactions!$P:$P,
          Transactions!$G:$G,$A605,
          Transactions!$C:$C,"IN",
          Transactions!$Q:$Q,"Paid"))</f>
        <v/>
      </c>
      <c r="H605" s="59" t="str">
        <f>IF($A605="","",
   SUMIFS(Transactions!$P:$P,
          Transactions!$G:$G,$A605,
          Transactions!$C:$C,"OUT"))</f>
        <v/>
      </c>
      <c r="I605" s="65" t="str">
        <f t="shared" si="47"/>
        <v/>
      </c>
      <c r="J605" s="59" t="str">
        <f t="shared" si="50"/>
        <v/>
      </c>
    </row>
    <row r="606" spans="4:10" ht="22.5" customHeight="1" x14ac:dyDescent="0.25">
      <c r="D606" s="59" t="str">
        <f t="shared" si="46"/>
        <v/>
      </c>
      <c r="E606" s="59" t="str">
        <f t="shared" si="48"/>
        <v/>
      </c>
      <c r="F606" s="59" t="str">
        <f t="shared" si="49"/>
        <v/>
      </c>
      <c r="G606" s="59" t="str">
        <f>IF($A606="","",
   SUMIFS(Transactions!$P:$P,
          Transactions!$G:$G,$A606,
          Transactions!$C:$C,"IN",
          Transactions!$Q:$Q,"Paid"))</f>
        <v/>
      </c>
      <c r="H606" s="59" t="str">
        <f>IF($A606="","",
   SUMIFS(Transactions!$P:$P,
          Transactions!$G:$G,$A606,
          Transactions!$C:$C,"OUT"))</f>
        <v/>
      </c>
      <c r="I606" s="65" t="str">
        <f t="shared" si="47"/>
        <v/>
      </c>
      <c r="J606" s="59" t="str">
        <f t="shared" si="50"/>
        <v/>
      </c>
    </row>
    <row r="607" spans="4:10" ht="22.5" customHeight="1" x14ac:dyDescent="0.25">
      <c r="D607" s="59" t="str">
        <f t="shared" si="46"/>
        <v/>
      </c>
      <c r="E607" s="59" t="str">
        <f t="shared" si="48"/>
        <v/>
      </c>
      <c r="F607" s="59" t="str">
        <f t="shared" si="49"/>
        <v/>
      </c>
      <c r="G607" s="59" t="str">
        <f>IF($A607="","",
   SUMIFS(Transactions!$P:$P,
          Transactions!$G:$G,$A607,
          Transactions!$C:$C,"IN",
          Transactions!$Q:$Q,"Paid"))</f>
        <v/>
      </c>
      <c r="H607" s="59" t="str">
        <f>IF($A607="","",
   SUMIFS(Transactions!$P:$P,
          Transactions!$G:$G,$A607,
          Transactions!$C:$C,"OUT"))</f>
        <v/>
      </c>
      <c r="I607" s="65" t="str">
        <f t="shared" si="47"/>
        <v/>
      </c>
      <c r="J607" s="59" t="str">
        <f t="shared" si="50"/>
        <v/>
      </c>
    </row>
    <row r="608" spans="4:10" ht="22.5" customHeight="1" x14ac:dyDescent="0.25">
      <c r="D608" s="59" t="str">
        <f t="shared" si="46"/>
        <v/>
      </c>
      <c r="E608" s="59" t="str">
        <f t="shared" si="48"/>
        <v/>
      </c>
      <c r="F608" s="59" t="str">
        <f t="shared" si="49"/>
        <v/>
      </c>
      <c r="G608" s="59" t="str">
        <f>IF($A608="","",
   SUMIFS(Transactions!$P:$P,
          Transactions!$G:$G,$A608,
          Transactions!$C:$C,"IN",
          Transactions!$Q:$Q,"Paid"))</f>
        <v/>
      </c>
      <c r="H608" s="59" t="str">
        <f>IF($A608="","",
   SUMIFS(Transactions!$P:$P,
          Transactions!$G:$G,$A608,
          Transactions!$C:$C,"OUT"))</f>
        <v/>
      </c>
      <c r="I608" s="65" t="str">
        <f t="shared" si="47"/>
        <v/>
      </c>
      <c r="J608" s="59" t="str">
        <f t="shared" si="50"/>
        <v/>
      </c>
    </row>
    <row r="609" spans="4:10" ht="22.5" customHeight="1" x14ac:dyDescent="0.25">
      <c r="D609" s="59" t="str">
        <f t="shared" si="46"/>
        <v/>
      </c>
      <c r="E609" s="59" t="str">
        <f t="shared" si="48"/>
        <v/>
      </c>
      <c r="F609" s="59" t="str">
        <f t="shared" si="49"/>
        <v/>
      </c>
      <c r="G609" s="59" t="str">
        <f>IF($A609="","",
   SUMIFS(Transactions!$P:$P,
          Transactions!$G:$G,$A609,
          Transactions!$C:$C,"IN",
          Transactions!$Q:$Q,"Paid"))</f>
        <v/>
      </c>
      <c r="H609" s="59" t="str">
        <f>IF($A609="","",
   SUMIFS(Transactions!$P:$P,
          Transactions!$G:$G,$A609,
          Transactions!$C:$C,"OUT"))</f>
        <v/>
      </c>
      <c r="I609" s="65" t="str">
        <f t="shared" si="47"/>
        <v/>
      </c>
      <c r="J609" s="59" t="str">
        <f t="shared" si="50"/>
        <v/>
      </c>
    </row>
    <row r="610" spans="4:10" ht="22.5" customHeight="1" x14ac:dyDescent="0.25">
      <c r="D610" s="59" t="str">
        <f t="shared" si="46"/>
        <v/>
      </c>
      <c r="E610" s="59" t="str">
        <f t="shared" si="48"/>
        <v/>
      </c>
      <c r="F610" s="59" t="str">
        <f t="shared" si="49"/>
        <v/>
      </c>
      <c r="G610" s="59" t="str">
        <f>IF($A610="","",
   SUMIFS(Transactions!$P:$P,
          Transactions!$G:$G,$A610,
          Transactions!$C:$C,"IN",
          Transactions!$Q:$Q,"Paid"))</f>
        <v/>
      </c>
      <c r="H610" s="59" t="str">
        <f>IF($A610="","",
   SUMIFS(Transactions!$P:$P,
          Transactions!$G:$G,$A610,
          Transactions!$C:$C,"OUT"))</f>
        <v/>
      </c>
      <c r="I610" s="65" t="str">
        <f t="shared" si="47"/>
        <v/>
      </c>
      <c r="J610" s="59" t="str">
        <f t="shared" si="50"/>
        <v/>
      </c>
    </row>
    <row r="611" spans="4:10" ht="22.5" customHeight="1" x14ac:dyDescent="0.25">
      <c r="D611" s="59" t="str">
        <f t="shared" si="46"/>
        <v/>
      </c>
      <c r="E611" s="59" t="str">
        <f t="shared" si="48"/>
        <v/>
      </c>
      <c r="F611" s="59" t="str">
        <f t="shared" si="49"/>
        <v/>
      </c>
      <c r="G611" s="59" t="str">
        <f>IF($A611="","",
   SUMIFS(Transactions!$P:$P,
          Transactions!$G:$G,$A611,
          Transactions!$C:$C,"IN",
          Transactions!$Q:$Q,"Paid"))</f>
        <v/>
      </c>
      <c r="H611" s="59" t="str">
        <f>IF($A611="","",
   SUMIFS(Transactions!$P:$P,
          Transactions!$G:$G,$A611,
          Transactions!$C:$C,"OUT"))</f>
        <v/>
      </c>
      <c r="I611" s="65" t="str">
        <f t="shared" si="47"/>
        <v/>
      </c>
      <c r="J611" s="59" t="str">
        <f t="shared" si="50"/>
        <v/>
      </c>
    </row>
    <row r="612" spans="4:10" ht="22.5" customHeight="1" x14ac:dyDescent="0.25">
      <c r="D612" s="59" t="str">
        <f t="shared" si="46"/>
        <v/>
      </c>
      <c r="E612" s="59" t="str">
        <f t="shared" si="48"/>
        <v/>
      </c>
      <c r="F612" s="59" t="str">
        <f t="shared" si="49"/>
        <v/>
      </c>
      <c r="G612" s="59" t="str">
        <f>IF($A612="","",
   SUMIFS(Transactions!$P:$P,
          Transactions!$G:$G,$A612,
          Transactions!$C:$C,"IN",
          Transactions!$Q:$Q,"Paid"))</f>
        <v/>
      </c>
      <c r="H612" s="59" t="str">
        <f>IF($A612="","",
   SUMIFS(Transactions!$P:$P,
          Transactions!$G:$G,$A612,
          Transactions!$C:$C,"OUT"))</f>
        <v/>
      </c>
      <c r="I612" s="65" t="str">
        <f t="shared" si="47"/>
        <v/>
      </c>
      <c r="J612" s="59" t="str">
        <f t="shared" si="50"/>
        <v/>
      </c>
    </row>
    <row r="613" spans="4:10" ht="22.5" customHeight="1" x14ac:dyDescent="0.25">
      <c r="D613" s="59" t="str">
        <f t="shared" si="46"/>
        <v/>
      </c>
      <c r="E613" s="59" t="str">
        <f t="shared" si="48"/>
        <v/>
      </c>
      <c r="F613" s="59" t="str">
        <f t="shared" si="49"/>
        <v/>
      </c>
      <c r="G613" s="59" t="str">
        <f>IF($A613="","",
   SUMIFS(Transactions!$P:$P,
          Transactions!$G:$G,$A613,
          Transactions!$C:$C,"IN",
          Transactions!$Q:$Q,"Paid"))</f>
        <v/>
      </c>
      <c r="H613" s="59" t="str">
        <f>IF($A613="","",
   SUMIFS(Transactions!$P:$P,
          Transactions!$G:$G,$A613,
          Transactions!$C:$C,"OUT"))</f>
        <v/>
      </c>
      <c r="I613" s="65" t="str">
        <f t="shared" si="47"/>
        <v/>
      </c>
      <c r="J613" s="59" t="str">
        <f t="shared" si="50"/>
        <v/>
      </c>
    </row>
    <row r="614" spans="4:10" ht="22.5" customHeight="1" x14ac:dyDescent="0.25">
      <c r="D614" s="59" t="str">
        <f t="shared" si="46"/>
        <v/>
      </c>
      <c r="E614" s="59" t="str">
        <f t="shared" si="48"/>
        <v/>
      </c>
      <c r="F614" s="59" t="str">
        <f t="shared" si="49"/>
        <v/>
      </c>
      <c r="G614" s="59" t="str">
        <f>IF($A614="","",
   SUMIFS(Transactions!$P:$P,
          Transactions!$G:$G,$A614,
          Transactions!$C:$C,"IN",
          Transactions!$Q:$Q,"Paid"))</f>
        <v/>
      </c>
      <c r="H614" s="59" t="str">
        <f>IF($A614="","",
   SUMIFS(Transactions!$P:$P,
          Transactions!$G:$G,$A614,
          Transactions!$C:$C,"OUT"))</f>
        <v/>
      </c>
      <c r="I614" s="65" t="str">
        <f t="shared" si="47"/>
        <v/>
      </c>
      <c r="J614" s="59" t="str">
        <f t="shared" si="50"/>
        <v/>
      </c>
    </row>
    <row r="615" spans="4:10" ht="22.5" customHeight="1" x14ac:dyDescent="0.25">
      <c r="D615" s="59" t="str">
        <f t="shared" si="46"/>
        <v/>
      </c>
      <c r="E615" s="59" t="str">
        <f t="shared" si="48"/>
        <v/>
      </c>
      <c r="F615" s="59" t="str">
        <f t="shared" si="49"/>
        <v/>
      </c>
      <c r="G615" s="59" t="str">
        <f>IF($A615="","",
   SUMIFS(Transactions!$P:$P,
          Transactions!$G:$G,$A615,
          Transactions!$C:$C,"IN",
          Transactions!$Q:$Q,"Paid"))</f>
        <v/>
      </c>
      <c r="H615" s="59" t="str">
        <f>IF($A615="","",
   SUMIFS(Transactions!$P:$P,
          Transactions!$G:$G,$A615,
          Transactions!$C:$C,"OUT"))</f>
        <v/>
      </c>
      <c r="I615" s="65" t="str">
        <f t="shared" si="47"/>
        <v/>
      </c>
      <c r="J615" s="59" t="str">
        <f t="shared" si="50"/>
        <v/>
      </c>
    </row>
    <row r="616" spans="4:10" ht="22.5" customHeight="1" x14ac:dyDescent="0.25">
      <c r="D616" s="59" t="str">
        <f t="shared" si="46"/>
        <v/>
      </c>
      <c r="E616" s="59" t="str">
        <f t="shared" si="48"/>
        <v/>
      </c>
      <c r="F616" s="59" t="str">
        <f t="shared" si="49"/>
        <v/>
      </c>
      <c r="G616" s="59" t="str">
        <f>IF($A616="","",
   SUMIFS(Transactions!$P:$P,
          Transactions!$G:$G,$A616,
          Transactions!$C:$C,"IN",
          Transactions!$Q:$Q,"Paid"))</f>
        <v/>
      </c>
      <c r="H616" s="59" t="str">
        <f>IF($A616="","",
   SUMIFS(Transactions!$P:$P,
          Transactions!$G:$G,$A616,
          Transactions!$C:$C,"OUT"))</f>
        <v/>
      </c>
      <c r="I616" s="65" t="str">
        <f t="shared" si="47"/>
        <v/>
      </c>
      <c r="J616" s="59" t="str">
        <f t="shared" si="50"/>
        <v/>
      </c>
    </row>
    <row r="617" spans="4:10" ht="22.5" customHeight="1" x14ac:dyDescent="0.25">
      <c r="D617" s="59" t="str">
        <f t="shared" si="46"/>
        <v/>
      </c>
      <c r="E617" s="59" t="str">
        <f t="shared" si="48"/>
        <v/>
      </c>
      <c r="F617" s="59" t="str">
        <f t="shared" si="49"/>
        <v/>
      </c>
      <c r="G617" s="59" t="str">
        <f>IF($A617="","",
   SUMIFS(Transactions!$P:$P,
          Transactions!$G:$G,$A617,
          Transactions!$C:$C,"IN",
          Transactions!$Q:$Q,"Paid"))</f>
        <v/>
      </c>
      <c r="H617" s="59" t="str">
        <f>IF($A617="","",
   SUMIFS(Transactions!$P:$P,
          Transactions!$G:$G,$A617,
          Transactions!$C:$C,"OUT"))</f>
        <v/>
      </c>
      <c r="I617" s="65" t="str">
        <f t="shared" si="47"/>
        <v/>
      </c>
      <c r="J617" s="59" t="str">
        <f t="shared" si="50"/>
        <v/>
      </c>
    </row>
    <row r="618" spans="4:10" ht="22.5" customHeight="1" x14ac:dyDescent="0.25">
      <c r="D618" s="59" t="str">
        <f t="shared" si="46"/>
        <v/>
      </c>
      <c r="E618" s="59" t="str">
        <f t="shared" si="48"/>
        <v/>
      </c>
      <c r="F618" s="59" t="str">
        <f t="shared" si="49"/>
        <v/>
      </c>
      <c r="G618" s="59" t="str">
        <f>IF($A618="","",
   SUMIFS(Transactions!$P:$P,
          Transactions!$G:$G,$A618,
          Transactions!$C:$C,"IN",
          Transactions!$Q:$Q,"Paid"))</f>
        <v/>
      </c>
      <c r="H618" s="59" t="str">
        <f>IF($A618="","",
   SUMIFS(Transactions!$P:$P,
          Transactions!$G:$G,$A618,
          Transactions!$C:$C,"OUT"))</f>
        <v/>
      </c>
      <c r="I618" s="65" t="str">
        <f t="shared" si="47"/>
        <v/>
      </c>
      <c r="J618" s="59" t="str">
        <f t="shared" si="50"/>
        <v/>
      </c>
    </row>
    <row r="619" spans="4:10" ht="22.5" customHeight="1" x14ac:dyDescent="0.25">
      <c r="D619" s="59" t="str">
        <f t="shared" si="46"/>
        <v/>
      </c>
      <c r="E619" s="59" t="str">
        <f t="shared" si="48"/>
        <v/>
      </c>
      <c r="F619" s="59" t="str">
        <f t="shared" si="49"/>
        <v/>
      </c>
      <c r="G619" s="59" t="str">
        <f>IF($A619="","",
   SUMIFS(Transactions!$P:$P,
          Transactions!$G:$G,$A619,
          Transactions!$C:$C,"IN",
          Transactions!$Q:$Q,"Paid"))</f>
        <v/>
      </c>
      <c r="H619" s="59" t="str">
        <f>IF($A619="","",
   SUMIFS(Transactions!$P:$P,
          Transactions!$G:$G,$A619,
          Transactions!$C:$C,"OUT"))</f>
        <v/>
      </c>
      <c r="I619" s="65" t="str">
        <f t="shared" si="47"/>
        <v/>
      </c>
      <c r="J619" s="59" t="str">
        <f t="shared" si="50"/>
        <v/>
      </c>
    </row>
    <row r="620" spans="4:10" ht="22.5" customHeight="1" x14ac:dyDescent="0.25">
      <c r="D620" s="59" t="str">
        <f t="shared" si="46"/>
        <v/>
      </c>
      <c r="E620" s="59" t="str">
        <f t="shared" si="48"/>
        <v/>
      </c>
      <c r="F620" s="59" t="str">
        <f t="shared" si="49"/>
        <v/>
      </c>
      <c r="G620" s="59" t="str">
        <f>IF($A620="","",
   SUMIFS(Transactions!$P:$P,
          Transactions!$G:$G,$A620,
          Transactions!$C:$C,"IN",
          Transactions!$Q:$Q,"Paid"))</f>
        <v/>
      </c>
      <c r="H620" s="59" t="str">
        <f>IF($A620="","",
   SUMIFS(Transactions!$P:$P,
          Transactions!$G:$G,$A620,
          Transactions!$C:$C,"OUT"))</f>
        <v/>
      </c>
      <c r="I620" s="65" t="str">
        <f t="shared" si="47"/>
        <v/>
      </c>
      <c r="J620" s="59" t="str">
        <f t="shared" si="50"/>
        <v/>
      </c>
    </row>
    <row r="621" spans="4:10" ht="22.5" customHeight="1" x14ac:dyDescent="0.25">
      <c r="D621" s="59" t="str">
        <f t="shared" si="46"/>
        <v/>
      </c>
      <c r="E621" s="59" t="str">
        <f t="shared" si="48"/>
        <v/>
      </c>
      <c r="F621" s="59" t="str">
        <f t="shared" si="49"/>
        <v/>
      </c>
      <c r="G621" s="59" t="str">
        <f>IF($A621="","",
   SUMIFS(Transactions!$P:$P,
          Transactions!$G:$G,$A621,
          Transactions!$C:$C,"IN",
          Transactions!$Q:$Q,"Paid"))</f>
        <v/>
      </c>
      <c r="H621" s="59" t="str">
        <f>IF($A621="","",
   SUMIFS(Transactions!$P:$P,
          Transactions!$G:$G,$A621,
          Transactions!$C:$C,"OUT"))</f>
        <v/>
      </c>
      <c r="I621" s="65" t="str">
        <f t="shared" si="47"/>
        <v/>
      </c>
      <c r="J621" s="59" t="str">
        <f t="shared" si="50"/>
        <v/>
      </c>
    </row>
    <row r="622" spans="4:10" ht="22.5" customHeight="1" x14ac:dyDescent="0.25">
      <c r="D622" s="59" t="str">
        <f t="shared" si="46"/>
        <v/>
      </c>
      <c r="E622" s="59" t="str">
        <f t="shared" si="48"/>
        <v/>
      </c>
      <c r="F622" s="59" t="str">
        <f t="shared" si="49"/>
        <v/>
      </c>
      <c r="G622" s="59" t="str">
        <f>IF($A622="","",
   SUMIFS(Transactions!$P:$P,
          Transactions!$G:$G,$A622,
          Transactions!$C:$C,"IN",
          Transactions!$Q:$Q,"Paid"))</f>
        <v/>
      </c>
      <c r="H622" s="59" t="str">
        <f>IF($A622="","",
   SUMIFS(Transactions!$P:$P,
          Transactions!$G:$G,$A622,
          Transactions!$C:$C,"OUT"))</f>
        <v/>
      </c>
      <c r="I622" s="65" t="str">
        <f t="shared" si="47"/>
        <v/>
      </c>
      <c r="J622" s="59" t="str">
        <f t="shared" si="50"/>
        <v/>
      </c>
    </row>
    <row r="623" spans="4:10" ht="22.5" customHeight="1" x14ac:dyDescent="0.25">
      <c r="D623" s="59" t="str">
        <f t="shared" si="46"/>
        <v/>
      </c>
      <c r="E623" s="59" t="str">
        <f t="shared" si="48"/>
        <v/>
      </c>
      <c r="F623" s="59" t="str">
        <f t="shared" si="49"/>
        <v/>
      </c>
      <c r="G623" s="59" t="str">
        <f>IF($A623="","",
   SUMIFS(Transactions!$P:$P,
          Transactions!$G:$G,$A623,
          Transactions!$C:$C,"IN",
          Transactions!$Q:$Q,"Paid"))</f>
        <v/>
      </c>
      <c r="H623" s="59" t="str">
        <f>IF($A623="","",
   SUMIFS(Transactions!$P:$P,
          Transactions!$G:$G,$A623,
          Transactions!$C:$C,"OUT"))</f>
        <v/>
      </c>
      <c r="I623" s="65" t="str">
        <f t="shared" si="47"/>
        <v/>
      </c>
      <c r="J623" s="59" t="str">
        <f t="shared" si="50"/>
        <v/>
      </c>
    </row>
    <row r="624" spans="4:10" ht="22.5" customHeight="1" x14ac:dyDescent="0.25">
      <c r="D624" s="59" t="str">
        <f t="shared" si="46"/>
        <v/>
      </c>
      <c r="E624" s="59" t="str">
        <f t="shared" si="48"/>
        <v/>
      </c>
      <c r="F624" s="59" t="str">
        <f t="shared" si="49"/>
        <v/>
      </c>
      <c r="G624" s="59" t="str">
        <f>IF($A624="","",
   SUMIFS(Transactions!$P:$P,
          Transactions!$G:$G,$A624,
          Transactions!$C:$C,"IN",
          Transactions!$Q:$Q,"Paid"))</f>
        <v/>
      </c>
      <c r="H624" s="59" t="str">
        <f>IF($A624="","",
   SUMIFS(Transactions!$P:$P,
          Transactions!$G:$G,$A624,
          Transactions!$C:$C,"OUT"))</f>
        <v/>
      </c>
      <c r="I624" s="65" t="str">
        <f t="shared" si="47"/>
        <v/>
      </c>
      <c r="J624" s="59" t="str">
        <f t="shared" si="50"/>
        <v/>
      </c>
    </row>
    <row r="625" spans="4:10" ht="22.5" customHeight="1" x14ac:dyDescent="0.25">
      <c r="D625" s="59" t="str">
        <f t="shared" si="46"/>
        <v/>
      </c>
      <c r="E625" s="59" t="str">
        <f t="shared" si="48"/>
        <v/>
      </c>
      <c r="F625" s="59" t="str">
        <f t="shared" si="49"/>
        <v/>
      </c>
      <c r="G625" s="59" t="str">
        <f>IF($A625="","",
   SUMIFS(Transactions!$P:$P,
          Transactions!$G:$G,$A625,
          Transactions!$C:$C,"IN",
          Transactions!$Q:$Q,"Paid"))</f>
        <v/>
      </c>
      <c r="H625" s="59" t="str">
        <f>IF($A625="","",
   SUMIFS(Transactions!$P:$P,
          Transactions!$G:$G,$A625,
          Transactions!$C:$C,"OUT"))</f>
        <v/>
      </c>
      <c r="I625" s="65" t="str">
        <f t="shared" si="47"/>
        <v/>
      </c>
      <c r="J625" s="59" t="str">
        <f t="shared" si="50"/>
        <v/>
      </c>
    </row>
    <row r="626" spans="4:10" ht="22.5" customHeight="1" x14ac:dyDescent="0.25">
      <c r="D626" s="59" t="str">
        <f t="shared" si="46"/>
        <v/>
      </c>
      <c r="E626" s="59" t="str">
        <f t="shared" si="48"/>
        <v/>
      </c>
      <c r="F626" s="59" t="str">
        <f t="shared" si="49"/>
        <v/>
      </c>
      <c r="G626" s="59" t="str">
        <f>IF($A626="","",
   SUMIFS(Transactions!$P:$P,
          Transactions!$G:$G,$A626,
          Transactions!$C:$C,"IN",
          Transactions!$Q:$Q,"Paid"))</f>
        <v/>
      </c>
      <c r="H626" s="59" t="str">
        <f>IF($A626="","",
   SUMIFS(Transactions!$P:$P,
          Transactions!$G:$G,$A626,
          Transactions!$C:$C,"OUT"))</f>
        <v/>
      </c>
      <c r="I626" s="65" t="str">
        <f t="shared" si="47"/>
        <v/>
      </c>
      <c r="J626" s="59" t="str">
        <f t="shared" si="50"/>
        <v/>
      </c>
    </row>
    <row r="627" spans="4:10" ht="22.5" customHeight="1" x14ac:dyDescent="0.25">
      <c r="D627" s="59" t="str">
        <f t="shared" si="46"/>
        <v/>
      </c>
      <c r="E627" s="59" t="str">
        <f t="shared" si="48"/>
        <v/>
      </c>
      <c r="F627" s="59" t="str">
        <f t="shared" si="49"/>
        <v/>
      </c>
      <c r="G627" s="59" t="str">
        <f>IF($A627="","",
   SUMIFS(Transactions!$P:$P,
          Transactions!$G:$G,$A627,
          Transactions!$C:$C,"IN",
          Transactions!$Q:$Q,"Paid"))</f>
        <v/>
      </c>
      <c r="H627" s="59" t="str">
        <f>IF($A627="","",
   SUMIFS(Transactions!$P:$P,
          Transactions!$G:$G,$A627,
          Transactions!$C:$C,"OUT"))</f>
        <v/>
      </c>
      <c r="I627" s="65" t="str">
        <f t="shared" si="47"/>
        <v/>
      </c>
      <c r="J627" s="59" t="str">
        <f t="shared" si="50"/>
        <v/>
      </c>
    </row>
    <row r="628" spans="4:10" ht="22.5" customHeight="1" x14ac:dyDescent="0.25">
      <c r="D628" s="59" t="str">
        <f t="shared" si="46"/>
        <v/>
      </c>
      <c r="E628" s="59" t="str">
        <f t="shared" si="48"/>
        <v/>
      </c>
      <c r="F628" s="59" t="str">
        <f t="shared" si="49"/>
        <v/>
      </c>
      <c r="G628" s="59" t="str">
        <f>IF($A628="","",
   SUMIFS(Transactions!$P:$P,
          Transactions!$G:$G,$A628,
          Transactions!$C:$C,"IN",
          Transactions!$Q:$Q,"Paid"))</f>
        <v/>
      </c>
      <c r="H628" s="59" t="str">
        <f>IF($A628="","",
   SUMIFS(Transactions!$P:$P,
          Transactions!$G:$G,$A628,
          Transactions!$C:$C,"OUT"))</f>
        <v/>
      </c>
      <c r="I628" s="65" t="str">
        <f t="shared" si="47"/>
        <v/>
      </c>
      <c r="J628" s="59" t="str">
        <f t="shared" si="50"/>
        <v/>
      </c>
    </row>
    <row r="629" spans="4:10" ht="22.5" customHeight="1" x14ac:dyDescent="0.25">
      <c r="D629" s="59" t="str">
        <f t="shared" si="46"/>
        <v/>
      </c>
      <c r="E629" s="59" t="str">
        <f t="shared" si="48"/>
        <v/>
      </c>
      <c r="F629" s="59" t="str">
        <f t="shared" si="49"/>
        <v/>
      </c>
      <c r="G629" s="59" t="str">
        <f>IF($A629="","",
   SUMIFS(Transactions!$P:$P,
          Transactions!$G:$G,$A629,
          Transactions!$C:$C,"IN",
          Transactions!$Q:$Q,"Paid"))</f>
        <v/>
      </c>
      <c r="H629" s="59" t="str">
        <f>IF($A629="","",
   SUMIFS(Transactions!$P:$P,
          Transactions!$G:$G,$A629,
          Transactions!$C:$C,"OUT"))</f>
        <v/>
      </c>
      <c r="I629" s="65" t="str">
        <f t="shared" si="47"/>
        <v/>
      </c>
      <c r="J629" s="59" t="str">
        <f t="shared" si="50"/>
        <v/>
      </c>
    </row>
    <row r="630" spans="4:10" ht="22.5" customHeight="1" x14ac:dyDescent="0.25">
      <c r="D630" s="59" t="str">
        <f t="shared" si="46"/>
        <v/>
      </c>
      <c r="E630" s="59" t="str">
        <f t="shared" si="48"/>
        <v/>
      </c>
      <c r="F630" s="59" t="str">
        <f t="shared" si="49"/>
        <v/>
      </c>
      <c r="G630" s="59" t="str">
        <f>IF($A630="","",
   SUMIFS(Transactions!$P:$P,
          Transactions!$G:$G,$A630,
          Transactions!$C:$C,"IN",
          Transactions!$Q:$Q,"Paid"))</f>
        <v/>
      </c>
      <c r="H630" s="59" t="str">
        <f>IF($A630="","",
   SUMIFS(Transactions!$P:$P,
          Transactions!$G:$G,$A630,
          Transactions!$C:$C,"OUT"))</f>
        <v/>
      </c>
      <c r="I630" s="65" t="str">
        <f t="shared" si="47"/>
        <v/>
      </c>
      <c r="J630" s="59" t="str">
        <f t="shared" si="50"/>
        <v/>
      </c>
    </row>
    <row r="631" spans="4:10" ht="22.5" customHeight="1" x14ac:dyDescent="0.25">
      <c r="D631" s="59" t="str">
        <f t="shared" si="46"/>
        <v/>
      </c>
      <c r="E631" s="59" t="str">
        <f t="shared" si="48"/>
        <v/>
      </c>
      <c r="F631" s="59" t="str">
        <f t="shared" si="49"/>
        <v/>
      </c>
      <c r="G631" s="59" t="str">
        <f>IF($A631="","",
   SUMIFS(Transactions!$P:$P,
          Transactions!$G:$G,$A631,
          Transactions!$C:$C,"IN",
          Transactions!$Q:$Q,"Paid"))</f>
        <v/>
      </c>
      <c r="H631" s="59" t="str">
        <f>IF($A631="","",
   SUMIFS(Transactions!$P:$P,
          Transactions!$G:$G,$A631,
          Transactions!$C:$C,"OUT"))</f>
        <v/>
      </c>
      <c r="I631" s="65" t="str">
        <f t="shared" si="47"/>
        <v/>
      </c>
      <c r="J631" s="59" t="str">
        <f t="shared" si="50"/>
        <v/>
      </c>
    </row>
    <row r="632" spans="4:10" ht="22.5" customHeight="1" x14ac:dyDescent="0.25">
      <c r="D632" s="59" t="str">
        <f t="shared" si="46"/>
        <v/>
      </c>
      <c r="E632" s="59" t="str">
        <f t="shared" si="48"/>
        <v/>
      </c>
      <c r="F632" s="59" t="str">
        <f t="shared" si="49"/>
        <v/>
      </c>
      <c r="G632" s="59" t="str">
        <f>IF($A632="","",
   SUMIFS(Transactions!$P:$P,
          Transactions!$G:$G,$A632,
          Transactions!$C:$C,"IN",
          Transactions!$Q:$Q,"Paid"))</f>
        <v/>
      </c>
      <c r="H632" s="59" t="str">
        <f>IF($A632="","",
   SUMIFS(Transactions!$P:$P,
          Transactions!$G:$G,$A632,
          Transactions!$C:$C,"OUT"))</f>
        <v/>
      </c>
      <c r="I632" s="65" t="str">
        <f t="shared" si="47"/>
        <v/>
      </c>
      <c r="J632" s="59" t="str">
        <f t="shared" si="50"/>
        <v/>
      </c>
    </row>
    <row r="633" spans="4:10" ht="22.5" customHeight="1" x14ac:dyDescent="0.25">
      <c r="D633" s="59" t="str">
        <f t="shared" si="46"/>
        <v/>
      </c>
      <c r="E633" s="59" t="str">
        <f t="shared" si="48"/>
        <v/>
      </c>
      <c r="F633" s="59" t="str">
        <f t="shared" si="49"/>
        <v/>
      </c>
      <c r="G633" s="59" t="str">
        <f>IF($A633="","",
   SUMIFS(Transactions!$P:$P,
          Transactions!$G:$G,$A633,
          Transactions!$C:$C,"IN",
          Transactions!$Q:$Q,"Paid"))</f>
        <v/>
      </c>
      <c r="H633" s="59" t="str">
        <f>IF($A633="","",
   SUMIFS(Transactions!$P:$P,
          Transactions!$G:$G,$A633,
          Transactions!$C:$C,"OUT"))</f>
        <v/>
      </c>
      <c r="I633" s="65" t="str">
        <f t="shared" si="47"/>
        <v/>
      </c>
      <c r="J633" s="59" t="str">
        <f t="shared" si="50"/>
        <v/>
      </c>
    </row>
    <row r="634" spans="4:10" ht="22.5" customHeight="1" x14ac:dyDescent="0.25">
      <c r="D634" s="59" t="str">
        <f t="shared" si="46"/>
        <v/>
      </c>
      <c r="E634" s="59" t="str">
        <f t="shared" si="48"/>
        <v/>
      </c>
      <c r="F634" s="59" t="str">
        <f t="shared" si="49"/>
        <v/>
      </c>
      <c r="G634" s="59" t="str">
        <f>IF($A634="","",
   SUMIFS(Transactions!$P:$P,
          Transactions!$G:$G,$A634,
          Transactions!$C:$C,"IN",
          Transactions!$Q:$Q,"Paid"))</f>
        <v/>
      </c>
      <c r="H634" s="59" t="str">
        <f>IF($A634="","",
   SUMIFS(Transactions!$P:$P,
          Transactions!$G:$G,$A634,
          Transactions!$C:$C,"OUT"))</f>
        <v/>
      </c>
      <c r="I634" s="65" t="str">
        <f t="shared" si="47"/>
        <v/>
      </c>
      <c r="J634" s="59" t="str">
        <f t="shared" si="50"/>
        <v/>
      </c>
    </row>
    <row r="635" spans="4:10" ht="22.5" customHeight="1" x14ac:dyDescent="0.25">
      <c r="D635" s="59" t="str">
        <f t="shared" si="46"/>
        <v/>
      </c>
      <c r="E635" s="59" t="str">
        <f t="shared" si="48"/>
        <v/>
      </c>
      <c r="F635" s="59" t="str">
        <f t="shared" si="49"/>
        <v/>
      </c>
      <c r="G635" s="59" t="str">
        <f>IF($A635="","",
   SUMIFS(Transactions!$P:$P,
          Transactions!$G:$G,$A635,
          Transactions!$C:$C,"IN",
          Transactions!$Q:$Q,"Paid"))</f>
        <v/>
      </c>
      <c r="H635" s="59" t="str">
        <f>IF($A635="","",
   SUMIFS(Transactions!$P:$P,
          Transactions!$G:$G,$A635,
          Transactions!$C:$C,"OUT"))</f>
        <v/>
      </c>
      <c r="I635" s="65" t="str">
        <f t="shared" si="47"/>
        <v/>
      </c>
      <c r="J635" s="59" t="str">
        <f t="shared" si="50"/>
        <v/>
      </c>
    </row>
    <row r="636" spans="4:10" ht="22.5" customHeight="1" x14ac:dyDescent="0.25">
      <c r="D636" s="59" t="str">
        <f t="shared" si="46"/>
        <v/>
      </c>
      <c r="E636" s="59" t="str">
        <f t="shared" si="48"/>
        <v/>
      </c>
      <c r="F636" s="59" t="str">
        <f t="shared" si="49"/>
        <v/>
      </c>
      <c r="G636" s="59" t="str">
        <f>IF($A636="","",
   SUMIFS(Transactions!$P:$P,
          Transactions!$G:$G,$A636,
          Transactions!$C:$C,"IN",
          Transactions!$Q:$Q,"Paid"))</f>
        <v/>
      </c>
      <c r="H636" s="59" t="str">
        <f>IF($A636="","",
   SUMIFS(Transactions!$P:$P,
          Transactions!$G:$G,$A636,
          Transactions!$C:$C,"OUT"))</f>
        <v/>
      </c>
      <c r="I636" s="65" t="str">
        <f t="shared" si="47"/>
        <v/>
      </c>
      <c r="J636" s="59" t="str">
        <f t="shared" si="50"/>
        <v/>
      </c>
    </row>
    <row r="637" spans="4:10" ht="22.5" customHeight="1" x14ac:dyDescent="0.25">
      <c r="D637" s="59" t="str">
        <f t="shared" si="46"/>
        <v/>
      </c>
      <c r="E637" s="59" t="str">
        <f t="shared" si="48"/>
        <v/>
      </c>
      <c r="F637" s="59" t="str">
        <f t="shared" si="49"/>
        <v/>
      </c>
      <c r="G637" s="59" t="str">
        <f>IF($A637="","",
   SUMIFS(Transactions!$P:$P,
          Transactions!$G:$G,$A637,
          Transactions!$C:$C,"IN",
          Transactions!$Q:$Q,"Paid"))</f>
        <v/>
      </c>
      <c r="H637" s="59" t="str">
        <f>IF($A637="","",
   SUMIFS(Transactions!$P:$P,
          Transactions!$G:$G,$A637,
          Transactions!$C:$C,"OUT"))</f>
        <v/>
      </c>
      <c r="I637" s="65" t="str">
        <f t="shared" si="47"/>
        <v/>
      </c>
      <c r="J637" s="59" t="str">
        <f t="shared" si="50"/>
        <v/>
      </c>
    </row>
    <row r="638" spans="4:10" ht="22.5" customHeight="1" x14ac:dyDescent="0.25">
      <c r="D638" s="59" t="str">
        <f t="shared" si="46"/>
        <v/>
      </c>
      <c r="E638" s="59" t="str">
        <f t="shared" si="48"/>
        <v/>
      </c>
      <c r="F638" s="59" t="str">
        <f t="shared" si="49"/>
        <v/>
      </c>
      <c r="G638" s="59" t="str">
        <f>IF($A638="","",
   SUMIFS(Transactions!$P:$P,
          Transactions!$G:$G,$A638,
          Transactions!$C:$C,"IN",
          Transactions!$Q:$Q,"Paid"))</f>
        <v/>
      </c>
      <c r="H638" s="59" t="str">
        <f>IF($A638="","",
   SUMIFS(Transactions!$P:$P,
          Transactions!$G:$G,$A638,
          Transactions!$C:$C,"OUT"))</f>
        <v/>
      </c>
      <c r="I638" s="65" t="str">
        <f t="shared" si="47"/>
        <v/>
      </c>
      <c r="J638" s="59" t="str">
        <f t="shared" si="50"/>
        <v/>
      </c>
    </row>
    <row r="639" spans="4:10" ht="22.5" customHeight="1" x14ac:dyDescent="0.25">
      <c r="D639" s="59" t="str">
        <f t="shared" si="46"/>
        <v/>
      </c>
      <c r="E639" s="59" t="str">
        <f t="shared" si="48"/>
        <v/>
      </c>
      <c r="F639" s="59" t="str">
        <f t="shared" si="49"/>
        <v/>
      </c>
      <c r="G639" s="59" t="str">
        <f>IF($A639="","",
   SUMIFS(Transactions!$P:$P,
          Transactions!$G:$G,$A639,
          Transactions!$C:$C,"IN",
          Transactions!$Q:$Q,"Paid"))</f>
        <v/>
      </c>
      <c r="H639" s="59" t="str">
        <f>IF($A639="","",
   SUMIFS(Transactions!$P:$P,
          Transactions!$G:$G,$A639,
          Transactions!$C:$C,"OUT"))</f>
        <v/>
      </c>
      <c r="I639" s="65" t="str">
        <f t="shared" si="47"/>
        <v/>
      </c>
      <c r="J639" s="59" t="str">
        <f t="shared" si="50"/>
        <v/>
      </c>
    </row>
    <row r="640" spans="4:10" ht="22.5" customHeight="1" x14ac:dyDescent="0.25">
      <c r="D640" s="59" t="str">
        <f t="shared" si="46"/>
        <v/>
      </c>
      <c r="E640" s="59" t="str">
        <f t="shared" si="48"/>
        <v/>
      </c>
      <c r="F640" s="59" t="str">
        <f t="shared" si="49"/>
        <v/>
      </c>
      <c r="G640" s="59" t="str">
        <f>IF($A640="","",
   SUMIFS(Transactions!$P:$P,
          Transactions!$G:$G,$A640,
          Transactions!$C:$C,"IN",
          Transactions!$Q:$Q,"Paid"))</f>
        <v/>
      </c>
      <c r="H640" s="59" t="str">
        <f>IF($A640="","",
   SUMIFS(Transactions!$P:$P,
          Transactions!$G:$G,$A640,
          Transactions!$C:$C,"OUT"))</f>
        <v/>
      </c>
      <c r="I640" s="65" t="str">
        <f t="shared" si="47"/>
        <v/>
      </c>
      <c r="J640" s="59" t="str">
        <f t="shared" si="50"/>
        <v/>
      </c>
    </row>
    <row r="641" spans="4:10" ht="22.5" customHeight="1" x14ac:dyDescent="0.25">
      <c r="D641" s="59" t="str">
        <f t="shared" si="46"/>
        <v/>
      </c>
      <c r="E641" s="59" t="str">
        <f t="shared" si="48"/>
        <v/>
      </c>
      <c r="F641" s="59" t="str">
        <f t="shared" si="49"/>
        <v/>
      </c>
      <c r="G641" s="59" t="str">
        <f>IF($A641="","",
   SUMIFS(Transactions!$P:$P,
          Transactions!$G:$G,$A641,
          Transactions!$C:$C,"IN",
          Transactions!$Q:$Q,"Paid"))</f>
        <v/>
      </c>
      <c r="H641" s="59" t="str">
        <f>IF($A641="","",
   SUMIFS(Transactions!$P:$P,
          Transactions!$G:$G,$A641,
          Transactions!$C:$C,"OUT"))</f>
        <v/>
      </c>
      <c r="I641" s="65" t="str">
        <f t="shared" si="47"/>
        <v/>
      </c>
      <c r="J641" s="59" t="str">
        <f t="shared" si="50"/>
        <v/>
      </c>
    </row>
    <row r="642" spans="4:10" ht="22.5" customHeight="1" x14ac:dyDescent="0.25">
      <c r="D642" s="59" t="str">
        <f t="shared" si="46"/>
        <v/>
      </c>
      <c r="E642" s="59" t="str">
        <f t="shared" si="48"/>
        <v/>
      </c>
      <c r="F642" s="59" t="str">
        <f t="shared" si="49"/>
        <v/>
      </c>
      <c r="G642" s="59" t="str">
        <f>IF($A642="","",
   SUMIFS(Transactions!$P:$P,
          Transactions!$G:$G,$A642,
          Transactions!$C:$C,"IN",
          Transactions!$Q:$Q,"Paid"))</f>
        <v/>
      </c>
      <c r="H642" s="59" t="str">
        <f>IF($A642="","",
   SUMIFS(Transactions!$P:$P,
          Transactions!$G:$G,$A642,
          Transactions!$C:$C,"OUT"))</f>
        <v/>
      </c>
      <c r="I642" s="65" t="str">
        <f t="shared" si="47"/>
        <v/>
      </c>
      <c r="J642" s="59" t="str">
        <f t="shared" si="50"/>
        <v/>
      </c>
    </row>
    <row r="643" spans="4:10" ht="22.5" customHeight="1" x14ac:dyDescent="0.25">
      <c r="D643" s="59" t="str">
        <f t="shared" ref="D643:D706" si="51">IF(C643="","",ROUND(C643*0.15,2))</f>
        <v/>
      </c>
      <c r="E643" s="59" t="str">
        <f t="shared" si="48"/>
        <v/>
      </c>
      <c r="F643" s="59" t="str">
        <f t="shared" si="49"/>
        <v/>
      </c>
      <c r="G643" s="59" t="str">
        <f>IF($A643="","",
   SUMIFS(Transactions!$P:$P,
          Transactions!$G:$G,$A643,
          Transactions!$C:$C,"IN",
          Transactions!$Q:$Q,"Paid"))</f>
        <v/>
      </c>
      <c r="H643" s="59" t="str">
        <f>IF($A643="","",
   SUMIFS(Transactions!$P:$P,
          Transactions!$G:$G,$A643,
          Transactions!$C:$C,"OUT"))</f>
        <v/>
      </c>
      <c r="I643" s="65" t="str">
        <f t="shared" ref="I643:I706" si="52">IF(C643="","",C643-H643)</f>
        <v/>
      </c>
      <c r="J643" s="59" t="str">
        <f t="shared" si="50"/>
        <v/>
      </c>
    </row>
    <row r="644" spans="4:10" ht="22.5" customHeight="1" x14ac:dyDescent="0.25">
      <c r="D644" s="59" t="str">
        <f t="shared" si="51"/>
        <v/>
      </c>
      <c r="E644" s="59" t="str">
        <f t="shared" ref="E644:E707" si="53">IF(C644="","",C644+D644)</f>
        <v/>
      </c>
      <c r="F644" s="59" t="str">
        <f t="shared" ref="F644:F707" si="54">IF(E644="","",E644*0.5)</f>
        <v/>
      </c>
      <c r="G644" s="59" t="str">
        <f>IF($A644="","",
   SUMIFS(Transactions!$P:$P,
          Transactions!$G:$G,$A644,
          Transactions!$C:$C,"IN",
          Transactions!$Q:$Q,"Paid"))</f>
        <v/>
      </c>
      <c r="H644" s="59" t="str">
        <f>IF($A644="","",
   SUMIFS(Transactions!$P:$P,
          Transactions!$G:$G,$A644,
          Transactions!$C:$C,"OUT"))</f>
        <v/>
      </c>
      <c r="I644" s="65" t="str">
        <f t="shared" si="52"/>
        <v/>
      </c>
      <c r="J644" s="59" t="str">
        <f t="shared" ref="J644:J707" si="55">IF(E644="","",E644-G644)</f>
        <v/>
      </c>
    </row>
    <row r="645" spans="4:10" ht="22.5" customHeight="1" x14ac:dyDescent="0.25">
      <c r="D645" s="59" t="str">
        <f t="shared" si="51"/>
        <v/>
      </c>
      <c r="E645" s="59" t="str">
        <f t="shared" si="53"/>
        <v/>
      </c>
      <c r="F645" s="59" t="str">
        <f t="shared" si="54"/>
        <v/>
      </c>
      <c r="G645" s="59" t="str">
        <f>IF($A645="","",
   SUMIFS(Transactions!$P:$P,
          Transactions!$G:$G,$A645,
          Transactions!$C:$C,"IN",
          Transactions!$Q:$Q,"Paid"))</f>
        <v/>
      </c>
      <c r="H645" s="59" t="str">
        <f>IF($A645="","",
   SUMIFS(Transactions!$P:$P,
          Transactions!$G:$G,$A645,
          Transactions!$C:$C,"OUT"))</f>
        <v/>
      </c>
      <c r="I645" s="65" t="str">
        <f t="shared" si="52"/>
        <v/>
      </c>
      <c r="J645" s="59" t="str">
        <f t="shared" si="55"/>
        <v/>
      </c>
    </row>
    <row r="646" spans="4:10" ht="22.5" customHeight="1" x14ac:dyDescent="0.25">
      <c r="D646" s="59" t="str">
        <f t="shared" si="51"/>
        <v/>
      </c>
      <c r="E646" s="59" t="str">
        <f t="shared" si="53"/>
        <v/>
      </c>
      <c r="F646" s="59" t="str">
        <f t="shared" si="54"/>
        <v/>
      </c>
      <c r="G646" s="59" t="str">
        <f>IF($A646="","",
   SUMIFS(Transactions!$P:$P,
          Transactions!$G:$G,$A646,
          Transactions!$C:$C,"IN",
          Transactions!$Q:$Q,"Paid"))</f>
        <v/>
      </c>
      <c r="H646" s="59" t="str">
        <f>IF($A646="","",
   SUMIFS(Transactions!$P:$P,
          Transactions!$G:$G,$A646,
          Transactions!$C:$C,"OUT"))</f>
        <v/>
      </c>
      <c r="I646" s="65" t="str">
        <f t="shared" si="52"/>
        <v/>
      </c>
      <c r="J646" s="59" t="str">
        <f t="shared" si="55"/>
        <v/>
      </c>
    </row>
    <row r="647" spans="4:10" ht="22.5" customHeight="1" x14ac:dyDescent="0.25">
      <c r="D647" s="59" t="str">
        <f t="shared" si="51"/>
        <v/>
      </c>
      <c r="E647" s="59" t="str">
        <f t="shared" si="53"/>
        <v/>
      </c>
      <c r="F647" s="59" t="str">
        <f t="shared" si="54"/>
        <v/>
      </c>
      <c r="G647" s="59" t="str">
        <f>IF($A647="","",
   SUMIFS(Transactions!$P:$P,
          Transactions!$G:$G,$A647,
          Transactions!$C:$C,"IN",
          Transactions!$Q:$Q,"Paid"))</f>
        <v/>
      </c>
      <c r="H647" s="59" t="str">
        <f>IF($A647="","",
   SUMIFS(Transactions!$P:$P,
          Transactions!$G:$G,$A647,
          Transactions!$C:$C,"OUT"))</f>
        <v/>
      </c>
      <c r="I647" s="65" t="str">
        <f t="shared" si="52"/>
        <v/>
      </c>
      <c r="J647" s="59" t="str">
        <f t="shared" si="55"/>
        <v/>
      </c>
    </row>
    <row r="648" spans="4:10" ht="22.5" customHeight="1" x14ac:dyDescent="0.25">
      <c r="D648" s="59" t="str">
        <f t="shared" si="51"/>
        <v/>
      </c>
      <c r="E648" s="59" t="str">
        <f t="shared" si="53"/>
        <v/>
      </c>
      <c r="F648" s="59" t="str">
        <f t="shared" si="54"/>
        <v/>
      </c>
      <c r="G648" s="59" t="str">
        <f>IF($A648="","",
   SUMIFS(Transactions!$P:$P,
          Transactions!$G:$G,$A648,
          Transactions!$C:$C,"IN",
          Transactions!$Q:$Q,"Paid"))</f>
        <v/>
      </c>
      <c r="H648" s="59" t="str">
        <f>IF($A648="","",
   SUMIFS(Transactions!$P:$P,
          Transactions!$G:$G,$A648,
          Transactions!$C:$C,"OUT"))</f>
        <v/>
      </c>
      <c r="I648" s="65" t="str">
        <f t="shared" si="52"/>
        <v/>
      </c>
      <c r="J648" s="59" t="str">
        <f t="shared" si="55"/>
        <v/>
      </c>
    </row>
    <row r="649" spans="4:10" ht="22.5" customHeight="1" x14ac:dyDescent="0.25">
      <c r="D649" s="59" t="str">
        <f t="shared" si="51"/>
        <v/>
      </c>
      <c r="E649" s="59" t="str">
        <f t="shared" si="53"/>
        <v/>
      </c>
      <c r="F649" s="59" t="str">
        <f t="shared" si="54"/>
        <v/>
      </c>
      <c r="G649" s="59" t="str">
        <f>IF($A649="","",
   SUMIFS(Transactions!$P:$P,
          Transactions!$G:$G,$A649,
          Transactions!$C:$C,"IN",
          Transactions!$Q:$Q,"Paid"))</f>
        <v/>
      </c>
      <c r="H649" s="59" t="str">
        <f>IF($A649="","",
   SUMIFS(Transactions!$P:$P,
          Transactions!$G:$G,$A649,
          Transactions!$C:$C,"OUT"))</f>
        <v/>
      </c>
      <c r="I649" s="65" t="str">
        <f t="shared" si="52"/>
        <v/>
      </c>
      <c r="J649" s="59" t="str">
        <f t="shared" si="55"/>
        <v/>
      </c>
    </row>
    <row r="650" spans="4:10" ht="22.5" customHeight="1" x14ac:dyDescent="0.25">
      <c r="D650" s="59" t="str">
        <f t="shared" si="51"/>
        <v/>
      </c>
      <c r="E650" s="59" t="str">
        <f t="shared" si="53"/>
        <v/>
      </c>
      <c r="F650" s="59" t="str">
        <f t="shared" si="54"/>
        <v/>
      </c>
      <c r="G650" s="59" t="str">
        <f>IF($A650="","",
   SUMIFS(Transactions!$P:$P,
          Transactions!$G:$G,$A650,
          Transactions!$C:$C,"IN",
          Transactions!$Q:$Q,"Paid"))</f>
        <v/>
      </c>
      <c r="H650" s="59" t="str">
        <f>IF($A650="","",
   SUMIFS(Transactions!$P:$P,
          Transactions!$G:$G,$A650,
          Transactions!$C:$C,"OUT"))</f>
        <v/>
      </c>
      <c r="I650" s="65" t="str">
        <f t="shared" si="52"/>
        <v/>
      </c>
      <c r="J650" s="59" t="str">
        <f t="shared" si="55"/>
        <v/>
      </c>
    </row>
    <row r="651" spans="4:10" ht="22.5" customHeight="1" x14ac:dyDescent="0.25">
      <c r="D651" s="59" t="str">
        <f t="shared" si="51"/>
        <v/>
      </c>
      <c r="E651" s="59" t="str">
        <f t="shared" si="53"/>
        <v/>
      </c>
      <c r="F651" s="59" t="str">
        <f t="shared" si="54"/>
        <v/>
      </c>
      <c r="G651" s="59" t="str">
        <f>IF($A651="","",
   SUMIFS(Transactions!$P:$P,
          Transactions!$G:$G,$A651,
          Transactions!$C:$C,"IN",
          Transactions!$Q:$Q,"Paid"))</f>
        <v/>
      </c>
      <c r="H651" s="59" t="str">
        <f>IF($A651="","",
   SUMIFS(Transactions!$P:$P,
          Transactions!$G:$G,$A651,
          Transactions!$C:$C,"OUT"))</f>
        <v/>
      </c>
      <c r="I651" s="65" t="str">
        <f t="shared" si="52"/>
        <v/>
      </c>
      <c r="J651" s="59" t="str">
        <f t="shared" si="55"/>
        <v/>
      </c>
    </row>
    <row r="652" spans="4:10" ht="22.5" customHeight="1" x14ac:dyDescent="0.25">
      <c r="D652" s="59" t="str">
        <f t="shared" si="51"/>
        <v/>
      </c>
      <c r="E652" s="59" t="str">
        <f t="shared" si="53"/>
        <v/>
      </c>
      <c r="F652" s="59" t="str">
        <f t="shared" si="54"/>
        <v/>
      </c>
      <c r="G652" s="59" t="str">
        <f>IF($A652="","",
   SUMIFS(Transactions!$P:$P,
          Transactions!$G:$G,$A652,
          Transactions!$C:$C,"IN",
          Transactions!$Q:$Q,"Paid"))</f>
        <v/>
      </c>
      <c r="H652" s="59" t="str">
        <f>IF($A652="","",
   SUMIFS(Transactions!$P:$P,
          Transactions!$G:$G,$A652,
          Transactions!$C:$C,"OUT"))</f>
        <v/>
      </c>
      <c r="I652" s="65" t="str">
        <f t="shared" si="52"/>
        <v/>
      </c>
      <c r="J652" s="59" t="str">
        <f t="shared" si="55"/>
        <v/>
      </c>
    </row>
    <row r="653" spans="4:10" ht="22.5" customHeight="1" x14ac:dyDescent="0.25">
      <c r="D653" s="59" t="str">
        <f t="shared" si="51"/>
        <v/>
      </c>
      <c r="E653" s="59" t="str">
        <f t="shared" si="53"/>
        <v/>
      </c>
      <c r="F653" s="59" t="str">
        <f t="shared" si="54"/>
        <v/>
      </c>
      <c r="G653" s="59" t="str">
        <f>IF($A653="","",
   SUMIFS(Transactions!$P:$P,
          Transactions!$G:$G,$A653,
          Transactions!$C:$C,"IN",
          Transactions!$Q:$Q,"Paid"))</f>
        <v/>
      </c>
      <c r="H653" s="59" t="str">
        <f>IF($A653="","",
   SUMIFS(Transactions!$P:$P,
          Transactions!$G:$G,$A653,
          Transactions!$C:$C,"OUT"))</f>
        <v/>
      </c>
      <c r="I653" s="65" t="str">
        <f t="shared" si="52"/>
        <v/>
      </c>
      <c r="J653" s="59" t="str">
        <f t="shared" si="55"/>
        <v/>
      </c>
    </row>
    <row r="654" spans="4:10" ht="22.5" customHeight="1" x14ac:dyDescent="0.25">
      <c r="D654" s="59" t="str">
        <f t="shared" si="51"/>
        <v/>
      </c>
      <c r="E654" s="59" t="str">
        <f t="shared" si="53"/>
        <v/>
      </c>
      <c r="F654" s="59" t="str">
        <f t="shared" si="54"/>
        <v/>
      </c>
      <c r="G654" s="59" t="str">
        <f>IF($A654="","",
   SUMIFS(Transactions!$P:$P,
          Transactions!$G:$G,$A654,
          Transactions!$C:$C,"IN",
          Transactions!$Q:$Q,"Paid"))</f>
        <v/>
      </c>
      <c r="H654" s="59" t="str">
        <f>IF($A654="","",
   SUMIFS(Transactions!$P:$P,
          Transactions!$G:$G,$A654,
          Transactions!$C:$C,"OUT"))</f>
        <v/>
      </c>
      <c r="I654" s="65" t="str">
        <f t="shared" si="52"/>
        <v/>
      </c>
      <c r="J654" s="59" t="str">
        <f t="shared" si="55"/>
        <v/>
      </c>
    </row>
    <row r="655" spans="4:10" ht="22.5" customHeight="1" x14ac:dyDescent="0.25">
      <c r="D655" s="59" t="str">
        <f t="shared" si="51"/>
        <v/>
      </c>
      <c r="E655" s="59" t="str">
        <f t="shared" si="53"/>
        <v/>
      </c>
      <c r="F655" s="59" t="str">
        <f t="shared" si="54"/>
        <v/>
      </c>
      <c r="G655" s="59" t="str">
        <f>IF($A655="","",
   SUMIFS(Transactions!$P:$P,
          Transactions!$G:$G,$A655,
          Transactions!$C:$C,"IN",
          Transactions!$Q:$Q,"Paid"))</f>
        <v/>
      </c>
      <c r="H655" s="59" t="str">
        <f>IF($A655="","",
   SUMIFS(Transactions!$P:$P,
          Transactions!$G:$G,$A655,
          Transactions!$C:$C,"OUT"))</f>
        <v/>
      </c>
      <c r="I655" s="65" t="str">
        <f t="shared" si="52"/>
        <v/>
      </c>
      <c r="J655" s="59" t="str">
        <f t="shared" si="55"/>
        <v/>
      </c>
    </row>
    <row r="656" spans="4:10" ht="22.5" customHeight="1" x14ac:dyDescent="0.25">
      <c r="D656" s="59" t="str">
        <f t="shared" si="51"/>
        <v/>
      </c>
      <c r="E656" s="59" t="str">
        <f t="shared" si="53"/>
        <v/>
      </c>
      <c r="F656" s="59" t="str">
        <f t="shared" si="54"/>
        <v/>
      </c>
      <c r="G656" s="59" t="str">
        <f>IF($A656="","",
   SUMIFS(Transactions!$P:$P,
          Transactions!$G:$G,$A656,
          Transactions!$C:$C,"IN",
          Transactions!$Q:$Q,"Paid"))</f>
        <v/>
      </c>
      <c r="H656" s="59" t="str">
        <f>IF($A656="","",
   SUMIFS(Transactions!$P:$P,
          Transactions!$G:$G,$A656,
          Transactions!$C:$C,"OUT"))</f>
        <v/>
      </c>
      <c r="I656" s="65" t="str">
        <f t="shared" si="52"/>
        <v/>
      </c>
      <c r="J656" s="59" t="str">
        <f t="shared" si="55"/>
        <v/>
      </c>
    </row>
    <row r="657" spans="4:10" ht="22.5" customHeight="1" x14ac:dyDescent="0.25">
      <c r="D657" s="59" t="str">
        <f t="shared" si="51"/>
        <v/>
      </c>
      <c r="E657" s="59" t="str">
        <f t="shared" si="53"/>
        <v/>
      </c>
      <c r="F657" s="59" t="str">
        <f t="shared" si="54"/>
        <v/>
      </c>
      <c r="G657" s="59" t="str">
        <f>IF($A657="","",
   SUMIFS(Transactions!$P:$P,
          Transactions!$G:$G,$A657,
          Transactions!$C:$C,"IN",
          Transactions!$Q:$Q,"Paid"))</f>
        <v/>
      </c>
      <c r="H657" s="59" t="str">
        <f>IF($A657="","",
   SUMIFS(Transactions!$P:$P,
          Transactions!$G:$G,$A657,
          Transactions!$C:$C,"OUT"))</f>
        <v/>
      </c>
      <c r="I657" s="65" t="str">
        <f t="shared" si="52"/>
        <v/>
      </c>
      <c r="J657" s="59" t="str">
        <f t="shared" si="55"/>
        <v/>
      </c>
    </row>
    <row r="658" spans="4:10" ht="22.5" customHeight="1" x14ac:dyDescent="0.25">
      <c r="D658" s="59" t="str">
        <f t="shared" si="51"/>
        <v/>
      </c>
      <c r="E658" s="59" t="str">
        <f t="shared" si="53"/>
        <v/>
      </c>
      <c r="F658" s="59" t="str">
        <f t="shared" si="54"/>
        <v/>
      </c>
      <c r="G658" s="59" t="str">
        <f>IF($A658="","",
   SUMIFS(Transactions!$P:$P,
          Transactions!$G:$G,$A658,
          Transactions!$C:$C,"IN",
          Transactions!$Q:$Q,"Paid"))</f>
        <v/>
      </c>
      <c r="H658" s="59" t="str">
        <f>IF($A658="","",
   SUMIFS(Transactions!$P:$P,
          Transactions!$G:$G,$A658,
          Transactions!$C:$C,"OUT"))</f>
        <v/>
      </c>
      <c r="I658" s="65" t="str">
        <f t="shared" si="52"/>
        <v/>
      </c>
      <c r="J658" s="59" t="str">
        <f t="shared" si="55"/>
        <v/>
      </c>
    </row>
    <row r="659" spans="4:10" ht="22.5" customHeight="1" x14ac:dyDescent="0.25">
      <c r="D659" s="59" t="str">
        <f t="shared" si="51"/>
        <v/>
      </c>
      <c r="E659" s="59" t="str">
        <f t="shared" si="53"/>
        <v/>
      </c>
      <c r="F659" s="59" t="str">
        <f t="shared" si="54"/>
        <v/>
      </c>
      <c r="G659" s="59" t="str">
        <f>IF($A659="","",
   SUMIFS(Transactions!$P:$P,
          Transactions!$G:$G,$A659,
          Transactions!$C:$C,"IN",
          Transactions!$Q:$Q,"Paid"))</f>
        <v/>
      </c>
      <c r="H659" s="59" t="str">
        <f>IF($A659="","",
   SUMIFS(Transactions!$P:$P,
          Transactions!$G:$G,$A659,
          Transactions!$C:$C,"OUT"))</f>
        <v/>
      </c>
      <c r="I659" s="65" t="str">
        <f t="shared" si="52"/>
        <v/>
      </c>
      <c r="J659" s="59" t="str">
        <f t="shared" si="55"/>
        <v/>
      </c>
    </row>
    <row r="660" spans="4:10" ht="22.5" customHeight="1" x14ac:dyDescent="0.25">
      <c r="D660" s="59" t="str">
        <f t="shared" si="51"/>
        <v/>
      </c>
      <c r="E660" s="59" t="str">
        <f t="shared" si="53"/>
        <v/>
      </c>
      <c r="F660" s="59" t="str">
        <f t="shared" si="54"/>
        <v/>
      </c>
      <c r="G660" s="59" t="str">
        <f>IF($A660="","",
   SUMIFS(Transactions!$P:$P,
          Transactions!$G:$G,$A660,
          Transactions!$C:$C,"IN",
          Transactions!$Q:$Q,"Paid"))</f>
        <v/>
      </c>
      <c r="H660" s="59" t="str">
        <f>IF($A660="","",
   SUMIFS(Transactions!$P:$P,
          Transactions!$G:$G,$A660,
          Transactions!$C:$C,"OUT"))</f>
        <v/>
      </c>
      <c r="I660" s="65" t="str">
        <f t="shared" si="52"/>
        <v/>
      </c>
      <c r="J660" s="59" t="str">
        <f t="shared" si="55"/>
        <v/>
      </c>
    </row>
    <row r="661" spans="4:10" ht="22.5" customHeight="1" x14ac:dyDescent="0.25">
      <c r="D661" s="59" t="str">
        <f t="shared" si="51"/>
        <v/>
      </c>
      <c r="E661" s="59" t="str">
        <f t="shared" si="53"/>
        <v/>
      </c>
      <c r="F661" s="59" t="str">
        <f t="shared" si="54"/>
        <v/>
      </c>
      <c r="G661" s="59" t="str">
        <f>IF($A661="","",
   SUMIFS(Transactions!$P:$P,
          Transactions!$G:$G,$A661,
          Transactions!$C:$C,"IN",
          Transactions!$Q:$Q,"Paid"))</f>
        <v/>
      </c>
      <c r="H661" s="59" t="str">
        <f>IF($A661="","",
   SUMIFS(Transactions!$P:$P,
          Transactions!$G:$G,$A661,
          Transactions!$C:$C,"OUT"))</f>
        <v/>
      </c>
      <c r="I661" s="65" t="str">
        <f t="shared" si="52"/>
        <v/>
      </c>
      <c r="J661" s="59" t="str">
        <f t="shared" si="55"/>
        <v/>
      </c>
    </row>
    <row r="662" spans="4:10" ht="22.5" customHeight="1" x14ac:dyDescent="0.25">
      <c r="D662" s="59" t="str">
        <f t="shared" si="51"/>
        <v/>
      </c>
      <c r="E662" s="59" t="str">
        <f t="shared" si="53"/>
        <v/>
      </c>
      <c r="F662" s="59" t="str">
        <f t="shared" si="54"/>
        <v/>
      </c>
      <c r="G662" s="59" t="str">
        <f>IF($A662="","",
   SUMIFS(Transactions!$P:$P,
          Transactions!$G:$G,$A662,
          Transactions!$C:$C,"IN",
          Transactions!$Q:$Q,"Paid"))</f>
        <v/>
      </c>
      <c r="H662" s="59" t="str">
        <f>IF($A662="","",
   SUMIFS(Transactions!$P:$P,
          Transactions!$G:$G,$A662,
          Transactions!$C:$C,"OUT"))</f>
        <v/>
      </c>
      <c r="I662" s="65" t="str">
        <f t="shared" si="52"/>
        <v/>
      </c>
      <c r="J662" s="59" t="str">
        <f t="shared" si="55"/>
        <v/>
      </c>
    </row>
    <row r="663" spans="4:10" ht="22.5" customHeight="1" x14ac:dyDescent="0.25">
      <c r="D663" s="59" t="str">
        <f t="shared" si="51"/>
        <v/>
      </c>
      <c r="E663" s="59" t="str">
        <f t="shared" si="53"/>
        <v/>
      </c>
      <c r="F663" s="59" t="str">
        <f t="shared" si="54"/>
        <v/>
      </c>
      <c r="G663" s="59" t="str">
        <f>IF($A663="","",
   SUMIFS(Transactions!$P:$P,
          Transactions!$G:$G,$A663,
          Transactions!$C:$C,"IN",
          Transactions!$Q:$Q,"Paid"))</f>
        <v/>
      </c>
      <c r="H663" s="59" t="str">
        <f>IF($A663="","",
   SUMIFS(Transactions!$P:$P,
          Transactions!$G:$G,$A663,
          Transactions!$C:$C,"OUT"))</f>
        <v/>
      </c>
      <c r="I663" s="65" t="str">
        <f t="shared" si="52"/>
        <v/>
      </c>
      <c r="J663" s="59" t="str">
        <f t="shared" si="55"/>
        <v/>
      </c>
    </row>
    <row r="664" spans="4:10" ht="22.5" customHeight="1" x14ac:dyDescent="0.25">
      <c r="D664" s="59" t="str">
        <f t="shared" si="51"/>
        <v/>
      </c>
      <c r="E664" s="59" t="str">
        <f t="shared" si="53"/>
        <v/>
      </c>
      <c r="F664" s="59" t="str">
        <f t="shared" si="54"/>
        <v/>
      </c>
      <c r="G664" s="59" t="str">
        <f>IF($A664="","",
   SUMIFS(Transactions!$P:$P,
          Transactions!$G:$G,$A664,
          Transactions!$C:$C,"IN",
          Transactions!$Q:$Q,"Paid"))</f>
        <v/>
      </c>
      <c r="H664" s="59" t="str">
        <f>IF($A664="","",
   SUMIFS(Transactions!$P:$P,
          Transactions!$G:$G,$A664,
          Transactions!$C:$C,"OUT"))</f>
        <v/>
      </c>
      <c r="I664" s="65" t="str">
        <f t="shared" si="52"/>
        <v/>
      </c>
      <c r="J664" s="59" t="str">
        <f t="shared" si="55"/>
        <v/>
      </c>
    </row>
    <row r="665" spans="4:10" ht="22.5" customHeight="1" x14ac:dyDescent="0.25">
      <c r="D665" s="59" t="str">
        <f t="shared" si="51"/>
        <v/>
      </c>
      <c r="E665" s="59" t="str">
        <f t="shared" si="53"/>
        <v/>
      </c>
      <c r="F665" s="59" t="str">
        <f t="shared" si="54"/>
        <v/>
      </c>
      <c r="G665" s="59" t="str">
        <f>IF($A665="","",
   SUMIFS(Transactions!$P:$P,
          Transactions!$G:$G,$A665,
          Transactions!$C:$C,"IN",
          Transactions!$Q:$Q,"Paid"))</f>
        <v/>
      </c>
      <c r="H665" s="59" t="str">
        <f>IF($A665="","",
   SUMIFS(Transactions!$P:$P,
          Transactions!$G:$G,$A665,
          Transactions!$C:$C,"OUT"))</f>
        <v/>
      </c>
      <c r="I665" s="65" t="str">
        <f t="shared" si="52"/>
        <v/>
      </c>
      <c r="J665" s="59" t="str">
        <f t="shared" si="55"/>
        <v/>
      </c>
    </row>
    <row r="666" spans="4:10" ht="22.5" customHeight="1" x14ac:dyDescent="0.25">
      <c r="D666" s="59" t="str">
        <f t="shared" si="51"/>
        <v/>
      </c>
      <c r="E666" s="59" t="str">
        <f t="shared" si="53"/>
        <v/>
      </c>
      <c r="F666" s="59" t="str">
        <f t="shared" si="54"/>
        <v/>
      </c>
      <c r="G666" s="59" t="str">
        <f>IF($A666="","",
   SUMIFS(Transactions!$P:$P,
          Transactions!$G:$G,$A666,
          Transactions!$C:$C,"IN",
          Transactions!$Q:$Q,"Paid"))</f>
        <v/>
      </c>
      <c r="H666" s="59" t="str">
        <f>IF($A666="","",
   SUMIFS(Transactions!$P:$P,
          Transactions!$G:$G,$A666,
          Transactions!$C:$C,"OUT"))</f>
        <v/>
      </c>
      <c r="I666" s="65" t="str">
        <f t="shared" si="52"/>
        <v/>
      </c>
      <c r="J666" s="59" t="str">
        <f t="shared" si="55"/>
        <v/>
      </c>
    </row>
    <row r="667" spans="4:10" ht="22.5" customHeight="1" x14ac:dyDescent="0.25">
      <c r="D667" s="59" t="str">
        <f t="shared" si="51"/>
        <v/>
      </c>
      <c r="E667" s="59" t="str">
        <f t="shared" si="53"/>
        <v/>
      </c>
      <c r="F667" s="59" t="str">
        <f t="shared" si="54"/>
        <v/>
      </c>
      <c r="G667" s="59" t="str">
        <f>IF($A667="","",
   SUMIFS(Transactions!$P:$P,
          Transactions!$G:$G,$A667,
          Transactions!$C:$C,"IN",
          Transactions!$Q:$Q,"Paid"))</f>
        <v/>
      </c>
      <c r="H667" s="59" t="str">
        <f>IF($A667="","",
   SUMIFS(Transactions!$P:$P,
          Transactions!$G:$G,$A667,
          Transactions!$C:$C,"OUT"))</f>
        <v/>
      </c>
      <c r="I667" s="65" t="str">
        <f t="shared" si="52"/>
        <v/>
      </c>
      <c r="J667" s="59" t="str">
        <f t="shared" si="55"/>
        <v/>
      </c>
    </row>
    <row r="668" spans="4:10" ht="22.5" customHeight="1" x14ac:dyDescent="0.25">
      <c r="D668" s="59" t="str">
        <f t="shared" si="51"/>
        <v/>
      </c>
      <c r="E668" s="59" t="str">
        <f t="shared" si="53"/>
        <v/>
      </c>
      <c r="F668" s="59" t="str">
        <f t="shared" si="54"/>
        <v/>
      </c>
      <c r="G668" s="59" t="str">
        <f>IF($A668="","",
   SUMIFS(Transactions!$P:$P,
          Transactions!$G:$G,$A668,
          Transactions!$C:$C,"IN",
          Transactions!$Q:$Q,"Paid"))</f>
        <v/>
      </c>
      <c r="H668" s="59" t="str">
        <f>IF($A668="","",
   SUMIFS(Transactions!$P:$P,
          Transactions!$G:$G,$A668,
          Transactions!$C:$C,"OUT"))</f>
        <v/>
      </c>
      <c r="I668" s="65" t="str">
        <f t="shared" si="52"/>
        <v/>
      </c>
      <c r="J668" s="59" t="str">
        <f t="shared" si="55"/>
        <v/>
      </c>
    </row>
    <row r="669" spans="4:10" ht="22.5" customHeight="1" x14ac:dyDescent="0.25">
      <c r="D669" s="59" t="str">
        <f t="shared" si="51"/>
        <v/>
      </c>
      <c r="E669" s="59" t="str">
        <f t="shared" si="53"/>
        <v/>
      </c>
      <c r="F669" s="59" t="str">
        <f t="shared" si="54"/>
        <v/>
      </c>
      <c r="G669" s="59" t="str">
        <f>IF($A669="","",
   SUMIFS(Transactions!$P:$P,
          Transactions!$G:$G,$A669,
          Transactions!$C:$C,"IN",
          Transactions!$Q:$Q,"Paid"))</f>
        <v/>
      </c>
      <c r="H669" s="59" t="str">
        <f>IF($A669="","",
   SUMIFS(Transactions!$P:$P,
          Transactions!$G:$G,$A669,
          Transactions!$C:$C,"OUT"))</f>
        <v/>
      </c>
      <c r="I669" s="65" t="str">
        <f t="shared" si="52"/>
        <v/>
      </c>
      <c r="J669" s="59" t="str">
        <f t="shared" si="55"/>
        <v/>
      </c>
    </row>
    <row r="670" spans="4:10" ht="22.5" customHeight="1" x14ac:dyDescent="0.25">
      <c r="D670" s="59" t="str">
        <f t="shared" si="51"/>
        <v/>
      </c>
      <c r="E670" s="59" t="str">
        <f t="shared" si="53"/>
        <v/>
      </c>
      <c r="F670" s="59" t="str">
        <f t="shared" si="54"/>
        <v/>
      </c>
      <c r="G670" s="59" t="str">
        <f>IF($A670="","",
   SUMIFS(Transactions!$P:$P,
          Transactions!$G:$G,$A670,
          Transactions!$C:$C,"IN",
          Transactions!$Q:$Q,"Paid"))</f>
        <v/>
      </c>
      <c r="H670" s="59" t="str">
        <f>IF($A670="","",
   SUMIFS(Transactions!$P:$P,
          Transactions!$G:$G,$A670,
          Transactions!$C:$C,"OUT"))</f>
        <v/>
      </c>
      <c r="I670" s="65" t="str">
        <f t="shared" si="52"/>
        <v/>
      </c>
      <c r="J670" s="59" t="str">
        <f t="shared" si="55"/>
        <v/>
      </c>
    </row>
    <row r="671" spans="4:10" ht="22.5" customHeight="1" x14ac:dyDescent="0.25">
      <c r="D671" s="59" t="str">
        <f t="shared" si="51"/>
        <v/>
      </c>
      <c r="E671" s="59" t="str">
        <f t="shared" si="53"/>
        <v/>
      </c>
      <c r="F671" s="59" t="str">
        <f t="shared" si="54"/>
        <v/>
      </c>
      <c r="G671" s="59" t="str">
        <f>IF($A671="","",
   SUMIFS(Transactions!$P:$P,
          Transactions!$G:$G,$A671,
          Transactions!$C:$C,"IN",
          Transactions!$Q:$Q,"Paid"))</f>
        <v/>
      </c>
      <c r="H671" s="59" t="str">
        <f>IF($A671="","",
   SUMIFS(Transactions!$P:$P,
          Transactions!$G:$G,$A671,
          Transactions!$C:$C,"OUT"))</f>
        <v/>
      </c>
      <c r="I671" s="65" t="str">
        <f t="shared" si="52"/>
        <v/>
      </c>
      <c r="J671" s="59" t="str">
        <f t="shared" si="55"/>
        <v/>
      </c>
    </row>
    <row r="672" spans="4:10" ht="22.5" customHeight="1" x14ac:dyDescent="0.25">
      <c r="D672" s="59" t="str">
        <f t="shared" si="51"/>
        <v/>
      </c>
      <c r="E672" s="59" t="str">
        <f t="shared" si="53"/>
        <v/>
      </c>
      <c r="F672" s="59" t="str">
        <f t="shared" si="54"/>
        <v/>
      </c>
      <c r="G672" s="59" t="str">
        <f>IF($A672="","",
   SUMIFS(Transactions!$P:$P,
          Transactions!$G:$G,$A672,
          Transactions!$C:$C,"IN",
          Transactions!$Q:$Q,"Paid"))</f>
        <v/>
      </c>
      <c r="H672" s="59" t="str">
        <f>IF($A672="","",
   SUMIFS(Transactions!$P:$P,
          Transactions!$G:$G,$A672,
          Transactions!$C:$C,"OUT"))</f>
        <v/>
      </c>
      <c r="I672" s="65" t="str">
        <f t="shared" si="52"/>
        <v/>
      </c>
      <c r="J672" s="59" t="str">
        <f t="shared" si="55"/>
        <v/>
      </c>
    </row>
    <row r="673" spans="4:10" ht="22.5" customHeight="1" x14ac:dyDescent="0.25">
      <c r="D673" s="59" t="str">
        <f t="shared" si="51"/>
        <v/>
      </c>
      <c r="E673" s="59" t="str">
        <f t="shared" si="53"/>
        <v/>
      </c>
      <c r="F673" s="59" t="str">
        <f t="shared" si="54"/>
        <v/>
      </c>
      <c r="G673" s="59" t="str">
        <f>IF($A673="","",
   SUMIFS(Transactions!$P:$P,
          Transactions!$G:$G,$A673,
          Transactions!$C:$C,"IN",
          Transactions!$Q:$Q,"Paid"))</f>
        <v/>
      </c>
      <c r="H673" s="59" t="str">
        <f>IF($A673="","",
   SUMIFS(Transactions!$P:$P,
          Transactions!$G:$G,$A673,
          Transactions!$C:$C,"OUT"))</f>
        <v/>
      </c>
      <c r="I673" s="65" t="str">
        <f t="shared" si="52"/>
        <v/>
      </c>
      <c r="J673" s="59" t="str">
        <f t="shared" si="55"/>
        <v/>
      </c>
    </row>
    <row r="674" spans="4:10" ht="22.5" customHeight="1" x14ac:dyDescent="0.25">
      <c r="D674" s="59" t="str">
        <f t="shared" si="51"/>
        <v/>
      </c>
      <c r="E674" s="59" t="str">
        <f t="shared" si="53"/>
        <v/>
      </c>
      <c r="F674" s="59" t="str">
        <f t="shared" si="54"/>
        <v/>
      </c>
      <c r="G674" s="59" t="str">
        <f>IF($A674="","",
   SUMIFS(Transactions!$P:$P,
          Transactions!$G:$G,$A674,
          Transactions!$C:$C,"IN",
          Transactions!$Q:$Q,"Paid"))</f>
        <v/>
      </c>
      <c r="H674" s="59" t="str">
        <f>IF($A674="","",
   SUMIFS(Transactions!$P:$P,
          Transactions!$G:$G,$A674,
          Transactions!$C:$C,"OUT"))</f>
        <v/>
      </c>
      <c r="I674" s="65" t="str">
        <f t="shared" si="52"/>
        <v/>
      </c>
      <c r="J674" s="59" t="str">
        <f t="shared" si="55"/>
        <v/>
      </c>
    </row>
    <row r="675" spans="4:10" ht="22.5" customHeight="1" x14ac:dyDescent="0.25">
      <c r="D675" s="59" t="str">
        <f t="shared" si="51"/>
        <v/>
      </c>
      <c r="E675" s="59" t="str">
        <f t="shared" si="53"/>
        <v/>
      </c>
      <c r="F675" s="59" t="str">
        <f t="shared" si="54"/>
        <v/>
      </c>
      <c r="G675" s="59" t="str">
        <f>IF($A675="","",
   SUMIFS(Transactions!$P:$P,
          Transactions!$G:$G,$A675,
          Transactions!$C:$C,"IN",
          Transactions!$Q:$Q,"Paid"))</f>
        <v/>
      </c>
      <c r="H675" s="59" t="str">
        <f>IF($A675="","",
   SUMIFS(Transactions!$P:$P,
          Transactions!$G:$G,$A675,
          Transactions!$C:$C,"OUT"))</f>
        <v/>
      </c>
      <c r="I675" s="65" t="str">
        <f t="shared" si="52"/>
        <v/>
      </c>
      <c r="J675" s="59" t="str">
        <f t="shared" si="55"/>
        <v/>
      </c>
    </row>
    <row r="676" spans="4:10" ht="22.5" customHeight="1" x14ac:dyDescent="0.25">
      <c r="D676" s="59" t="str">
        <f t="shared" si="51"/>
        <v/>
      </c>
      <c r="E676" s="59" t="str">
        <f t="shared" si="53"/>
        <v/>
      </c>
      <c r="F676" s="59" t="str">
        <f t="shared" si="54"/>
        <v/>
      </c>
      <c r="G676" s="59" t="str">
        <f>IF($A676="","",
   SUMIFS(Transactions!$P:$P,
          Transactions!$G:$G,$A676,
          Transactions!$C:$C,"IN",
          Transactions!$Q:$Q,"Paid"))</f>
        <v/>
      </c>
      <c r="H676" s="59" t="str">
        <f>IF($A676="","",
   SUMIFS(Transactions!$P:$P,
          Transactions!$G:$G,$A676,
          Transactions!$C:$C,"OUT"))</f>
        <v/>
      </c>
      <c r="I676" s="65" t="str">
        <f t="shared" si="52"/>
        <v/>
      </c>
      <c r="J676" s="59" t="str">
        <f t="shared" si="55"/>
        <v/>
      </c>
    </row>
    <row r="677" spans="4:10" ht="22.5" customHeight="1" x14ac:dyDescent="0.25">
      <c r="D677" s="59" t="str">
        <f t="shared" si="51"/>
        <v/>
      </c>
      <c r="E677" s="59" t="str">
        <f t="shared" si="53"/>
        <v/>
      </c>
      <c r="F677" s="59" t="str">
        <f t="shared" si="54"/>
        <v/>
      </c>
      <c r="G677" s="59" t="str">
        <f>IF($A677="","",
   SUMIFS(Transactions!$P:$P,
          Transactions!$G:$G,$A677,
          Transactions!$C:$C,"IN",
          Transactions!$Q:$Q,"Paid"))</f>
        <v/>
      </c>
      <c r="H677" s="59" t="str">
        <f>IF($A677="","",
   SUMIFS(Transactions!$P:$P,
          Transactions!$G:$G,$A677,
          Transactions!$C:$C,"OUT"))</f>
        <v/>
      </c>
      <c r="I677" s="65" t="str">
        <f t="shared" si="52"/>
        <v/>
      </c>
      <c r="J677" s="59" t="str">
        <f t="shared" si="55"/>
        <v/>
      </c>
    </row>
    <row r="678" spans="4:10" ht="22.5" customHeight="1" x14ac:dyDescent="0.25">
      <c r="D678" s="59" t="str">
        <f t="shared" si="51"/>
        <v/>
      </c>
      <c r="E678" s="59" t="str">
        <f t="shared" si="53"/>
        <v/>
      </c>
      <c r="F678" s="59" t="str">
        <f t="shared" si="54"/>
        <v/>
      </c>
      <c r="G678" s="59" t="str">
        <f>IF($A678="","",
   SUMIFS(Transactions!$P:$P,
          Transactions!$G:$G,$A678,
          Transactions!$C:$C,"IN",
          Transactions!$Q:$Q,"Paid"))</f>
        <v/>
      </c>
      <c r="H678" s="59" t="str">
        <f>IF($A678="","",
   SUMIFS(Transactions!$P:$P,
          Transactions!$G:$G,$A678,
          Transactions!$C:$C,"OUT"))</f>
        <v/>
      </c>
      <c r="I678" s="65" t="str">
        <f t="shared" si="52"/>
        <v/>
      </c>
      <c r="J678" s="59" t="str">
        <f t="shared" si="55"/>
        <v/>
      </c>
    </row>
    <row r="679" spans="4:10" ht="22.5" customHeight="1" x14ac:dyDescent="0.25">
      <c r="D679" s="59" t="str">
        <f t="shared" si="51"/>
        <v/>
      </c>
      <c r="E679" s="59" t="str">
        <f t="shared" si="53"/>
        <v/>
      </c>
      <c r="F679" s="59" t="str">
        <f t="shared" si="54"/>
        <v/>
      </c>
      <c r="G679" s="59" t="str">
        <f>IF($A679="","",
   SUMIFS(Transactions!$P:$P,
          Transactions!$G:$G,$A679,
          Transactions!$C:$C,"IN",
          Transactions!$Q:$Q,"Paid"))</f>
        <v/>
      </c>
      <c r="H679" s="59" t="str">
        <f>IF($A679="","",
   SUMIFS(Transactions!$P:$P,
          Transactions!$G:$G,$A679,
          Transactions!$C:$C,"OUT"))</f>
        <v/>
      </c>
      <c r="I679" s="65" t="str">
        <f t="shared" si="52"/>
        <v/>
      </c>
      <c r="J679" s="59" t="str">
        <f t="shared" si="55"/>
        <v/>
      </c>
    </row>
    <row r="680" spans="4:10" ht="22.5" customHeight="1" x14ac:dyDescent="0.25">
      <c r="D680" s="59" t="str">
        <f t="shared" si="51"/>
        <v/>
      </c>
      <c r="E680" s="59" t="str">
        <f t="shared" si="53"/>
        <v/>
      </c>
      <c r="F680" s="59" t="str">
        <f t="shared" si="54"/>
        <v/>
      </c>
      <c r="G680" s="59" t="str">
        <f>IF($A680="","",
   SUMIFS(Transactions!$P:$P,
          Transactions!$G:$G,$A680,
          Transactions!$C:$C,"IN",
          Transactions!$Q:$Q,"Paid"))</f>
        <v/>
      </c>
      <c r="H680" s="59" t="str">
        <f>IF($A680="","",
   SUMIFS(Transactions!$P:$P,
          Transactions!$G:$G,$A680,
          Transactions!$C:$C,"OUT"))</f>
        <v/>
      </c>
      <c r="I680" s="65" t="str">
        <f t="shared" si="52"/>
        <v/>
      </c>
      <c r="J680" s="59" t="str">
        <f t="shared" si="55"/>
        <v/>
      </c>
    </row>
    <row r="681" spans="4:10" ht="22.5" customHeight="1" x14ac:dyDescent="0.25">
      <c r="D681" s="59" t="str">
        <f t="shared" si="51"/>
        <v/>
      </c>
      <c r="E681" s="59" t="str">
        <f t="shared" si="53"/>
        <v/>
      </c>
      <c r="F681" s="59" t="str">
        <f t="shared" si="54"/>
        <v/>
      </c>
      <c r="G681" s="59" t="str">
        <f>IF($A681="","",
   SUMIFS(Transactions!$P:$P,
          Transactions!$G:$G,$A681,
          Transactions!$C:$C,"IN",
          Transactions!$Q:$Q,"Paid"))</f>
        <v/>
      </c>
      <c r="H681" s="59" t="str">
        <f>IF($A681="","",
   SUMIFS(Transactions!$P:$P,
          Transactions!$G:$G,$A681,
          Transactions!$C:$C,"OUT"))</f>
        <v/>
      </c>
      <c r="I681" s="65" t="str">
        <f t="shared" si="52"/>
        <v/>
      </c>
      <c r="J681" s="59" t="str">
        <f t="shared" si="55"/>
        <v/>
      </c>
    </row>
    <row r="682" spans="4:10" ht="22.5" customHeight="1" x14ac:dyDescent="0.25">
      <c r="D682" s="59" t="str">
        <f t="shared" si="51"/>
        <v/>
      </c>
      <c r="E682" s="59" t="str">
        <f t="shared" si="53"/>
        <v/>
      </c>
      <c r="F682" s="59" t="str">
        <f t="shared" si="54"/>
        <v/>
      </c>
      <c r="G682" s="59" t="str">
        <f>IF($A682="","",
   SUMIFS(Transactions!$P:$P,
          Transactions!$G:$G,$A682,
          Transactions!$C:$C,"IN",
          Transactions!$Q:$Q,"Paid"))</f>
        <v/>
      </c>
      <c r="H682" s="59" t="str">
        <f>IF($A682="","",
   SUMIFS(Transactions!$P:$P,
          Transactions!$G:$G,$A682,
          Transactions!$C:$C,"OUT"))</f>
        <v/>
      </c>
      <c r="I682" s="65" t="str">
        <f t="shared" si="52"/>
        <v/>
      </c>
      <c r="J682" s="59" t="str">
        <f t="shared" si="55"/>
        <v/>
      </c>
    </row>
    <row r="683" spans="4:10" ht="22.5" customHeight="1" x14ac:dyDescent="0.25">
      <c r="D683" s="59" t="str">
        <f t="shared" si="51"/>
        <v/>
      </c>
      <c r="E683" s="59" t="str">
        <f t="shared" si="53"/>
        <v/>
      </c>
      <c r="F683" s="59" t="str">
        <f t="shared" si="54"/>
        <v/>
      </c>
      <c r="G683" s="59" t="str">
        <f>IF($A683="","",
   SUMIFS(Transactions!$P:$P,
          Transactions!$G:$G,$A683,
          Transactions!$C:$C,"IN",
          Transactions!$Q:$Q,"Paid"))</f>
        <v/>
      </c>
      <c r="H683" s="59" t="str">
        <f>IF($A683="","",
   SUMIFS(Transactions!$P:$P,
          Transactions!$G:$G,$A683,
          Transactions!$C:$C,"OUT"))</f>
        <v/>
      </c>
      <c r="I683" s="65" t="str">
        <f t="shared" si="52"/>
        <v/>
      </c>
      <c r="J683" s="59" t="str">
        <f t="shared" si="55"/>
        <v/>
      </c>
    </row>
    <row r="684" spans="4:10" ht="22.5" customHeight="1" x14ac:dyDescent="0.25">
      <c r="D684" s="59" t="str">
        <f t="shared" si="51"/>
        <v/>
      </c>
      <c r="E684" s="59" t="str">
        <f t="shared" si="53"/>
        <v/>
      </c>
      <c r="F684" s="59" t="str">
        <f t="shared" si="54"/>
        <v/>
      </c>
      <c r="G684" s="59" t="str">
        <f>IF($A684="","",
   SUMIFS(Transactions!$P:$P,
          Transactions!$G:$G,$A684,
          Transactions!$C:$C,"IN",
          Transactions!$Q:$Q,"Paid"))</f>
        <v/>
      </c>
      <c r="H684" s="59" t="str">
        <f>IF($A684="","",
   SUMIFS(Transactions!$P:$P,
          Transactions!$G:$G,$A684,
          Transactions!$C:$C,"OUT"))</f>
        <v/>
      </c>
      <c r="I684" s="65" t="str">
        <f t="shared" si="52"/>
        <v/>
      </c>
      <c r="J684" s="59" t="str">
        <f t="shared" si="55"/>
        <v/>
      </c>
    </row>
    <row r="685" spans="4:10" ht="22.5" customHeight="1" x14ac:dyDescent="0.25">
      <c r="D685" s="59" t="str">
        <f t="shared" si="51"/>
        <v/>
      </c>
      <c r="E685" s="59" t="str">
        <f t="shared" si="53"/>
        <v/>
      </c>
      <c r="F685" s="59" t="str">
        <f t="shared" si="54"/>
        <v/>
      </c>
      <c r="G685" s="59" t="str">
        <f>IF($A685="","",
   SUMIFS(Transactions!$P:$P,
          Transactions!$G:$G,$A685,
          Transactions!$C:$C,"IN",
          Transactions!$Q:$Q,"Paid"))</f>
        <v/>
      </c>
      <c r="H685" s="59" t="str">
        <f>IF($A685="","",
   SUMIFS(Transactions!$P:$P,
          Transactions!$G:$G,$A685,
          Transactions!$C:$C,"OUT"))</f>
        <v/>
      </c>
      <c r="I685" s="65" t="str">
        <f t="shared" si="52"/>
        <v/>
      </c>
      <c r="J685" s="59" t="str">
        <f t="shared" si="55"/>
        <v/>
      </c>
    </row>
    <row r="686" spans="4:10" ht="22.5" customHeight="1" x14ac:dyDescent="0.25">
      <c r="D686" s="59" t="str">
        <f t="shared" si="51"/>
        <v/>
      </c>
      <c r="E686" s="59" t="str">
        <f t="shared" si="53"/>
        <v/>
      </c>
      <c r="F686" s="59" t="str">
        <f t="shared" si="54"/>
        <v/>
      </c>
      <c r="G686" s="59" t="str">
        <f>IF($A686="","",
   SUMIFS(Transactions!$P:$P,
          Transactions!$G:$G,$A686,
          Transactions!$C:$C,"IN",
          Transactions!$Q:$Q,"Paid"))</f>
        <v/>
      </c>
      <c r="H686" s="59" t="str">
        <f>IF($A686="","",
   SUMIFS(Transactions!$P:$P,
          Transactions!$G:$G,$A686,
          Transactions!$C:$C,"OUT"))</f>
        <v/>
      </c>
      <c r="I686" s="65" t="str">
        <f t="shared" si="52"/>
        <v/>
      </c>
      <c r="J686" s="59" t="str">
        <f t="shared" si="55"/>
        <v/>
      </c>
    </row>
    <row r="687" spans="4:10" ht="22.5" customHeight="1" x14ac:dyDescent="0.25">
      <c r="D687" s="59" t="str">
        <f t="shared" si="51"/>
        <v/>
      </c>
      <c r="E687" s="59" t="str">
        <f t="shared" si="53"/>
        <v/>
      </c>
      <c r="F687" s="59" t="str">
        <f t="shared" si="54"/>
        <v/>
      </c>
      <c r="G687" s="59" t="str">
        <f>IF($A687="","",
   SUMIFS(Transactions!$P:$P,
          Transactions!$G:$G,$A687,
          Transactions!$C:$C,"IN",
          Transactions!$Q:$Q,"Paid"))</f>
        <v/>
      </c>
      <c r="H687" s="59" t="str">
        <f>IF($A687="","",
   SUMIFS(Transactions!$P:$P,
          Transactions!$G:$G,$A687,
          Transactions!$C:$C,"OUT"))</f>
        <v/>
      </c>
      <c r="I687" s="65" t="str">
        <f t="shared" si="52"/>
        <v/>
      </c>
      <c r="J687" s="59" t="str">
        <f t="shared" si="55"/>
        <v/>
      </c>
    </row>
    <row r="688" spans="4:10" ht="22.5" customHeight="1" x14ac:dyDescent="0.25">
      <c r="D688" s="59" t="str">
        <f t="shared" si="51"/>
        <v/>
      </c>
      <c r="E688" s="59" t="str">
        <f t="shared" si="53"/>
        <v/>
      </c>
      <c r="F688" s="59" t="str">
        <f t="shared" si="54"/>
        <v/>
      </c>
      <c r="G688" s="59" t="str">
        <f>IF($A688="","",
   SUMIFS(Transactions!$P:$P,
          Transactions!$G:$G,$A688,
          Transactions!$C:$C,"IN",
          Transactions!$Q:$Q,"Paid"))</f>
        <v/>
      </c>
      <c r="H688" s="59" t="str">
        <f>IF($A688="","",
   SUMIFS(Transactions!$P:$P,
          Transactions!$G:$G,$A688,
          Transactions!$C:$C,"OUT"))</f>
        <v/>
      </c>
      <c r="I688" s="65" t="str">
        <f t="shared" si="52"/>
        <v/>
      </c>
      <c r="J688" s="59" t="str">
        <f t="shared" si="55"/>
        <v/>
      </c>
    </row>
    <row r="689" spans="4:10" ht="22.5" customHeight="1" x14ac:dyDescent="0.25">
      <c r="D689" s="59" t="str">
        <f t="shared" si="51"/>
        <v/>
      </c>
      <c r="E689" s="59" t="str">
        <f t="shared" si="53"/>
        <v/>
      </c>
      <c r="F689" s="59" t="str">
        <f t="shared" si="54"/>
        <v/>
      </c>
      <c r="G689" s="59" t="str">
        <f>IF($A689="","",
   SUMIFS(Transactions!$P:$P,
          Transactions!$G:$G,$A689,
          Transactions!$C:$C,"IN",
          Transactions!$Q:$Q,"Paid"))</f>
        <v/>
      </c>
      <c r="H689" s="59" t="str">
        <f>IF($A689="","",
   SUMIFS(Transactions!$P:$P,
          Transactions!$G:$G,$A689,
          Transactions!$C:$C,"OUT"))</f>
        <v/>
      </c>
      <c r="I689" s="65" t="str">
        <f t="shared" si="52"/>
        <v/>
      </c>
      <c r="J689" s="59" t="str">
        <f t="shared" si="55"/>
        <v/>
      </c>
    </row>
    <row r="690" spans="4:10" ht="22.5" customHeight="1" x14ac:dyDescent="0.25">
      <c r="D690" s="59" t="str">
        <f t="shared" si="51"/>
        <v/>
      </c>
      <c r="E690" s="59" t="str">
        <f t="shared" si="53"/>
        <v/>
      </c>
      <c r="F690" s="59" t="str">
        <f t="shared" si="54"/>
        <v/>
      </c>
      <c r="G690" s="59" t="str">
        <f>IF($A690="","",
   SUMIFS(Transactions!$P:$P,
          Transactions!$G:$G,$A690,
          Transactions!$C:$C,"IN",
          Transactions!$Q:$Q,"Paid"))</f>
        <v/>
      </c>
      <c r="H690" s="59" t="str">
        <f>IF($A690="","",
   SUMIFS(Transactions!$P:$P,
          Transactions!$G:$G,$A690,
          Transactions!$C:$C,"OUT"))</f>
        <v/>
      </c>
      <c r="I690" s="65" t="str">
        <f t="shared" si="52"/>
        <v/>
      </c>
      <c r="J690" s="59" t="str">
        <f t="shared" si="55"/>
        <v/>
      </c>
    </row>
    <row r="691" spans="4:10" ht="22.5" customHeight="1" x14ac:dyDescent="0.25">
      <c r="D691" s="59" t="str">
        <f t="shared" si="51"/>
        <v/>
      </c>
      <c r="E691" s="59" t="str">
        <f t="shared" si="53"/>
        <v/>
      </c>
      <c r="F691" s="59" t="str">
        <f t="shared" si="54"/>
        <v/>
      </c>
      <c r="G691" s="59" t="str">
        <f>IF($A691="","",
   SUMIFS(Transactions!$P:$P,
          Transactions!$G:$G,$A691,
          Transactions!$C:$C,"IN",
          Transactions!$Q:$Q,"Paid"))</f>
        <v/>
      </c>
      <c r="H691" s="59" t="str">
        <f>IF($A691="","",
   SUMIFS(Transactions!$P:$P,
          Transactions!$G:$G,$A691,
          Transactions!$C:$C,"OUT"))</f>
        <v/>
      </c>
      <c r="I691" s="65" t="str">
        <f t="shared" si="52"/>
        <v/>
      </c>
      <c r="J691" s="59" t="str">
        <f t="shared" si="55"/>
        <v/>
      </c>
    </row>
    <row r="692" spans="4:10" ht="22.5" customHeight="1" x14ac:dyDescent="0.25">
      <c r="D692" s="59" t="str">
        <f t="shared" si="51"/>
        <v/>
      </c>
      <c r="E692" s="59" t="str">
        <f t="shared" si="53"/>
        <v/>
      </c>
      <c r="F692" s="59" t="str">
        <f t="shared" si="54"/>
        <v/>
      </c>
      <c r="G692" s="59" t="str">
        <f>IF($A692="","",
   SUMIFS(Transactions!$P:$P,
          Transactions!$G:$G,$A692,
          Transactions!$C:$C,"IN",
          Transactions!$Q:$Q,"Paid"))</f>
        <v/>
      </c>
      <c r="H692" s="59" t="str">
        <f>IF($A692="","",
   SUMIFS(Transactions!$P:$P,
          Transactions!$G:$G,$A692,
          Transactions!$C:$C,"OUT"))</f>
        <v/>
      </c>
      <c r="I692" s="65" t="str">
        <f t="shared" si="52"/>
        <v/>
      </c>
      <c r="J692" s="59" t="str">
        <f t="shared" si="55"/>
        <v/>
      </c>
    </row>
    <row r="693" spans="4:10" ht="22.5" customHeight="1" x14ac:dyDescent="0.25">
      <c r="D693" s="59" t="str">
        <f t="shared" si="51"/>
        <v/>
      </c>
      <c r="E693" s="59" t="str">
        <f t="shared" si="53"/>
        <v/>
      </c>
      <c r="F693" s="59" t="str">
        <f t="shared" si="54"/>
        <v/>
      </c>
      <c r="G693" s="59" t="str">
        <f>IF($A693="","",
   SUMIFS(Transactions!$P:$P,
          Transactions!$G:$G,$A693,
          Transactions!$C:$C,"IN",
          Transactions!$Q:$Q,"Paid"))</f>
        <v/>
      </c>
      <c r="H693" s="59" t="str">
        <f>IF($A693="","",
   SUMIFS(Transactions!$P:$P,
          Transactions!$G:$G,$A693,
          Transactions!$C:$C,"OUT"))</f>
        <v/>
      </c>
      <c r="I693" s="65" t="str">
        <f t="shared" si="52"/>
        <v/>
      </c>
      <c r="J693" s="59" t="str">
        <f t="shared" si="55"/>
        <v/>
      </c>
    </row>
    <row r="694" spans="4:10" ht="22.5" customHeight="1" x14ac:dyDescent="0.25">
      <c r="D694" s="59" t="str">
        <f t="shared" si="51"/>
        <v/>
      </c>
      <c r="E694" s="59" t="str">
        <f t="shared" si="53"/>
        <v/>
      </c>
      <c r="F694" s="59" t="str">
        <f t="shared" si="54"/>
        <v/>
      </c>
      <c r="G694" s="59" t="str">
        <f>IF($A694="","",
   SUMIFS(Transactions!$P:$P,
          Transactions!$G:$G,$A694,
          Transactions!$C:$C,"IN",
          Transactions!$Q:$Q,"Paid"))</f>
        <v/>
      </c>
      <c r="H694" s="59" t="str">
        <f>IF($A694="","",
   SUMIFS(Transactions!$P:$P,
          Transactions!$G:$G,$A694,
          Transactions!$C:$C,"OUT"))</f>
        <v/>
      </c>
      <c r="I694" s="65" t="str">
        <f t="shared" si="52"/>
        <v/>
      </c>
      <c r="J694" s="59" t="str">
        <f t="shared" si="55"/>
        <v/>
      </c>
    </row>
    <row r="695" spans="4:10" ht="22.5" customHeight="1" x14ac:dyDescent="0.25">
      <c r="D695" s="59" t="str">
        <f t="shared" si="51"/>
        <v/>
      </c>
      <c r="E695" s="59" t="str">
        <f t="shared" si="53"/>
        <v/>
      </c>
      <c r="F695" s="59" t="str">
        <f t="shared" si="54"/>
        <v/>
      </c>
      <c r="G695" s="59" t="str">
        <f>IF($A695="","",
   SUMIFS(Transactions!$P:$P,
          Transactions!$G:$G,$A695,
          Transactions!$C:$C,"IN",
          Transactions!$Q:$Q,"Paid"))</f>
        <v/>
      </c>
      <c r="H695" s="59" t="str">
        <f>IF($A695="","",
   SUMIFS(Transactions!$P:$P,
          Transactions!$G:$G,$A695,
          Transactions!$C:$C,"OUT"))</f>
        <v/>
      </c>
      <c r="I695" s="65" t="str">
        <f t="shared" si="52"/>
        <v/>
      </c>
      <c r="J695" s="59" t="str">
        <f t="shared" si="55"/>
        <v/>
      </c>
    </row>
    <row r="696" spans="4:10" ht="22.5" customHeight="1" x14ac:dyDescent="0.25">
      <c r="D696" s="59" t="str">
        <f t="shared" si="51"/>
        <v/>
      </c>
      <c r="E696" s="59" t="str">
        <f t="shared" si="53"/>
        <v/>
      </c>
      <c r="F696" s="59" t="str">
        <f t="shared" si="54"/>
        <v/>
      </c>
      <c r="G696" s="59" t="str">
        <f>IF($A696="","",
   SUMIFS(Transactions!$P:$P,
          Transactions!$G:$G,$A696,
          Transactions!$C:$C,"IN",
          Transactions!$Q:$Q,"Paid"))</f>
        <v/>
      </c>
      <c r="H696" s="59" t="str">
        <f>IF($A696="","",
   SUMIFS(Transactions!$P:$P,
          Transactions!$G:$G,$A696,
          Transactions!$C:$C,"OUT"))</f>
        <v/>
      </c>
      <c r="I696" s="65" t="str">
        <f t="shared" si="52"/>
        <v/>
      </c>
      <c r="J696" s="59" t="str">
        <f t="shared" si="55"/>
        <v/>
      </c>
    </row>
    <row r="697" spans="4:10" ht="22.5" customHeight="1" x14ac:dyDescent="0.25">
      <c r="D697" s="59" t="str">
        <f t="shared" si="51"/>
        <v/>
      </c>
      <c r="E697" s="59" t="str">
        <f t="shared" si="53"/>
        <v/>
      </c>
      <c r="F697" s="59" t="str">
        <f t="shared" si="54"/>
        <v/>
      </c>
      <c r="G697" s="59" t="str">
        <f>IF($A697="","",
   SUMIFS(Transactions!$P:$P,
          Transactions!$G:$G,$A697,
          Transactions!$C:$C,"IN",
          Transactions!$Q:$Q,"Paid"))</f>
        <v/>
      </c>
      <c r="H697" s="59" t="str">
        <f>IF($A697="","",
   SUMIFS(Transactions!$P:$P,
          Transactions!$G:$G,$A697,
          Transactions!$C:$C,"OUT"))</f>
        <v/>
      </c>
      <c r="I697" s="65" t="str">
        <f t="shared" si="52"/>
        <v/>
      </c>
      <c r="J697" s="59" t="str">
        <f t="shared" si="55"/>
        <v/>
      </c>
    </row>
    <row r="698" spans="4:10" ht="22.5" customHeight="1" x14ac:dyDescent="0.25">
      <c r="D698" s="59" t="str">
        <f t="shared" si="51"/>
        <v/>
      </c>
      <c r="E698" s="59" t="str">
        <f t="shared" si="53"/>
        <v/>
      </c>
      <c r="F698" s="59" t="str">
        <f t="shared" si="54"/>
        <v/>
      </c>
      <c r="G698" s="59" t="str">
        <f>IF($A698="","",
   SUMIFS(Transactions!$P:$P,
          Transactions!$G:$G,$A698,
          Transactions!$C:$C,"IN",
          Transactions!$Q:$Q,"Paid"))</f>
        <v/>
      </c>
      <c r="H698" s="59" t="str">
        <f>IF($A698="","",
   SUMIFS(Transactions!$P:$P,
          Transactions!$G:$G,$A698,
          Transactions!$C:$C,"OUT"))</f>
        <v/>
      </c>
      <c r="I698" s="65" t="str">
        <f t="shared" si="52"/>
        <v/>
      </c>
      <c r="J698" s="59" t="str">
        <f t="shared" si="55"/>
        <v/>
      </c>
    </row>
    <row r="699" spans="4:10" ht="22.5" customHeight="1" x14ac:dyDescent="0.25">
      <c r="D699" s="59" t="str">
        <f t="shared" si="51"/>
        <v/>
      </c>
      <c r="E699" s="59" t="str">
        <f t="shared" si="53"/>
        <v/>
      </c>
      <c r="F699" s="59" t="str">
        <f t="shared" si="54"/>
        <v/>
      </c>
      <c r="G699" s="59" t="str">
        <f>IF($A699="","",
   SUMIFS(Transactions!$P:$P,
          Transactions!$G:$G,$A699,
          Transactions!$C:$C,"IN",
          Transactions!$Q:$Q,"Paid"))</f>
        <v/>
      </c>
      <c r="H699" s="59" t="str">
        <f>IF($A699="","",
   SUMIFS(Transactions!$P:$P,
          Transactions!$G:$G,$A699,
          Transactions!$C:$C,"OUT"))</f>
        <v/>
      </c>
      <c r="I699" s="65" t="str">
        <f t="shared" si="52"/>
        <v/>
      </c>
      <c r="J699" s="59" t="str">
        <f t="shared" si="55"/>
        <v/>
      </c>
    </row>
    <row r="700" spans="4:10" ht="22.5" customHeight="1" x14ac:dyDescent="0.25">
      <c r="D700" s="59" t="str">
        <f t="shared" si="51"/>
        <v/>
      </c>
      <c r="E700" s="59" t="str">
        <f t="shared" si="53"/>
        <v/>
      </c>
      <c r="F700" s="59" t="str">
        <f t="shared" si="54"/>
        <v/>
      </c>
      <c r="G700" s="59" t="str">
        <f>IF($A700="","",
   SUMIFS(Transactions!$P:$P,
          Transactions!$G:$G,$A700,
          Transactions!$C:$C,"IN",
          Transactions!$Q:$Q,"Paid"))</f>
        <v/>
      </c>
      <c r="H700" s="59" t="str">
        <f>IF($A700="","",
   SUMIFS(Transactions!$P:$P,
          Transactions!$G:$G,$A700,
          Transactions!$C:$C,"OUT"))</f>
        <v/>
      </c>
      <c r="I700" s="65" t="str">
        <f t="shared" si="52"/>
        <v/>
      </c>
      <c r="J700" s="59" t="str">
        <f t="shared" si="55"/>
        <v/>
      </c>
    </row>
    <row r="701" spans="4:10" ht="22.5" customHeight="1" x14ac:dyDescent="0.25">
      <c r="D701" s="59" t="str">
        <f t="shared" si="51"/>
        <v/>
      </c>
      <c r="E701" s="59" t="str">
        <f t="shared" si="53"/>
        <v/>
      </c>
      <c r="F701" s="59" t="str">
        <f t="shared" si="54"/>
        <v/>
      </c>
      <c r="G701" s="59" t="str">
        <f>IF($A701="","",
   SUMIFS(Transactions!$P:$P,
          Transactions!$G:$G,$A701,
          Transactions!$C:$C,"IN",
          Transactions!$Q:$Q,"Paid"))</f>
        <v/>
      </c>
      <c r="H701" s="59" t="str">
        <f>IF($A701="","",
   SUMIFS(Transactions!$P:$P,
          Transactions!$G:$G,$A701,
          Transactions!$C:$C,"OUT"))</f>
        <v/>
      </c>
      <c r="I701" s="65" t="str">
        <f t="shared" si="52"/>
        <v/>
      </c>
      <c r="J701" s="59" t="str">
        <f t="shared" si="55"/>
        <v/>
      </c>
    </row>
    <row r="702" spans="4:10" ht="22.5" customHeight="1" x14ac:dyDescent="0.25">
      <c r="D702" s="59" t="str">
        <f t="shared" si="51"/>
        <v/>
      </c>
      <c r="E702" s="59" t="str">
        <f t="shared" si="53"/>
        <v/>
      </c>
      <c r="F702" s="59" t="str">
        <f t="shared" si="54"/>
        <v/>
      </c>
      <c r="G702" s="59" t="str">
        <f>IF($A702="","",
   SUMIFS(Transactions!$P:$P,
          Transactions!$G:$G,$A702,
          Transactions!$C:$C,"IN",
          Transactions!$Q:$Q,"Paid"))</f>
        <v/>
      </c>
      <c r="H702" s="59" t="str">
        <f>IF($A702="","",
   SUMIFS(Transactions!$P:$P,
          Transactions!$G:$G,$A702,
          Transactions!$C:$C,"OUT"))</f>
        <v/>
      </c>
      <c r="I702" s="65" t="str">
        <f t="shared" si="52"/>
        <v/>
      </c>
      <c r="J702" s="59" t="str">
        <f t="shared" si="55"/>
        <v/>
      </c>
    </row>
    <row r="703" spans="4:10" ht="22.5" customHeight="1" x14ac:dyDescent="0.25">
      <c r="D703" s="59" t="str">
        <f t="shared" si="51"/>
        <v/>
      </c>
      <c r="E703" s="59" t="str">
        <f t="shared" si="53"/>
        <v/>
      </c>
      <c r="F703" s="59" t="str">
        <f t="shared" si="54"/>
        <v/>
      </c>
      <c r="G703" s="59" t="str">
        <f>IF($A703="","",
   SUMIFS(Transactions!$P:$P,
          Transactions!$G:$G,$A703,
          Transactions!$C:$C,"IN",
          Transactions!$Q:$Q,"Paid"))</f>
        <v/>
      </c>
      <c r="H703" s="59" t="str">
        <f>IF($A703="","",
   SUMIFS(Transactions!$P:$P,
          Transactions!$G:$G,$A703,
          Transactions!$C:$C,"OUT"))</f>
        <v/>
      </c>
      <c r="I703" s="65" t="str">
        <f t="shared" si="52"/>
        <v/>
      </c>
      <c r="J703" s="59" t="str">
        <f t="shared" si="55"/>
        <v/>
      </c>
    </row>
    <row r="704" spans="4:10" ht="22.5" customHeight="1" x14ac:dyDescent="0.25">
      <c r="D704" s="59" t="str">
        <f t="shared" si="51"/>
        <v/>
      </c>
      <c r="E704" s="59" t="str">
        <f t="shared" si="53"/>
        <v/>
      </c>
      <c r="F704" s="59" t="str">
        <f t="shared" si="54"/>
        <v/>
      </c>
      <c r="G704" s="59" t="str">
        <f>IF($A704="","",
   SUMIFS(Transactions!$P:$P,
          Transactions!$G:$G,$A704,
          Transactions!$C:$C,"IN",
          Transactions!$Q:$Q,"Paid"))</f>
        <v/>
      </c>
      <c r="H704" s="59" t="str">
        <f>IF($A704="","",
   SUMIFS(Transactions!$P:$P,
          Transactions!$G:$G,$A704,
          Transactions!$C:$C,"OUT"))</f>
        <v/>
      </c>
      <c r="I704" s="65" t="str">
        <f t="shared" si="52"/>
        <v/>
      </c>
      <c r="J704" s="59" t="str">
        <f t="shared" si="55"/>
        <v/>
      </c>
    </row>
    <row r="705" spans="4:10" ht="22.5" customHeight="1" x14ac:dyDescent="0.25">
      <c r="D705" s="59" t="str">
        <f t="shared" si="51"/>
        <v/>
      </c>
      <c r="E705" s="59" t="str">
        <f t="shared" si="53"/>
        <v/>
      </c>
      <c r="F705" s="59" t="str">
        <f t="shared" si="54"/>
        <v/>
      </c>
      <c r="G705" s="59" t="str">
        <f>IF($A705="","",
   SUMIFS(Transactions!$P:$P,
          Transactions!$G:$G,$A705,
          Transactions!$C:$C,"IN",
          Transactions!$Q:$Q,"Paid"))</f>
        <v/>
      </c>
      <c r="H705" s="59" t="str">
        <f>IF($A705="","",
   SUMIFS(Transactions!$P:$P,
          Transactions!$G:$G,$A705,
          Transactions!$C:$C,"OUT"))</f>
        <v/>
      </c>
      <c r="I705" s="65" t="str">
        <f t="shared" si="52"/>
        <v/>
      </c>
      <c r="J705" s="59" t="str">
        <f t="shared" si="55"/>
        <v/>
      </c>
    </row>
    <row r="706" spans="4:10" ht="22.5" customHeight="1" x14ac:dyDescent="0.25">
      <c r="D706" s="59" t="str">
        <f t="shared" si="51"/>
        <v/>
      </c>
      <c r="E706" s="59" t="str">
        <f t="shared" si="53"/>
        <v/>
      </c>
      <c r="F706" s="59" t="str">
        <f t="shared" si="54"/>
        <v/>
      </c>
      <c r="G706" s="59" t="str">
        <f>IF($A706="","",
   SUMIFS(Transactions!$P:$P,
          Transactions!$G:$G,$A706,
          Transactions!$C:$C,"IN",
          Transactions!$Q:$Q,"Paid"))</f>
        <v/>
      </c>
      <c r="H706" s="59" t="str">
        <f>IF($A706="","",
   SUMIFS(Transactions!$P:$P,
          Transactions!$G:$G,$A706,
          Transactions!$C:$C,"OUT"))</f>
        <v/>
      </c>
      <c r="I706" s="65" t="str">
        <f t="shared" si="52"/>
        <v/>
      </c>
      <c r="J706" s="59" t="str">
        <f t="shared" si="55"/>
        <v/>
      </c>
    </row>
    <row r="707" spans="4:10" ht="22.5" customHeight="1" x14ac:dyDescent="0.25">
      <c r="D707" s="59" t="str">
        <f t="shared" ref="D707:D770" si="56">IF(C707="","",ROUND(C707*0.15,2))</f>
        <v/>
      </c>
      <c r="E707" s="59" t="str">
        <f t="shared" si="53"/>
        <v/>
      </c>
      <c r="F707" s="59" t="str">
        <f t="shared" si="54"/>
        <v/>
      </c>
      <c r="G707" s="59" t="str">
        <f>IF($A707="","",
   SUMIFS(Transactions!$P:$P,
          Transactions!$G:$G,$A707,
          Transactions!$C:$C,"IN",
          Transactions!$Q:$Q,"Paid"))</f>
        <v/>
      </c>
      <c r="H707" s="59" t="str">
        <f>IF($A707="","",
   SUMIFS(Transactions!$P:$P,
          Transactions!$G:$G,$A707,
          Transactions!$C:$C,"OUT"))</f>
        <v/>
      </c>
      <c r="I707" s="65" t="str">
        <f t="shared" ref="I707:I770" si="57">IF(C707="","",C707-H707)</f>
        <v/>
      </c>
      <c r="J707" s="59" t="str">
        <f t="shared" si="55"/>
        <v/>
      </c>
    </row>
    <row r="708" spans="4:10" ht="22.5" customHeight="1" x14ac:dyDescent="0.25">
      <c r="D708" s="59" t="str">
        <f t="shared" si="56"/>
        <v/>
      </c>
      <c r="E708" s="59" t="str">
        <f t="shared" ref="E708:E771" si="58">IF(C708="","",C708+D708)</f>
        <v/>
      </c>
      <c r="F708" s="59" t="str">
        <f t="shared" ref="F708:F771" si="59">IF(E708="","",E708*0.5)</f>
        <v/>
      </c>
      <c r="G708" s="59" t="str">
        <f>IF($A708="","",
   SUMIFS(Transactions!$P:$P,
          Transactions!$G:$G,$A708,
          Transactions!$C:$C,"IN",
          Transactions!$Q:$Q,"Paid"))</f>
        <v/>
      </c>
      <c r="H708" s="59" t="str">
        <f>IF($A708="","",
   SUMIFS(Transactions!$P:$P,
          Transactions!$G:$G,$A708,
          Transactions!$C:$C,"OUT"))</f>
        <v/>
      </c>
      <c r="I708" s="65" t="str">
        <f t="shared" si="57"/>
        <v/>
      </c>
      <c r="J708" s="59" t="str">
        <f t="shared" ref="J708:J771" si="60">IF(E708="","",E708-G708)</f>
        <v/>
      </c>
    </row>
    <row r="709" spans="4:10" ht="22.5" customHeight="1" x14ac:dyDescent="0.25">
      <c r="D709" s="59" t="str">
        <f t="shared" si="56"/>
        <v/>
      </c>
      <c r="E709" s="59" t="str">
        <f t="shared" si="58"/>
        <v/>
      </c>
      <c r="F709" s="59" t="str">
        <f t="shared" si="59"/>
        <v/>
      </c>
      <c r="G709" s="59" t="str">
        <f>IF($A709="","",
   SUMIFS(Transactions!$P:$P,
          Transactions!$G:$G,$A709,
          Transactions!$C:$C,"IN",
          Transactions!$Q:$Q,"Paid"))</f>
        <v/>
      </c>
      <c r="H709" s="59" t="str">
        <f>IF($A709="","",
   SUMIFS(Transactions!$P:$P,
          Transactions!$G:$G,$A709,
          Transactions!$C:$C,"OUT"))</f>
        <v/>
      </c>
      <c r="I709" s="65" t="str">
        <f t="shared" si="57"/>
        <v/>
      </c>
      <c r="J709" s="59" t="str">
        <f t="shared" si="60"/>
        <v/>
      </c>
    </row>
    <row r="710" spans="4:10" ht="22.5" customHeight="1" x14ac:dyDescent="0.25">
      <c r="D710" s="59" t="str">
        <f t="shared" si="56"/>
        <v/>
      </c>
      <c r="E710" s="59" t="str">
        <f t="shared" si="58"/>
        <v/>
      </c>
      <c r="F710" s="59" t="str">
        <f t="shared" si="59"/>
        <v/>
      </c>
      <c r="G710" s="59" t="str">
        <f>IF($A710="","",
   SUMIFS(Transactions!$P:$P,
          Transactions!$G:$G,$A710,
          Transactions!$C:$C,"IN",
          Transactions!$Q:$Q,"Paid"))</f>
        <v/>
      </c>
      <c r="H710" s="59" t="str">
        <f>IF($A710="","",
   SUMIFS(Transactions!$P:$P,
          Transactions!$G:$G,$A710,
          Transactions!$C:$C,"OUT"))</f>
        <v/>
      </c>
      <c r="I710" s="65" t="str">
        <f t="shared" si="57"/>
        <v/>
      </c>
      <c r="J710" s="59" t="str">
        <f t="shared" si="60"/>
        <v/>
      </c>
    </row>
    <row r="711" spans="4:10" ht="22.5" customHeight="1" x14ac:dyDescent="0.25">
      <c r="D711" s="59" t="str">
        <f t="shared" si="56"/>
        <v/>
      </c>
      <c r="E711" s="59" t="str">
        <f t="shared" si="58"/>
        <v/>
      </c>
      <c r="F711" s="59" t="str">
        <f t="shared" si="59"/>
        <v/>
      </c>
      <c r="G711" s="59" t="str">
        <f>IF($A711="","",
   SUMIFS(Transactions!$P:$P,
          Transactions!$G:$G,$A711,
          Transactions!$C:$C,"IN",
          Transactions!$Q:$Q,"Paid"))</f>
        <v/>
      </c>
      <c r="H711" s="59" t="str">
        <f>IF($A711="","",
   SUMIFS(Transactions!$P:$P,
          Transactions!$G:$G,$A711,
          Transactions!$C:$C,"OUT"))</f>
        <v/>
      </c>
      <c r="I711" s="65" t="str">
        <f t="shared" si="57"/>
        <v/>
      </c>
      <c r="J711" s="59" t="str">
        <f t="shared" si="60"/>
        <v/>
      </c>
    </row>
    <row r="712" spans="4:10" ht="22.5" customHeight="1" x14ac:dyDescent="0.25">
      <c r="D712" s="59" t="str">
        <f t="shared" si="56"/>
        <v/>
      </c>
      <c r="E712" s="59" t="str">
        <f t="shared" si="58"/>
        <v/>
      </c>
      <c r="F712" s="59" t="str">
        <f t="shared" si="59"/>
        <v/>
      </c>
      <c r="G712" s="59" t="str">
        <f>IF($A712="","",
   SUMIFS(Transactions!$P:$P,
          Transactions!$G:$G,$A712,
          Transactions!$C:$C,"IN",
          Transactions!$Q:$Q,"Paid"))</f>
        <v/>
      </c>
      <c r="H712" s="59" t="str">
        <f>IF($A712="","",
   SUMIFS(Transactions!$P:$P,
          Transactions!$G:$G,$A712,
          Transactions!$C:$C,"OUT"))</f>
        <v/>
      </c>
      <c r="I712" s="65" t="str">
        <f t="shared" si="57"/>
        <v/>
      </c>
      <c r="J712" s="59" t="str">
        <f t="shared" si="60"/>
        <v/>
      </c>
    </row>
    <row r="713" spans="4:10" ht="22.5" customHeight="1" x14ac:dyDescent="0.25">
      <c r="D713" s="59" t="str">
        <f t="shared" si="56"/>
        <v/>
      </c>
      <c r="E713" s="59" t="str">
        <f t="shared" si="58"/>
        <v/>
      </c>
      <c r="F713" s="59" t="str">
        <f t="shared" si="59"/>
        <v/>
      </c>
      <c r="G713" s="59" t="str">
        <f>IF($A713="","",
   SUMIFS(Transactions!$P:$P,
          Transactions!$G:$G,$A713,
          Transactions!$C:$C,"IN",
          Transactions!$Q:$Q,"Paid"))</f>
        <v/>
      </c>
      <c r="H713" s="59" t="str">
        <f>IF($A713="","",
   SUMIFS(Transactions!$P:$P,
          Transactions!$G:$G,$A713,
          Transactions!$C:$C,"OUT"))</f>
        <v/>
      </c>
      <c r="I713" s="65" t="str">
        <f t="shared" si="57"/>
        <v/>
      </c>
      <c r="J713" s="59" t="str">
        <f t="shared" si="60"/>
        <v/>
      </c>
    </row>
    <row r="714" spans="4:10" ht="22.5" customHeight="1" x14ac:dyDescent="0.25">
      <c r="D714" s="59" t="str">
        <f t="shared" si="56"/>
        <v/>
      </c>
      <c r="E714" s="59" t="str">
        <f t="shared" si="58"/>
        <v/>
      </c>
      <c r="F714" s="59" t="str">
        <f t="shared" si="59"/>
        <v/>
      </c>
      <c r="G714" s="59" t="str">
        <f>IF($A714="","",
   SUMIFS(Transactions!$P:$P,
          Transactions!$G:$G,$A714,
          Transactions!$C:$C,"IN",
          Transactions!$Q:$Q,"Paid"))</f>
        <v/>
      </c>
      <c r="H714" s="59" t="str">
        <f>IF($A714="","",
   SUMIFS(Transactions!$P:$P,
          Transactions!$G:$G,$A714,
          Transactions!$C:$C,"OUT"))</f>
        <v/>
      </c>
      <c r="I714" s="65" t="str">
        <f t="shared" si="57"/>
        <v/>
      </c>
      <c r="J714" s="59" t="str">
        <f t="shared" si="60"/>
        <v/>
      </c>
    </row>
    <row r="715" spans="4:10" ht="22.5" customHeight="1" x14ac:dyDescent="0.25">
      <c r="D715" s="59" t="str">
        <f t="shared" si="56"/>
        <v/>
      </c>
      <c r="E715" s="59" t="str">
        <f t="shared" si="58"/>
        <v/>
      </c>
      <c r="F715" s="59" t="str">
        <f t="shared" si="59"/>
        <v/>
      </c>
      <c r="G715" s="59" t="str">
        <f>IF($A715="","",
   SUMIFS(Transactions!$P:$P,
          Transactions!$G:$G,$A715,
          Transactions!$C:$C,"IN",
          Transactions!$Q:$Q,"Paid"))</f>
        <v/>
      </c>
      <c r="H715" s="59" t="str">
        <f>IF($A715="","",
   SUMIFS(Transactions!$P:$P,
          Transactions!$G:$G,$A715,
          Transactions!$C:$C,"OUT"))</f>
        <v/>
      </c>
      <c r="I715" s="65" t="str">
        <f t="shared" si="57"/>
        <v/>
      </c>
      <c r="J715" s="59" t="str">
        <f t="shared" si="60"/>
        <v/>
      </c>
    </row>
    <row r="716" spans="4:10" ht="22.5" customHeight="1" x14ac:dyDescent="0.25">
      <c r="D716" s="59" t="str">
        <f t="shared" si="56"/>
        <v/>
      </c>
      <c r="E716" s="59" t="str">
        <f t="shared" si="58"/>
        <v/>
      </c>
      <c r="F716" s="59" t="str">
        <f t="shared" si="59"/>
        <v/>
      </c>
      <c r="G716" s="59" t="str">
        <f>IF($A716="","",
   SUMIFS(Transactions!$P:$P,
          Transactions!$G:$G,$A716,
          Transactions!$C:$C,"IN",
          Transactions!$Q:$Q,"Paid"))</f>
        <v/>
      </c>
      <c r="H716" s="59" t="str">
        <f>IF($A716="","",
   SUMIFS(Transactions!$P:$P,
          Transactions!$G:$G,$A716,
          Transactions!$C:$C,"OUT"))</f>
        <v/>
      </c>
      <c r="I716" s="65" t="str">
        <f t="shared" si="57"/>
        <v/>
      </c>
      <c r="J716" s="59" t="str">
        <f t="shared" si="60"/>
        <v/>
      </c>
    </row>
    <row r="717" spans="4:10" ht="22.5" customHeight="1" x14ac:dyDescent="0.25">
      <c r="D717" s="59" t="str">
        <f t="shared" si="56"/>
        <v/>
      </c>
      <c r="E717" s="59" t="str">
        <f t="shared" si="58"/>
        <v/>
      </c>
      <c r="F717" s="59" t="str">
        <f t="shared" si="59"/>
        <v/>
      </c>
      <c r="G717" s="59" t="str">
        <f>IF($A717="","",
   SUMIFS(Transactions!$P:$P,
          Transactions!$G:$G,$A717,
          Transactions!$C:$C,"IN",
          Transactions!$Q:$Q,"Paid"))</f>
        <v/>
      </c>
      <c r="H717" s="59" t="str">
        <f>IF($A717="","",
   SUMIFS(Transactions!$P:$P,
          Transactions!$G:$G,$A717,
          Transactions!$C:$C,"OUT"))</f>
        <v/>
      </c>
      <c r="I717" s="65" t="str">
        <f t="shared" si="57"/>
        <v/>
      </c>
      <c r="J717" s="59" t="str">
        <f t="shared" si="60"/>
        <v/>
      </c>
    </row>
    <row r="718" spans="4:10" ht="22.5" customHeight="1" x14ac:dyDescent="0.25">
      <c r="D718" s="59" t="str">
        <f t="shared" si="56"/>
        <v/>
      </c>
      <c r="E718" s="59" t="str">
        <f t="shared" si="58"/>
        <v/>
      </c>
      <c r="F718" s="59" t="str">
        <f t="shared" si="59"/>
        <v/>
      </c>
      <c r="G718" s="59" t="str">
        <f>IF($A718="","",
   SUMIFS(Transactions!$P:$P,
          Transactions!$G:$G,$A718,
          Transactions!$C:$C,"IN",
          Transactions!$Q:$Q,"Paid"))</f>
        <v/>
      </c>
      <c r="H718" s="59" t="str">
        <f>IF($A718="","",
   SUMIFS(Transactions!$P:$P,
          Transactions!$G:$G,$A718,
          Transactions!$C:$C,"OUT"))</f>
        <v/>
      </c>
      <c r="I718" s="65" t="str">
        <f t="shared" si="57"/>
        <v/>
      </c>
      <c r="J718" s="59" t="str">
        <f t="shared" si="60"/>
        <v/>
      </c>
    </row>
    <row r="719" spans="4:10" ht="22.5" customHeight="1" x14ac:dyDescent="0.25">
      <c r="D719" s="59" t="str">
        <f t="shared" si="56"/>
        <v/>
      </c>
      <c r="E719" s="59" t="str">
        <f t="shared" si="58"/>
        <v/>
      </c>
      <c r="F719" s="59" t="str">
        <f t="shared" si="59"/>
        <v/>
      </c>
      <c r="G719" s="59" t="str">
        <f>IF($A719="","",
   SUMIFS(Transactions!$P:$P,
          Transactions!$G:$G,$A719,
          Transactions!$C:$C,"IN",
          Transactions!$Q:$Q,"Paid"))</f>
        <v/>
      </c>
      <c r="H719" s="59" t="str">
        <f>IF($A719="","",
   SUMIFS(Transactions!$P:$P,
          Transactions!$G:$G,$A719,
          Transactions!$C:$C,"OUT"))</f>
        <v/>
      </c>
      <c r="I719" s="65" t="str">
        <f t="shared" si="57"/>
        <v/>
      </c>
      <c r="J719" s="59" t="str">
        <f t="shared" si="60"/>
        <v/>
      </c>
    </row>
    <row r="720" spans="4:10" ht="22.5" customHeight="1" x14ac:dyDescent="0.25">
      <c r="D720" s="59" t="str">
        <f t="shared" si="56"/>
        <v/>
      </c>
      <c r="E720" s="59" t="str">
        <f t="shared" si="58"/>
        <v/>
      </c>
      <c r="F720" s="59" t="str">
        <f t="shared" si="59"/>
        <v/>
      </c>
      <c r="G720" s="59" t="str">
        <f>IF($A720="","",
   SUMIFS(Transactions!$P:$P,
          Transactions!$G:$G,$A720,
          Transactions!$C:$C,"IN",
          Transactions!$Q:$Q,"Paid"))</f>
        <v/>
      </c>
      <c r="H720" s="59" t="str">
        <f>IF($A720="","",
   SUMIFS(Transactions!$P:$P,
          Transactions!$G:$G,$A720,
          Transactions!$C:$C,"OUT"))</f>
        <v/>
      </c>
      <c r="I720" s="65" t="str">
        <f t="shared" si="57"/>
        <v/>
      </c>
      <c r="J720" s="59" t="str">
        <f t="shared" si="60"/>
        <v/>
      </c>
    </row>
    <row r="721" spans="4:10" ht="22.5" customHeight="1" x14ac:dyDescent="0.25">
      <c r="D721" s="59" t="str">
        <f t="shared" si="56"/>
        <v/>
      </c>
      <c r="E721" s="59" t="str">
        <f t="shared" si="58"/>
        <v/>
      </c>
      <c r="F721" s="59" t="str">
        <f t="shared" si="59"/>
        <v/>
      </c>
      <c r="G721" s="59" t="str">
        <f>IF($A721="","",
   SUMIFS(Transactions!$P:$P,
          Transactions!$G:$G,$A721,
          Transactions!$C:$C,"IN",
          Transactions!$Q:$Q,"Paid"))</f>
        <v/>
      </c>
      <c r="H721" s="59" t="str">
        <f>IF($A721="","",
   SUMIFS(Transactions!$P:$P,
          Transactions!$G:$G,$A721,
          Transactions!$C:$C,"OUT"))</f>
        <v/>
      </c>
      <c r="I721" s="65" t="str">
        <f t="shared" si="57"/>
        <v/>
      </c>
      <c r="J721" s="59" t="str">
        <f t="shared" si="60"/>
        <v/>
      </c>
    </row>
    <row r="722" spans="4:10" ht="22.5" customHeight="1" x14ac:dyDescent="0.25">
      <c r="D722" s="59" t="str">
        <f t="shared" si="56"/>
        <v/>
      </c>
      <c r="E722" s="59" t="str">
        <f t="shared" si="58"/>
        <v/>
      </c>
      <c r="F722" s="59" t="str">
        <f t="shared" si="59"/>
        <v/>
      </c>
      <c r="G722" s="59" t="str">
        <f>IF($A722="","",
   SUMIFS(Transactions!$P:$P,
          Transactions!$G:$G,$A722,
          Transactions!$C:$C,"IN",
          Transactions!$Q:$Q,"Paid"))</f>
        <v/>
      </c>
      <c r="H722" s="59" t="str">
        <f>IF($A722="","",
   SUMIFS(Transactions!$P:$P,
          Transactions!$G:$G,$A722,
          Transactions!$C:$C,"OUT"))</f>
        <v/>
      </c>
      <c r="I722" s="65" t="str">
        <f t="shared" si="57"/>
        <v/>
      </c>
      <c r="J722" s="59" t="str">
        <f t="shared" si="60"/>
        <v/>
      </c>
    </row>
    <row r="723" spans="4:10" ht="22.5" customHeight="1" x14ac:dyDescent="0.25">
      <c r="D723" s="59" t="str">
        <f t="shared" si="56"/>
        <v/>
      </c>
      <c r="E723" s="59" t="str">
        <f t="shared" si="58"/>
        <v/>
      </c>
      <c r="F723" s="59" t="str">
        <f t="shared" si="59"/>
        <v/>
      </c>
      <c r="G723" s="59" t="str">
        <f>IF($A723="","",
   SUMIFS(Transactions!$P:$P,
          Transactions!$G:$G,$A723,
          Transactions!$C:$C,"IN",
          Transactions!$Q:$Q,"Paid"))</f>
        <v/>
      </c>
      <c r="H723" s="59" t="str">
        <f>IF($A723="","",
   SUMIFS(Transactions!$P:$P,
          Transactions!$G:$G,$A723,
          Transactions!$C:$C,"OUT"))</f>
        <v/>
      </c>
      <c r="I723" s="65" t="str">
        <f t="shared" si="57"/>
        <v/>
      </c>
      <c r="J723" s="59" t="str">
        <f t="shared" si="60"/>
        <v/>
      </c>
    </row>
    <row r="724" spans="4:10" ht="22.5" customHeight="1" x14ac:dyDescent="0.25">
      <c r="D724" s="59" t="str">
        <f t="shared" si="56"/>
        <v/>
      </c>
      <c r="E724" s="59" t="str">
        <f t="shared" si="58"/>
        <v/>
      </c>
      <c r="F724" s="59" t="str">
        <f t="shared" si="59"/>
        <v/>
      </c>
      <c r="G724" s="59" t="str">
        <f>IF($A724="","",
   SUMIFS(Transactions!$P:$P,
          Transactions!$G:$G,$A724,
          Transactions!$C:$C,"IN",
          Transactions!$Q:$Q,"Paid"))</f>
        <v/>
      </c>
      <c r="H724" s="59" t="str">
        <f>IF($A724="","",
   SUMIFS(Transactions!$P:$P,
          Transactions!$G:$G,$A724,
          Transactions!$C:$C,"OUT"))</f>
        <v/>
      </c>
      <c r="I724" s="65" t="str">
        <f t="shared" si="57"/>
        <v/>
      </c>
      <c r="J724" s="59" t="str">
        <f t="shared" si="60"/>
        <v/>
      </c>
    </row>
    <row r="725" spans="4:10" ht="22.5" customHeight="1" x14ac:dyDescent="0.25">
      <c r="D725" s="59" t="str">
        <f t="shared" si="56"/>
        <v/>
      </c>
      <c r="E725" s="59" t="str">
        <f t="shared" si="58"/>
        <v/>
      </c>
      <c r="F725" s="59" t="str">
        <f t="shared" si="59"/>
        <v/>
      </c>
      <c r="G725" s="59" t="str">
        <f>IF($A725="","",
   SUMIFS(Transactions!$P:$P,
          Transactions!$G:$G,$A725,
          Transactions!$C:$C,"IN",
          Transactions!$Q:$Q,"Paid"))</f>
        <v/>
      </c>
      <c r="H725" s="59" t="str">
        <f>IF($A725="","",
   SUMIFS(Transactions!$P:$P,
          Transactions!$G:$G,$A725,
          Transactions!$C:$C,"OUT"))</f>
        <v/>
      </c>
      <c r="I725" s="65" t="str">
        <f t="shared" si="57"/>
        <v/>
      </c>
      <c r="J725" s="59" t="str">
        <f t="shared" si="60"/>
        <v/>
      </c>
    </row>
    <row r="726" spans="4:10" ht="22.5" customHeight="1" x14ac:dyDescent="0.25">
      <c r="D726" s="59" t="str">
        <f t="shared" si="56"/>
        <v/>
      </c>
      <c r="E726" s="59" t="str">
        <f t="shared" si="58"/>
        <v/>
      </c>
      <c r="F726" s="59" t="str">
        <f t="shared" si="59"/>
        <v/>
      </c>
      <c r="G726" s="59" t="str">
        <f>IF($A726="","",
   SUMIFS(Transactions!$P:$P,
          Transactions!$G:$G,$A726,
          Transactions!$C:$C,"IN",
          Transactions!$Q:$Q,"Paid"))</f>
        <v/>
      </c>
      <c r="H726" s="59" t="str">
        <f>IF($A726="","",
   SUMIFS(Transactions!$P:$P,
          Transactions!$G:$G,$A726,
          Transactions!$C:$C,"OUT"))</f>
        <v/>
      </c>
      <c r="I726" s="65" t="str">
        <f t="shared" si="57"/>
        <v/>
      </c>
      <c r="J726" s="59" t="str">
        <f t="shared" si="60"/>
        <v/>
      </c>
    </row>
    <row r="727" spans="4:10" ht="22.5" customHeight="1" x14ac:dyDescent="0.25">
      <c r="D727" s="59" t="str">
        <f t="shared" si="56"/>
        <v/>
      </c>
      <c r="E727" s="59" t="str">
        <f t="shared" si="58"/>
        <v/>
      </c>
      <c r="F727" s="59" t="str">
        <f t="shared" si="59"/>
        <v/>
      </c>
      <c r="G727" s="59" t="str">
        <f>IF($A727="","",
   SUMIFS(Transactions!$P:$P,
          Transactions!$G:$G,$A727,
          Transactions!$C:$C,"IN",
          Transactions!$Q:$Q,"Paid"))</f>
        <v/>
      </c>
      <c r="H727" s="59" t="str">
        <f>IF($A727="","",
   SUMIFS(Transactions!$P:$P,
          Transactions!$G:$G,$A727,
          Transactions!$C:$C,"OUT"))</f>
        <v/>
      </c>
      <c r="I727" s="65" t="str">
        <f t="shared" si="57"/>
        <v/>
      </c>
      <c r="J727" s="59" t="str">
        <f t="shared" si="60"/>
        <v/>
      </c>
    </row>
    <row r="728" spans="4:10" ht="22.5" customHeight="1" x14ac:dyDescent="0.25">
      <c r="D728" s="59" t="str">
        <f t="shared" si="56"/>
        <v/>
      </c>
      <c r="E728" s="59" t="str">
        <f t="shared" si="58"/>
        <v/>
      </c>
      <c r="F728" s="59" t="str">
        <f t="shared" si="59"/>
        <v/>
      </c>
      <c r="G728" s="59" t="str">
        <f>IF($A728="","",
   SUMIFS(Transactions!$P:$P,
          Transactions!$G:$G,$A728,
          Transactions!$C:$C,"IN",
          Transactions!$Q:$Q,"Paid"))</f>
        <v/>
      </c>
      <c r="H728" s="59" t="str">
        <f>IF($A728="","",
   SUMIFS(Transactions!$P:$P,
          Transactions!$G:$G,$A728,
          Transactions!$C:$C,"OUT"))</f>
        <v/>
      </c>
      <c r="I728" s="65" t="str">
        <f t="shared" si="57"/>
        <v/>
      </c>
      <c r="J728" s="59" t="str">
        <f t="shared" si="60"/>
        <v/>
      </c>
    </row>
    <row r="729" spans="4:10" ht="22.5" customHeight="1" x14ac:dyDescent="0.25">
      <c r="D729" s="59" t="str">
        <f t="shared" si="56"/>
        <v/>
      </c>
      <c r="E729" s="59" t="str">
        <f t="shared" si="58"/>
        <v/>
      </c>
      <c r="F729" s="59" t="str">
        <f t="shared" si="59"/>
        <v/>
      </c>
      <c r="G729" s="59" t="str">
        <f>IF($A729="","",
   SUMIFS(Transactions!$P:$P,
          Transactions!$G:$G,$A729,
          Transactions!$C:$C,"IN",
          Transactions!$Q:$Q,"Paid"))</f>
        <v/>
      </c>
      <c r="H729" s="59" t="str">
        <f>IF($A729="","",
   SUMIFS(Transactions!$P:$P,
          Transactions!$G:$G,$A729,
          Transactions!$C:$C,"OUT"))</f>
        <v/>
      </c>
      <c r="I729" s="65" t="str">
        <f t="shared" si="57"/>
        <v/>
      </c>
      <c r="J729" s="59" t="str">
        <f t="shared" si="60"/>
        <v/>
      </c>
    </row>
    <row r="730" spans="4:10" ht="22.5" customHeight="1" x14ac:dyDescent="0.25">
      <c r="D730" s="59" t="str">
        <f t="shared" si="56"/>
        <v/>
      </c>
      <c r="E730" s="59" t="str">
        <f t="shared" si="58"/>
        <v/>
      </c>
      <c r="F730" s="59" t="str">
        <f t="shared" si="59"/>
        <v/>
      </c>
      <c r="G730" s="59" t="str">
        <f>IF($A730="","",
   SUMIFS(Transactions!$P:$P,
          Transactions!$G:$G,$A730,
          Transactions!$C:$C,"IN",
          Transactions!$Q:$Q,"Paid"))</f>
        <v/>
      </c>
      <c r="H730" s="59" t="str">
        <f>IF($A730="","",
   SUMIFS(Transactions!$P:$P,
          Transactions!$G:$G,$A730,
          Transactions!$C:$C,"OUT"))</f>
        <v/>
      </c>
      <c r="I730" s="65" t="str">
        <f t="shared" si="57"/>
        <v/>
      </c>
      <c r="J730" s="59" t="str">
        <f t="shared" si="60"/>
        <v/>
      </c>
    </row>
    <row r="731" spans="4:10" ht="22.5" customHeight="1" x14ac:dyDescent="0.25">
      <c r="D731" s="59" t="str">
        <f t="shared" si="56"/>
        <v/>
      </c>
      <c r="E731" s="59" t="str">
        <f t="shared" si="58"/>
        <v/>
      </c>
      <c r="F731" s="59" t="str">
        <f t="shared" si="59"/>
        <v/>
      </c>
      <c r="G731" s="59" t="str">
        <f>IF($A731="","",
   SUMIFS(Transactions!$P:$P,
          Transactions!$G:$G,$A731,
          Transactions!$C:$C,"IN",
          Transactions!$Q:$Q,"Paid"))</f>
        <v/>
      </c>
      <c r="H731" s="59" t="str">
        <f>IF($A731="","",
   SUMIFS(Transactions!$P:$P,
          Transactions!$G:$G,$A731,
          Transactions!$C:$C,"OUT"))</f>
        <v/>
      </c>
      <c r="I731" s="65" t="str">
        <f t="shared" si="57"/>
        <v/>
      </c>
      <c r="J731" s="59" t="str">
        <f t="shared" si="60"/>
        <v/>
      </c>
    </row>
    <row r="732" spans="4:10" ht="22.5" customHeight="1" x14ac:dyDescent="0.25">
      <c r="D732" s="59" t="str">
        <f t="shared" si="56"/>
        <v/>
      </c>
      <c r="E732" s="59" t="str">
        <f t="shared" si="58"/>
        <v/>
      </c>
      <c r="F732" s="59" t="str">
        <f t="shared" si="59"/>
        <v/>
      </c>
      <c r="G732" s="59" t="str">
        <f>IF($A732="","",
   SUMIFS(Transactions!$P:$P,
          Transactions!$G:$G,$A732,
          Transactions!$C:$C,"IN",
          Transactions!$Q:$Q,"Paid"))</f>
        <v/>
      </c>
      <c r="H732" s="59" t="str">
        <f>IF($A732="","",
   SUMIFS(Transactions!$P:$P,
          Transactions!$G:$G,$A732,
          Transactions!$C:$C,"OUT"))</f>
        <v/>
      </c>
      <c r="I732" s="65" t="str">
        <f t="shared" si="57"/>
        <v/>
      </c>
      <c r="J732" s="59" t="str">
        <f t="shared" si="60"/>
        <v/>
      </c>
    </row>
    <row r="733" spans="4:10" ht="22.5" customHeight="1" x14ac:dyDescent="0.25">
      <c r="D733" s="59" t="str">
        <f t="shared" si="56"/>
        <v/>
      </c>
      <c r="E733" s="59" t="str">
        <f t="shared" si="58"/>
        <v/>
      </c>
      <c r="F733" s="59" t="str">
        <f t="shared" si="59"/>
        <v/>
      </c>
      <c r="G733" s="59" t="str">
        <f>IF($A733="","",
   SUMIFS(Transactions!$P:$P,
          Transactions!$G:$G,$A733,
          Transactions!$C:$C,"IN",
          Transactions!$Q:$Q,"Paid"))</f>
        <v/>
      </c>
      <c r="H733" s="59" t="str">
        <f>IF($A733="","",
   SUMIFS(Transactions!$P:$P,
          Transactions!$G:$G,$A733,
          Transactions!$C:$C,"OUT"))</f>
        <v/>
      </c>
      <c r="I733" s="65" t="str">
        <f t="shared" si="57"/>
        <v/>
      </c>
      <c r="J733" s="59" t="str">
        <f t="shared" si="60"/>
        <v/>
      </c>
    </row>
    <row r="734" spans="4:10" ht="22.5" customHeight="1" x14ac:dyDescent="0.25">
      <c r="D734" s="59" t="str">
        <f t="shared" si="56"/>
        <v/>
      </c>
      <c r="E734" s="59" t="str">
        <f t="shared" si="58"/>
        <v/>
      </c>
      <c r="F734" s="59" t="str">
        <f t="shared" si="59"/>
        <v/>
      </c>
      <c r="G734" s="59" t="str">
        <f>IF($A734="","",
   SUMIFS(Transactions!$P:$P,
          Transactions!$G:$G,$A734,
          Transactions!$C:$C,"IN",
          Transactions!$Q:$Q,"Paid"))</f>
        <v/>
      </c>
      <c r="H734" s="59" t="str">
        <f>IF($A734="","",
   SUMIFS(Transactions!$P:$P,
          Transactions!$G:$G,$A734,
          Transactions!$C:$C,"OUT"))</f>
        <v/>
      </c>
      <c r="I734" s="65" t="str">
        <f t="shared" si="57"/>
        <v/>
      </c>
      <c r="J734" s="59" t="str">
        <f t="shared" si="60"/>
        <v/>
      </c>
    </row>
    <row r="735" spans="4:10" ht="22.5" customHeight="1" x14ac:dyDescent="0.25">
      <c r="D735" s="59" t="str">
        <f t="shared" si="56"/>
        <v/>
      </c>
      <c r="E735" s="59" t="str">
        <f t="shared" si="58"/>
        <v/>
      </c>
      <c r="F735" s="59" t="str">
        <f t="shared" si="59"/>
        <v/>
      </c>
      <c r="G735" s="59" t="str">
        <f>IF($A735="","",
   SUMIFS(Transactions!$P:$P,
          Transactions!$G:$G,$A735,
          Transactions!$C:$C,"IN",
          Transactions!$Q:$Q,"Paid"))</f>
        <v/>
      </c>
      <c r="H735" s="59" t="str">
        <f>IF($A735="","",
   SUMIFS(Transactions!$P:$P,
          Transactions!$G:$G,$A735,
          Transactions!$C:$C,"OUT"))</f>
        <v/>
      </c>
      <c r="I735" s="65" t="str">
        <f t="shared" si="57"/>
        <v/>
      </c>
      <c r="J735" s="59" t="str">
        <f t="shared" si="60"/>
        <v/>
      </c>
    </row>
    <row r="736" spans="4:10" ht="22.5" customHeight="1" x14ac:dyDescent="0.25">
      <c r="D736" s="59" t="str">
        <f t="shared" si="56"/>
        <v/>
      </c>
      <c r="E736" s="59" t="str">
        <f t="shared" si="58"/>
        <v/>
      </c>
      <c r="F736" s="59" t="str">
        <f t="shared" si="59"/>
        <v/>
      </c>
      <c r="G736" s="59" t="str">
        <f>IF($A736="","",
   SUMIFS(Transactions!$P:$P,
          Transactions!$G:$G,$A736,
          Transactions!$C:$C,"IN",
          Transactions!$Q:$Q,"Paid"))</f>
        <v/>
      </c>
      <c r="H736" s="59" t="str">
        <f>IF($A736="","",
   SUMIFS(Transactions!$P:$P,
          Transactions!$G:$G,$A736,
          Transactions!$C:$C,"OUT"))</f>
        <v/>
      </c>
      <c r="I736" s="65" t="str">
        <f t="shared" si="57"/>
        <v/>
      </c>
      <c r="J736" s="59" t="str">
        <f t="shared" si="60"/>
        <v/>
      </c>
    </row>
    <row r="737" spans="4:10" ht="22.5" customHeight="1" x14ac:dyDescent="0.25">
      <c r="D737" s="59" t="str">
        <f t="shared" si="56"/>
        <v/>
      </c>
      <c r="E737" s="59" t="str">
        <f t="shared" si="58"/>
        <v/>
      </c>
      <c r="F737" s="59" t="str">
        <f t="shared" si="59"/>
        <v/>
      </c>
      <c r="G737" s="59" t="str">
        <f>IF($A737="","",
   SUMIFS(Transactions!$P:$P,
          Transactions!$G:$G,$A737,
          Transactions!$C:$C,"IN",
          Transactions!$Q:$Q,"Paid"))</f>
        <v/>
      </c>
      <c r="H737" s="59" t="str">
        <f>IF($A737="","",
   SUMIFS(Transactions!$P:$P,
          Transactions!$G:$G,$A737,
          Transactions!$C:$C,"OUT"))</f>
        <v/>
      </c>
      <c r="I737" s="65" t="str">
        <f t="shared" si="57"/>
        <v/>
      </c>
      <c r="J737" s="59" t="str">
        <f t="shared" si="60"/>
        <v/>
      </c>
    </row>
    <row r="738" spans="4:10" ht="22.5" customHeight="1" x14ac:dyDescent="0.25">
      <c r="D738" s="59" t="str">
        <f t="shared" si="56"/>
        <v/>
      </c>
      <c r="E738" s="59" t="str">
        <f t="shared" si="58"/>
        <v/>
      </c>
      <c r="F738" s="59" t="str">
        <f t="shared" si="59"/>
        <v/>
      </c>
      <c r="G738" s="59" t="str">
        <f>IF($A738="","",
   SUMIFS(Transactions!$P:$P,
          Transactions!$G:$G,$A738,
          Transactions!$C:$C,"IN",
          Transactions!$Q:$Q,"Paid"))</f>
        <v/>
      </c>
      <c r="H738" s="59" t="str">
        <f>IF($A738="","",
   SUMIFS(Transactions!$P:$P,
          Transactions!$G:$G,$A738,
          Transactions!$C:$C,"OUT"))</f>
        <v/>
      </c>
      <c r="I738" s="65" t="str">
        <f t="shared" si="57"/>
        <v/>
      </c>
      <c r="J738" s="59" t="str">
        <f t="shared" si="60"/>
        <v/>
      </c>
    </row>
    <row r="739" spans="4:10" ht="22.5" customHeight="1" x14ac:dyDescent="0.25">
      <c r="D739" s="59" t="str">
        <f t="shared" si="56"/>
        <v/>
      </c>
      <c r="E739" s="59" t="str">
        <f t="shared" si="58"/>
        <v/>
      </c>
      <c r="F739" s="59" t="str">
        <f t="shared" si="59"/>
        <v/>
      </c>
      <c r="G739" s="59" t="str">
        <f>IF($A739="","",
   SUMIFS(Transactions!$P:$P,
          Transactions!$G:$G,$A739,
          Transactions!$C:$C,"IN",
          Transactions!$Q:$Q,"Paid"))</f>
        <v/>
      </c>
      <c r="H739" s="59" t="str">
        <f>IF($A739="","",
   SUMIFS(Transactions!$P:$P,
          Transactions!$G:$G,$A739,
          Transactions!$C:$C,"OUT"))</f>
        <v/>
      </c>
      <c r="I739" s="65" t="str">
        <f t="shared" si="57"/>
        <v/>
      </c>
      <c r="J739" s="59" t="str">
        <f t="shared" si="60"/>
        <v/>
      </c>
    </row>
    <row r="740" spans="4:10" ht="22.5" customHeight="1" x14ac:dyDescent="0.25">
      <c r="D740" s="59" t="str">
        <f t="shared" si="56"/>
        <v/>
      </c>
      <c r="E740" s="59" t="str">
        <f t="shared" si="58"/>
        <v/>
      </c>
      <c r="F740" s="59" t="str">
        <f t="shared" si="59"/>
        <v/>
      </c>
      <c r="G740" s="59" t="str">
        <f>IF($A740="","",
   SUMIFS(Transactions!$P:$P,
          Transactions!$G:$G,$A740,
          Transactions!$C:$C,"IN",
          Transactions!$Q:$Q,"Paid"))</f>
        <v/>
      </c>
      <c r="H740" s="59" t="str">
        <f>IF($A740="","",
   SUMIFS(Transactions!$P:$P,
          Transactions!$G:$G,$A740,
          Transactions!$C:$C,"OUT"))</f>
        <v/>
      </c>
      <c r="I740" s="65" t="str">
        <f t="shared" si="57"/>
        <v/>
      </c>
      <c r="J740" s="59" t="str">
        <f t="shared" si="60"/>
        <v/>
      </c>
    </row>
    <row r="741" spans="4:10" ht="22.5" customHeight="1" x14ac:dyDescent="0.25">
      <c r="D741" s="59" t="str">
        <f t="shared" si="56"/>
        <v/>
      </c>
      <c r="E741" s="59" t="str">
        <f t="shared" si="58"/>
        <v/>
      </c>
      <c r="F741" s="59" t="str">
        <f t="shared" si="59"/>
        <v/>
      </c>
      <c r="G741" s="59" t="str">
        <f>IF($A741="","",
   SUMIFS(Transactions!$P:$P,
          Transactions!$G:$G,$A741,
          Transactions!$C:$C,"IN",
          Transactions!$Q:$Q,"Paid"))</f>
        <v/>
      </c>
      <c r="H741" s="59" t="str">
        <f>IF($A741="","",
   SUMIFS(Transactions!$P:$P,
          Transactions!$G:$G,$A741,
          Transactions!$C:$C,"OUT"))</f>
        <v/>
      </c>
      <c r="I741" s="65" t="str">
        <f t="shared" si="57"/>
        <v/>
      </c>
      <c r="J741" s="59" t="str">
        <f t="shared" si="60"/>
        <v/>
      </c>
    </row>
    <row r="742" spans="4:10" ht="22.5" customHeight="1" x14ac:dyDescent="0.25">
      <c r="D742" s="59" t="str">
        <f t="shared" si="56"/>
        <v/>
      </c>
      <c r="E742" s="59" t="str">
        <f t="shared" si="58"/>
        <v/>
      </c>
      <c r="F742" s="59" t="str">
        <f t="shared" si="59"/>
        <v/>
      </c>
      <c r="G742" s="59" t="str">
        <f>IF($A742="","",
   SUMIFS(Transactions!$P:$P,
          Transactions!$G:$G,$A742,
          Transactions!$C:$C,"IN",
          Transactions!$Q:$Q,"Paid"))</f>
        <v/>
      </c>
      <c r="H742" s="59" t="str">
        <f>IF($A742="","",
   SUMIFS(Transactions!$P:$P,
          Transactions!$G:$G,$A742,
          Transactions!$C:$C,"OUT"))</f>
        <v/>
      </c>
      <c r="I742" s="65" t="str">
        <f t="shared" si="57"/>
        <v/>
      </c>
      <c r="J742" s="59" t="str">
        <f t="shared" si="60"/>
        <v/>
      </c>
    </row>
    <row r="743" spans="4:10" ht="22.5" customHeight="1" x14ac:dyDescent="0.25">
      <c r="D743" s="59" t="str">
        <f t="shared" si="56"/>
        <v/>
      </c>
      <c r="E743" s="59" t="str">
        <f t="shared" si="58"/>
        <v/>
      </c>
      <c r="F743" s="59" t="str">
        <f t="shared" si="59"/>
        <v/>
      </c>
      <c r="G743" s="59" t="str">
        <f>IF($A743="","",
   SUMIFS(Transactions!$P:$P,
          Transactions!$G:$G,$A743,
          Transactions!$C:$C,"IN",
          Transactions!$Q:$Q,"Paid"))</f>
        <v/>
      </c>
      <c r="H743" s="59" t="str">
        <f>IF($A743="","",
   SUMIFS(Transactions!$P:$P,
          Transactions!$G:$G,$A743,
          Transactions!$C:$C,"OUT"))</f>
        <v/>
      </c>
      <c r="I743" s="65" t="str">
        <f t="shared" si="57"/>
        <v/>
      </c>
      <c r="J743" s="59" t="str">
        <f t="shared" si="60"/>
        <v/>
      </c>
    </row>
    <row r="744" spans="4:10" ht="22.5" customHeight="1" x14ac:dyDescent="0.25">
      <c r="D744" s="59" t="str">
        <f t="shared" si="56"/>
        <v/>
      </c>
      <c r="E744" s="59" t="str">
        <f t="shared" si="58"/>
        <v/>
      </c>
      <c r="F744" s="59" t="str">
        <f t="shared" si="59"/>
        <v/>
      </c>
      <c r="G744" s="59" t="str">
        <f>IF($A744="","",
   SUMIFS(Transactions!$P:$P,
          Transactions!$G:$G,$A744,
          Transactions!$C:$C,"IN",
          Transactions!$Q:$Q,"Paid"))</f>
        <v/>
      </c>
      <c r="H744" s="59" t="str">
        <f>IF($A744="","",
   SUMIFS(Transactions!$P:$P,
          Transactions!$G:$G,$A744,
          Transactions!$C:$C,"OUT"))</f>
        <v/>
      </c>
      <c r="I744" s="65" t="str">
        <f t="shared" si="57"/>
        <v/>
      </c>
      <c r="J744" s="59" t="str">
        <f t="shared" si="60"/>
        <v/>
      </c>
    </row>
    <row r="745" spans="4:10" ht="22.5" customHeight="1" x14ac:dyDescent="0.25">
      <c r="D745" s="59" t="str">
        <f t="shared" si="56"/>
        <v/>
      </c>
      <c r="E745" s="59" t="str">
        <f t="shared" si="58"/>
        <v/>
      </c>
      <c r="F745" s="59" t="str">
        <f t="shared" si="59"/>
        <v/>
      </c>
      <c r="G745" s="59" t="str">
        <f>IF($A745="","",
   SUMIFS(Transactions!$P:$P,
          Transactions!$G:$G,$A745,
          Transactions!$C:$C,"IN",
          Transactions!$Q:$Q,"Paid"))</f>
        <v/>
      </c>
      <c r="H745" s="59" t="str">
        <f>IF($A745="","",
   SUMIFS(Transactions!$P:$P,
          Transactions!$G:$G,$A745,
          Transactions!$C:$C,"OUT"))</f>
        <v/>
      </c>
      <c r="I745" s="65" t="str">
        <f t="shared" si="57"/>
        <v/>
      </c>
      <c r="J745" s="59" t="str">
        <f t="shared" si="60"/>
        <v/>
      </c>
    </row>
    <row r="746" spans="4:10" ht="22.5" customHeight="1" x14ac:dyDescent="0.25">
      <c r="D746" s="59" t="str">
        <f t="shared" si="56"/>
        <v/>
      </c>
      <c r="E746" s="59" t="str">
        <f t="shared" si="58"/>
        <v/>
      </c>
      <c r="F746" s="59" t="str">
        <f t="shared" si="59"/>
        <v/>
      </c>
      <c r="G746" s="59" t="str">
        <f>IF($A746="","",
   SUMIFS(Transactions!$P:$P,
          Transactions!$G:$G,$A746,
          Transactions!$C:$C,"IN",
          Transactions!$Q:$Q,"Paid"))</f>
        <v/>
      </c>
      <c r="H746" s="59" t="str">
        <f>IF($A746="","",
   SUMIFS(Transactions!$P:$P,
          Transactions!$G:$G,$A746,
          Transactions!$C:$C,"OUT"))</f>
        <v/>
      </c>
      <c r="I746" s="65" t="str">
        <f t="shared" si="57"/>
        <v/>
      </c>
      <c r="J746" s="59" t="str">
        <f t="shared" si="60"/>
        <v/>
      </c>
    </row>
    <row r="747" spans="4:10" ht="22.5" customHeight="1" x14ac:dyDescent="0.25">
      <c r="D747" s="59" t="str">
        <f t="shared" si="56"/>
        <v/>
      </c>
      <c r="E747" s="59" t="str">
        <f t="shared" si="58"/>
        <v/>
      </c>
      <c r="F747" s="59" t="str">
        <f t="shared" si="59"/>
        <v/>
      </c>
      <c r="G747" s="59" t="str">
        <f>IF($A747="","",
   SUMIFS(Transactions!$P:$P,
          Transactions!$G:$G,$A747,
          Transactions!$C:$C,"IN",
          Transactions!$Q:$Q,"Paid"))</f>
        <v/>
      </c>
      <c r="H747" s="59" t="str">
        <f>IF($A747="","",
   SUMIFS(Transactions!$P:$P,
          Transactions!$G:$G,$A747,
          Transactions!$C:$C,"OUT"))</f>
        <v/>
      </c>
      <c r="I747" s="65" t="str">
        <f t="shared" si="57"/>
        <v/>
      </c>
      <c r="J747" s="59" t="str">
        <f t="shared" si="60"/>
        <v/>
      </c>
    </row>
    <row r="748" spans="4:10" ht="22.5" customHeight="1" x14ac:dyDescent="0.25">
      <c r="D748" s="59" t="str">
        <f t="shared" si="56"/>
        <v/>
      </c>
      <c r="E748" s="59" t="str">
        <f t="shared" si="58"/>
        <v/>
      </c>
      <c r="F748" s="59" t="str">
        <f t="shared" si="59"/>
        <v/>
      </c>
      <c r="G748" s="59" t="str">
        <f>IF($A748="","",
   SUMIFS(Transactions!$P:$P,
          Transactions!$G:$G,$A748,
          Transactions!$C:$C,"IN",
          Transactions!$Q:$Q,"Paid"))</f>
        <v/>
      </c>
      <c r="H748" s="59" t="str">
        <f>IF($A748="","",
   SUMIFS(Transactions!$P:$P,
          Transactions!$G:$G,$A748,
          Transactions!$C:$C,"OUT"))</f>
        <v/>
      </c>
      <c r="I748" s="65" t="str">
        <f t="shared" si="57"/>
        <v/>
      </c>
      <c r="J748" s="59" t="str">
        <f t="shared" si="60"/>
        <v/>
      </c>
    </row>
    <row r="749" spans="4:10" ht="22.5" customHeight="1" x14ac:dyDescent="0.25">
      <c r="D749" s="59" t="str">
        <f t="shared" si="56"/>
        <v/>
      </c>
      <c r="E749" s="59" t="str">
        <f t="shared" si="58"/>
        <v/>
      </c>
      <c r="F749" s="59" t="str">
        <f t="shared" si="59"/>
        <v/>
      </c>
      <c r="G749" s="59" t="str">
        <f>IF($A749="","",
   SUMIFS(Transactions!$P:$P,
          Transactions!$G:$G,$A749,
          Transactions!$C:$C,"IN",
          Transactions!$Q:$Q,"Paid"))</f>
        <v/>
      </c>
      <c r="H749" s="59" t="str">
        <f>IF($A749="","",
   SUMIFS(Transactions!$P:$P,
          Transactions!$G:$G,$A749,
          Transactions!$C:$C,"OUT"))</f>
        <v/>
      </c>
      <c r="I749" s="65" t="str">
        <f t="shared" si="57"/>
        <v/>
      </c>
      <c r="J749" s="59" t="str">
        <f t="shared" si="60"/>
        <v/>
      </c>
    </row>
    <row r="750" spans="4:10" ht="22.5" customHeight="1" x14ac:dyDescent="0.25">
      <c r="D750" s="59" t="str">
        <f t="shared" si="56"/>
        <v/>
      </c>
      <c r="E750" s="59" t="str">
        <f t="shared" si="58"/>
        <v/>
      </c>
      <c r="F750" s="59" t="str">
        <f t="shared" si="59"/>
        <v/>
      </c>
      <c r="G750" s="59" t="str">
        <f>IF($A750="","",
   SUMIFS(Transactions!$P:$P,
          Transactions!$G:$G,$A750,
          Transactions!$C:$C,"IN",
          Transactions!$Q:$Q,"Paid"))</f>
        <v/>
      </c>
      <c r="H750" s="59" t="str">
        <f>IF($A750="","",
   SUMIFS(Transactions!$P:$P,
          Transactions!$G:$G,$A750,
          Transactions!$C:$C,"OUT"))</f>
        <v/>
      </c>
      <c r="I750" s="65" t="str">
        <f t="shared" si="57"/>
        <v/>
      </c>
      <c r="J750" s="59" t="str">
        <f t="shared" si="60"/>
        <v/>
      </c>
    </row>
    <row r="751" spans="4:10" ht="22.5" customHeight="1" x14ac:dyDescent="0.25">
      <c r="D751" s="59" t="str">
        <f t="shared" si="56"/>
        <v/>
      </c>
      <c r="E751" s="59" t="str">
        <f t="shared" si="58"/>
        <v/>
      </c>
      <c r="F751" s="59" t="str">
        <f t="shared" si="59"/>
        <v/>
      </c>
      <c r="G751" s="59" t="str">
        <f>IF($A751="","",
   SUMIFS(Transactions!$P:$P,
          Transactions!$G:$G,$A751,
          Transactions!$C:$C,"IN",
          Transactions!$Q:$Q,"Paid"))</f>
        <v/>
      </c>
      <c r="H751" s="59" t="str">
        <f>IF($A751="","",
   SUMIFS(Transactions!$P:$P,
          Transactions!$G:$G,$A751,
          Transactions!$C:$C,"OUT"))</f>
        <v/>
      </c>
      <c r="I751" s="65" t="str">
        <f t="shared" si="57"/>
        <v/>
      </c>
      <c r="J751" s="59" t="str">
        <f t="shared" si="60"/>
        <v/>
      </c>
    </row>
    <row r="752" spans="4:10" ht="22.5" customHeight="1" x14ac:dyDescent="0.25">
      <c r="D752" s="59" t="str">
        <f t="shared" si="56"/>
        <v/>
      </c>
      <c r="E752" s="59" t="str">
        <f t="shared" si="58"/>
        <v/>
      </c>
      <c r="F752" s="59" t="str">
        <f t="shared" si="59"/>
        <v/>
      </c>
      <c r="G752" s="59" t="str">
        <f>IF($A752="","",
   SUMIFS(Transactions!$P:$P,
          Transactions!$G:$G,$A752,
          Transactions!$C:$C,"IN",
          Transactions!$Q:$Q,"Paid"))</f>
        <v/>
      </c>
      <c r="H752" s="59" t="str">
        <f>IF($A752="","",
   SUMIFS(Transactions!$P:$P,
          Transactions!$G:$G,$A752,
          Transactions!$C:$C,"OUT"))</f>
        <v/>
      </c>
      <c r="I752" s="65" t="str">
        <f t="shared" si="57"/>
        <v/>
      </c>
      <c r="J752" s="59" t="str">
        <f t="shared" si="60"/>
        <v/>
      </c>
    </row>
    <row r="753" spans="4:10" ht="22.5" customHeight="1" x14ac:dyDescent="0.25">
      <c r="D753" s="59" t="str">
        <f t="shared" si="56"/>
        <v/>
      </c>
      <c r="E753" s="59" t="str">
        <f t="shared" si="58"/>
        <v/>
      </c>
      <c r="F753" s="59" t="str">
        <f t="shared" si="59"/>
        <v/>
      </c>
      <c r="G753" s="59" t="str">
        <f>IF($A753="","",
   SUMIFS(Transactions!$P:$P,
          Transactions!$G:$G,$A753,
          Transactions!$C:$C,"IN",
          Transactions!$Q:$Q,"Paid"))</f>
        <v/>
      </c>
      <c r="H753" s="59" t="str">
        <f>IF($A753="","",
   SUMIFS(Transactions!$P:$P,
          Transactions!$G:$G,$A753,
          Transactions!$C:$C,"OUT"))</f>
        <v/>
      </c>
      <c r="I753" s="65" t="str">
        <f t="shared" si="57"/>
        <v/>
      </c>
      <c r="J753" s="59" t="str">
        <f t="shared" si="60"/>
        <v/>
      </c>
    </row>
    <row r="754" spans="4:10" ht="22.5" customHeight="1" x14ac:dyDescent="0.25">
      <c r="D754" s="59" t="str">
        <f t="shared" si="56"/>
        <v/>
      </c>
      <c r="E754" s="59" t="str">
        <f t="shared" si="58"/>
        <v/>
      </c>
      <c r="F754" s="59" t="str">
        <f t="shared" si="59"/>
        <v/>
      </c>
      <c r="G754" s="59" t="str">
        <f>IF($A754="","",
   SUMIFS(Transactions!$P:$P,
          Transactions!$G:$G,$A754,
          Transactions!$C:$C,"IN",
          Transactions!$Q:$Q,"Paid"))</f>
        <v/>
      </c>
      <c r="H754" s="59" t="str">
        <f>IF($A754="","",
   SUMIFS(Transactions!$P:$P,
          Transactions!$G:$G,$A754,
          Transactions!$C:$C,"OUT"))</f>
        <v/>
      </c>
      <c r="I754" s="65" t="str">
        <f t="shared" si="57"/>
        <v/>
      </c>
      <c r="J754" s="59" t="str">
        <f t="shared" si="60"/>
        <v/>
      </c>
    </row>
    <row r="755" spans="4:10" ht="22.5" customHeight="1" x14ac:dyDescent="0.25">
      <c r="D755" s="59" t="str">
        <f t="shared" si="56"/>
        <v/>
      </c>
      <c r="E755" s="59" t="str">
        <f t="shared" si="58"/>
        <v/>
      </c>
      <c r="F755" s="59" t="str">
        <f t="shared" si="59"/>
        <v/>
      </c>
      <c r="G755" s="59" t="str">
        <f>IF($A755="","",
   SUMIFS(Transactions!$P:$P,
          Transactions!$G:$G,$A755,
          Transactions!$C:$C,"IN",
          Transactions!$Q:$Q,"Paid"))</f>
        <v/>
      </c>
      <c r="H755" s="59" t="str">
        <f>IF($A755="","",
   SUMIFS(Transactions!$P:$P,
          Transactions!$G:$G,$A755,
          Transactions!$C:$C,"OUT"))</f>
        <v/>
      </c>
      <c r="I755" s="65" t="str">
        <f t="shared" si="57"/>
        <v/>
      </c>
      <c r="J755" s="59" t="str">
        <f t="shared" si="60"/>
        <v/>
      </c>
    </row>
    <row r="756" spans="4:10" ht="22.5" customHeight="1" x14ac:dyDescent="0.25">
      <c r="D756" s="59" t="str">
        <f t="shared" si="56"/>
        <v/>
      </c>
      <c r="E756" s="59" t="str">
        <f t="shared" si="58"/>
        <v/>
      </c>
      <c r="F756" s="59" t="str">
        <f t="shared" si="59"/>
        <v/>
      </c>
      <c r="G756" s="59" t="str">
        <f>IF($A756="","",
   SUMIFS(Transactions!$P:$P,
          Transactions!$G:$G,$A756,
          Transactions!$C:$C,"IN",
          Transactions!$Q:$Q,"Paid"))</f>
        <v/>
      </c>
      <c r="H756" s="59" t="str">
        <f>IF($A756="","",
   SUMIFS(Transactions!$P:$P,
          Transactions!$G:$G,$A756,
          Transactions!$C:$C,"OUT"))</f>
        <v/>
      </c>
      <c r="I756" s="65" t="str">
        <f t="shared" si="57"/>
        <v/>
      </c>
      <c r="J756" s="59" t="str">
        <f t="shared" si="60"/>
        <v/>
      </c>
    </row>
    <row r="757" spans="4:10" ht="22.5" customHeight="1" x14ac:dyDescent="0.25">
      <c r="D757" s="59" t="str">
        <f t="shared" si="56"/>
        <v/>
      </c>
      <c r="E757" s="59" t="str">
        <f t="shared" si="58"/>
        <v/>
      </c>
      <c r="F757" s="59" t="str">
        <f t="shared" si="59"/>
        <v/>
      </c>
      <c r="G757" s="59" t="str">
        <f>IF($A757="","",
   SUMIFS(Transactions!$P:$P,
          Transactions!$G:$G,$A757,
          Transactions!$C:$C,"IN",
          Transactions!$Q:$Q,"Paid"))</f>
        <v/>
      </c>
      <c r="H757" s="59" t="str">
        <f>IF($A757="","",
   SUMIFS(Transactions!$P:$P,
          Transactions!$G:$G,$A757,
          Transactions!$C:$C,"OUT"))</f>
        <v/>
      </c>
      <c r="I757" s="65" t="str">
        <f t="shared" si="57"/>
        <v/>
      </c>
      <c r="J757" s="59" t="str">
        <f t="shared" si="60"/>
        <v/>
      </c>
    </row>
    <row r="758" spans="4:10" ht="22.5" customHeight="1" x14ac:dyDescent="0.25">
      <c r="D758" s="59" t="str">
        <f t="shared" si="56"/>
        <v/>
      </c>
      <c r="E758" s="59" t="str">
        <f t="shared" si="58"/>
        <v/>
      </c>
      <c r="F758" s="59" t="str">
        <f t="shared" si="59"/>
        <v/>
      </c>
      <c r="G758" s="59" t="str">
        <f>IF($A758="","",
   SUMIFS(Transactions!$P:$P,
          Transactions!$G:$G,$A758,
          Transactions!$C:$C,"IN",
          Transactions!$Q:$Q,"Paid"))</f>
        <v/>
      </c>
      <c r="H758" s="59" t="str">
        <f>IF($A758="","",
   SUMIFS(Transactions!$P:$P,
          Transactions!$G:$G,$A758,
          Transactions!$C:$C,"OUT"))</f>
        <v/>
      </c>
      <c r="I758" s="65" t="str">
        <f t="shared" si="57"/>
        <v/>
      </c>
      <c r="J758" s="59" t="str">
        <f t="shared" si="60"/>
        <v/>
      </c>
    </row>
    <row r="759" spans="4:10" ht="22.5" customHeight="1" x14ac:dyDescent="0.25">
      <c r="D759" s="59" t="str">
        <f t="shared" si="56"/>
        <v/>
      </c>
      <c r="E759" s="59" t="str">
        <f t="shared" si="58"/>
        <v/>
      </c>
      <c r="F759" s="59" t="str">
        <f t="shared" si="59"/>
        <v/>
      </c>
      <c r="G759" s="59" t="str">
        <f>IF($A759="","",
   SUMIFS(Transactions!$P:$P,
          Transactions!$G:$G,$A759,
          Transactions!$C:$C,"IN",
          Transactions!$Q:$Q,"Paid"))</f>
        <v/>
      </c>
      <c r="H759" s="59" t="str">
        <f>IF($A759="","",
   SUMIFS(Transactions!$P:$P,
          Transactions!$G:$G,$A759,
          Transactions!$C:$C,"OUT"))</f>
        <v/>
      </c>
      <c r="I759" s="65" t="str">
        <f t="shared" si="57"/>
        <v/>
      </c>
      <c r="J759" s="59" t="str">
        <f t="shared" si="60"/>
        <v/>
      </c>
    </row>
    <row r="760" spans="4:10" ht="22.5" customHeight="1" x14ac:dyDescent="0.25">
      <c r="D760" s="59" t="str">
        <f t="shared" si="56"/>
        <v/>
      </c>
      <c r="E760" s="59" t="str">
        <f t="shared" si="58"/>
        <v/>
      </c>
      <c r="F760" s="59" t="str">
        <f t="shared" si="59"/>
        <v/>
      </c>
      <c r="G760" s="59" t="str">
        <f>IF($A760="","",
   SUMIFS(Transactions!$P:$P,
          Transactions!$G:$G,$A760,
          Transactions!$C:$C,"IN",
          Transactions!$Q:$Q,"Paid"))</f>
        <v/>
      </c>
      <c r="H760" s="59" t="str">
        <f>IF($A760="","",
   SUMIFS(Transactions!$P:$P,
          Transactions!$G:$G,$A760,
          Transactions!$C:$C,"OUT"))</f>
        <v/>
      </c>
      <c r="I760" s="65" t="str">
        <f t="shared" si="57"/>
        <v/>
      </c>
      <c r="J760" s="59" t="str">
        <f t="shared" si="60"/>
        <v/>
      </c>
    </row>
    <row r="761" spans="4:10" ht="22.5" customHeight="1" x14ac:dyDescent="0.25">
      <c r="D761" s="59" t="str">
        <f t="shared" si="56"/>
        <v/>
      </c>
      <c r="E761" s="59" t="str">
        <f t="shared" si="58"/>
        <v/>
      </c>
      <c r="F761" s="59" t="str">
        <f t="shared" si="59"/>
        <v/>
      </c>
      <c r="G761" s="59" t="str">
        <f>IF($A761="","",
   SUMIFS(Transactions!$P:$P,
          Transactions!$G:$G,$A761,
          Transactions!$C:$C,"IN",
          Transactions!$Q:$Q,"Paid"))</f>
        <v/>
      </c>
      <c r="H761" s="59" t="str">
        <f>IF($A761="","",
   SUMIFS(Transactions!$P:$P,
          Transactions!$G:$G,$A761,
          Transactions!$C:$C,"OUT"))</f>
        <v/>
      </c>
      <c r="I761" s="65" t="str">
        <f t="shared" si="57"/>
        <v/>
      </c>
      <c r="J761" s="59" t="str">
        <f t="shared" si="60"/>
        <v/>
      </c>
    </row>
    <row r="762" spans="4:10" ht="22.5" customHeight="1" x14ac:dyDescent="0.25">
      <c r="D762" s="59" t="str">
        <f t="shared" si="56"/>
        <v/>
      </c>
      <c r="E762" s="59" t="str">
        <f t="shared" si="58"/>
        <v/>
      </c>
      <c r="F762" s="59" t="str">
        <f t="shared" si="59"/>
        <v/>
      </c>
      <c r="G762" s="59" t="str">
        <f>IF($A762="","",
   SUMIFS(Transactions!$P:$P,
          Transactions!$G:$G,$A762,
          Transactions!$C:$C,"IN",
          Transactions!$Q:$Q,"Paid"))</f>
        <v/>
      </c>
      <c r="H762" s="59" t="str">
        <f>IF($A762="","",
   SUMIFS(Transactions!$P:$P,
          Transactions!$G:$G,$A762,
          Transactions!$C:$C,"OUT"))</f>
        <v/>
      </c>
      <c r="I762" s="65" t="str">
        <f t="shared" si="57"/>
        <v/>
      </c>
      <c r="J762" s="59" t="str">
        <f t="shared" si="60"/>
        <v/>
      </c>
    </row>
    <row r="763" spans="4:10" ht="22.5" customHeight="1" x14ac:dyDescent="0.25">
      <c r="D763" s="59" t="str">
        <f t="shared" si="56"/>
        <v/>
      </c>
      <c r="E763" s="59" t="str">
        <f t="shared" si="58"/>
        <v/>
      </c>
      <c r="F763" s="59" t="str">
        <f t="shared" si="59"/>
        <v/>
      </c>
      <c r="G763" s="59" t="str">
        <f>IF($A763="","",
   SUMIFS(Transactions!$P:$P,
          Transactions!$G:$G,$A763,
          Transactions!$C:$C,"IN",
          Transactions!$Q:$Q,"Paid"))</f>
        <v/>
      </c>
      <c r="H763" s="59" t="str">
        <f>IF($A763="","",
   SUMIFS(Transactions!$P:$P,
          Transactions!$G:$G,$A763,
          Transactions!$C:$C,"OUT"))</f>
        <v/>
      </c>
      <c r="I763" s="65" t="str">
        <f t="shared" si="57"/>
        <v/>
      </c>
      <c r="J763" s="59" t="str">
        <f t="shared" si="60"/>
        <v/>
      </c>
    </row>
    <row r="764" spans="4:10" ht="22.5" customHeight="1" x14ac:dyDescent="0.25">
      <c r="D764" s="59" t="str">
        <f t="shared" si="56"/>
        <v/>
      </c>
      <c r="E764" s="59" t="str">
        <f t="shared" si="58"/>
        <v/>
      </c>
      <c r="F764" s="59" t="str">
        <f t="shared" si="59"/>
        <v/>
      </c>
      <c r="G764" s="59" t="str">
        <f>IF($A764="","",
   SUMIFS(Transactions!$P:$P,
          Transactions!$G:$G,$A764,
          Transactions!$C:$C,"IN",
          Transactions!$Q:$Q,"Paid"))</f>
        <v/>
      </c>
      <c r="H764" s="59" t="str">
        <f>IF($A764="","",
   SUMIFS(Transactions!$P:$P,
          Transactions!$G:$G,$A764,
          Transactions!$C:$C,"OUT"))</f>
        <v/>
      </c>
      <c r="I764" s="65" t="str">
        <f t="shared" si="57"/>
        <v/>
      </c>
      <c r="J764" s="59" t="str">
        <f t="shared" si="60"/>
        <v/>
      </c>
    </row>
    <row r="765" spans="4:10" ht="22.5" customHeight="1" x14ac:dyDescent="0.25">
      <c r="D765" s="59" t="str">
        <f t="shared" si="56"/>
        <v/>
      </c>
      <c r="E765" s="59" t="str">
        <f t="shared" si="58"/>
        <v/>
      </c>
      <c r="F765" s="59" t="str">
        <f t="shared" si="59"/>
        <v/>
      </c>
      <c r="G765" s="59" t="str">
        <f>IF($A765="","",
   SUMIFS(Transactions!$P:$P,
          Transactions!$G:$G,$A765,
          Transactions!$C:$C,"IN",
          Transactions!$Q:$Q,"Paid"))</f>
        <v/>
      </c>
      <c r="H765" s="59" t="str">
        <f>IF($A765="","",
   SUMIFS(Transactions!$P:$P,
          Transactions!$G:$G,$A765,
          Transactions!$C:$C,"OUT"))</f>
        <v/>
      </c>
      <c r="I765" s="65" t="str">
        <f t="shared" si="57"/>
        <v/>
      </c>
      <c r="J765" s="59" t="str">
        <f t="shared" si="60"/>
        <v/>
      </c>
    </row>
    <row r="766" spans="4:10" ht="22.5" customHeight="1" x14ac:dyDescent="0.25">
      <c r="D766" s="59" t="str">
        <f t="shared" si="56"/>
        <v/>
      </c>
      <c r="E766" s="59" t="str">
        <f t="shared" si="58"/>
        <v/>
      </c>
      <c r="F766" s="59" t="str">
        <f t="shared" si="59"/>
        <v/>
      </c>
      <c r="G766" s="59" t="str">
        <f>IF($A766="","",
   SUMIFS(Transactions!$P:$P,
          Transactions!$G:$G,$A766,
          Transactions!$C:$C,"IN",
          Transactions!$Q:$Q,"Paid"))</f>
        <v/>
      </c>
      <c r="H766" s="59" t="str">
        <f>IF($A766="","",
   SUMIFS(Transactions!$P:$P,
          Transactions!$G:$G,$A766,
          Transactions!$C:$C,"OUT"))</f>
        <v/>
      </c>
      <c r="I766" s="65" t="str">
        <f t="shared" si="57"/>
        <v/>
      </c>
      <c r="J766" s="59" t="str">
        <f t="shared" si="60"/>
        <v/>
      </c>
    </row>
    <row r="767" spans="4:10" ht="22.5" customHeight="1" x14ac:dyDescent="0.25">
      <c r="D767" s="59" t="str">
        <f t="shared" si="56"/>
        <v/>
      </c>
      <c r="E767" s="59" t="str">
        <f t="shared" si="58"/>
        <v/>
      </c>
      <c r="F767" s="59" t="str">
        <f t="shared" si="59"/>
        <v/>
      </c>
      <c r="G767" s="59" t="str">
        <f>IF($A767="","",
   SUMIFS(Transactions!$P:$P,
          Transactions!$G:$G,$A767,
          Transactions!$C:$C,"IN",
          Transactions!$Q:$Q,"Paid"))</f>
        <v/>
      </c>
      <c r="H767" s="59" t="str">
        <f>IF($A767="","",
   SUMIFS(Transactions!$P:$P,
          Transactions!$G:$G,$A767,
          Transactions!$C:$C,"OUT"))</f>
        <v/>
      </c>
      <c r="I767" s="65" t="str">
        <f t="shared" si="57"/>
        <v/>
      </c>
      <c r="J767" s="59" t="str">
        <f t="shared" si="60"/>
        <v/>
      </c>
    </row>
    <row r="768" spans="4:10" ht="22.5" customHeight="1" x14ac:dyDescent="0.25">
      <c r="D768" s="59" t="str">
        <f t="shared" si="56"/>
        <v/>
      </c>
      <c r="E768" s="59" t="str">
        <f t="shared" si="58"/>
        <v/>
      </c>
      <c r="F768" s="59" t="str">
        <f t="shared" si="59"/>
        <v/>
      </c>
      <c r="G768" s="59" t="str">
        <f>IF($A768="","",
   SUMIFS(Transactions!$P:$P,
          Transactions!$G:$G,$A768,
          Transactions!$C:$C,"IN",
          Transactions!$Q:$Q,"Paid"))</f>
        <v/>
      </c>
      <c r="H768" s="59" t="str">
        <f>IF($A768="","",
   SUMIFS(Transactions!$P:$P,
          Transactions!$G:$G,$A768,
          Transactions!$C:$C,"OUT"))</f>
        <v/>
      </c>
      <c r="I768" s="65" t="str">
        <f t="shared" si="57"/>
        <v/>
      </c>
      <c r="J768" s="59" t="str">
        <f t="shared" si="60"/>
        <v/>
      </c>
    </row>
    <row r="769" spans="4:10" ht="22.5" customHeight="1" x14ac:dyDescent="0.25">
      <c r="D769" s="59" t="str">
        <f t="shared" si="56"/>
        <v/>
      </c>
      <c r="E769" s="59" t="str">
        <f t="shared" si="58"/>
        <v/>
      </c>
      <c r="F769" s="59" t="str">
        <f t="shared" si="59"/>
        <v/>
      </c>
      <c r="G769" s="59" t="str">
        <f>IF($A769="","",
   SUMIFS(Transactions!$P:$P,
          Transactions!$G:$G,$A769,
          Transactions!$C:$C,"IN",
          Transactions!$Q:$Q,"Paid"))</f>
        <v/>
      </c>
      <c r="H769" s="59" t="str">
        <f>IF($A769="","",
   SUMIFS(Transactions!$P:$P,
          Transactions!$G:$G,$A769,
          Transactions!$C:$C,"OUT"))</f>
        <v/>
      </c>
      <c r="I769" s="65" t="str">
        <f t="shared" si="57"/>
        <v/>
      </c>
      <c r="J769" s="59" t="str">
        <f t="shared" si="60"/>
        <v/>
      </c>
    </row>
    <row r="770" spans="4:10" ht="22.5" customHeight="1" x14ac:dyDescent="0.25">
      <c r="D770" s="59" t="str">
        <f t="shared" si="56"/>
        <v/>
      </c>
      <c r="E770" s="59" t="str">
        <f t="shared" si="58"/>
        <v/>
      </c>
      <c r="F770" s="59" t="str">
        <f t="shared" si="59"/>
        <v/>
      </c>
      <c r="G770" s="59" t="str">
        <f>IF($A770="","",
   SUMIFS(Transactions!$P:$P,
          Transactions!$G:$G,$A770,
          Transactions!$C:$C,"IN",
          Transactions!$Q:$Q,"Paid"))</f>
        <v/>
      </c>
      <c r="H770" s="59" t="str">
        <f>IF($A770="","",
   SUMIFS(Transactions!$P:$P,
          Transactions!$G:$G,$A770,
          Transactions!$C:$C,"OUT"))</f>
        <v/>
      </c>
      <c r="I770" s="65" t="str">
        <f t="shared" si="57"/>
        <v/>
      </c>
      <c r="J770" s="59" t="str">
        <f t="shared" si="60"/>
        <v/>
      </c>
    </row>
    <row r="771" spans="4:10" ht="22.5" customHeight="1" x14ac:dyDescent="0.25">
      <c r="D771" s="59" t="str">
        <f t="shared" ref="D771:D834" si="61">IF(C771="","",ROUND(C771*0.15,2))</f>
        <v/>
      </c>
      <c r="E771" s="59" t="str">
        <f t="shared" si="58"/>
        <v/>
      </c>
      <c r="F771" s="59" t="str">
        <f t="shared" si="59"/>
        <v/>
      </c>
      <c r="G771" s="59" t="str">
        <f>IF($A771="","",
   SUMIFS(Transactions!$P:$P,
          Transactions!$G:$G,$A771,
          Transactions!$C:$C,"IN",
          Transactions!$Q:$Q,"Paid"))</f>
        <v/>
      </c>
      <c r="H771" s="59" t="str">
        <f>IF($A771="","",
   SUMIFS(Transactions!$P:$P,
          Transactions!$G:$G,$A771,
          Transactions!$C:$C,"OUT"))</f>
        <v/>
      </c>
      <c r="I771" s="65" t="str">
        <f t="shared" ref="I771:I834" si="62">IF(C771="","",C771-H771)</f>
        <v/>
      </c>
      <c r="J771" s="59" t="str">
        <f t="shared" si="60"/>
        <v/>
      </c>
    </row>
    <row r="772" spans="4:10" ht="22.5" customHeight="1" x14ac:dyDescent="0.25">
      <c r="D772" s="59" t="str">
        <f t="shared" si="61"/>
        <v/>
      </c>
      <c r="E772" s="59" t="str">
        <f t="shared" ref="E772:E835" si="63">IF(C772="","",C772+D772)</f>
        <v/>
      </c>
      <c r="F772" s="59" t="str">
        <f t="shared" ref="F772:F835" si="64">IF(E772="","",E772*0.5)</f>
        <v/>
      </c>
      <c r="G772" s="59" t="str">
        <f>IF($A772="","",
   SUMIFS(Transactions!$P:$P,
          Transactions!$G:$G,$A772,
          Transactions!$C:$C,"IN",
          Transactions!$Q:$Q,"Paid"))</f>
        <v/>
      </c>
      <c r="H772" s="59" t="str">
        <f>IF($A772="","",
   SUMIFS(Transactions!$P:$P,
          Transactions!$G:$G,$A772,
          Transactions!$C:$C,"OUT"))</f>
        <v/>
      </c>
      <c r="I772" s="65" t="str">
        <f t="shared" si="62"/>
        <v/>
      </c>
      <c r="J772" s="59" t="str">
        <f t="shared" ref="J772:J835" si="65">IF(E772="","",E772-G772)</f>
        <v/>
      </c>
    </row>
    <row r="773" spans="4:10" ht="22.5" customHeight="1" x14ac:dyDescent="0.25">
      <c r="D773" s="59" t="str">
        <f t="shared" si="61"/>
        <v/>
      </c>
      <c r="E773" s="59" t="str">
        <f t="shared" si="63"/>
        <v/>
      </c>
      <c r="F773" s="59" t="str">
        <f t="shared" si="64"/>
        <v/>
      </c>
      <c r="G773" s="59" t="str">
        <f>IF($A773="","",
   SUMIFS(Transactions!$P:$P,
          Transactions!$G:$G,$A773,
          Transactions!$C:$C,"IN",
          Transactions!$Q:$Q,"Paid"))</f>
        <v/>
      </c>
      <c r="H773" s="59" t="str">
        <f>IF($A773="","",
   SUMIFS(Transactions!$P:$P,
          Transactions!$G:$G,$A773,
          Transactions!$C:$C,"OUT"))</f>
        <v/>
      </c>
      <c r="I773" s="65" t="str">
        <f t="shared" si="62"/>
        <v/>
      </c>
      <c r="J773" s="59" t="str">
        <f t="shared" si="65"/>
        <v/>
      </c>
    </row>
    <row r="774" spans="4:10" ht="22.5" customHeight="1" x14ac:dyDescent="0.25">
      <c r="D774" s="59" t="str">
        <f t="shared" si="61"/>
        <v/>
      </c>
      <c r="E774" s="59" t="str">
        <f t="shared" si="63"/>
        <v/>
      </c>
      <c r="F774" s="59" t="str">
        <f t="shared" si="64"/>
        <v/>
      </c>
      <c r="G774" s="59" t="str">
        <f>IF($A774="","",
   SUMIFS(Transactions!$P:$P,
          Transactions!$G:$G,$A774,
          Transactions!$C:$C,"IN",
          Transactions!$Q:$Q,"Paid"))</f>
        <v/>
      </c>
      <c r="H774" s="59" t="str">
        <f>IF($A774="","",
   SUMIFS(Transactions!$P:$P,
          Transactions!$G:$G,$A774,
          Transactions!$C:$C,"OUT"))</f>
        <v/>
      </c>
      <c r="I774" s="65" t="str">
        <f t="shared" si="62"/>
        <v/>
      </c>
      <c r="J774" s="59" t="str">
        <f t="shared" si="65"/>
        <v/>
      </c>
    </row>
    <row r="775" spans="4:10" ht="22.5" customHeight="1" x14ac:dyDescent="0.25">
      <c r="D775" s="59" t="str">
        <f t="shared" si="61"/>
        <v/>
      </c>
      <c r="E775" s="59" t="str">
        <f t="shared" si="63"/>
        <v/>
      </c>
      <c r="F775" s="59" t="str">
        <f t="shared" si="64"/>
        <v/>
      </c>
      <c r="G775" s="59" t="str">
        <f>IF($A775="","",
   SUMIFS(Transactions!$P:$P,
          Transactions!$G:$G,$A775,
          Transactions!$C:$C,"IN",
          Transactions!$Q:$Q,"Paid"))</f>
        <v/>
      </c>
      <c r="H775" s="59" t="str">
        <f>IF($A775="","",
   SUMIFS(Transactions!$P:$P,
          Transactions!$G:$G,$A775,
          Transactions!$C:$C,"OUT"))</f>
        <v/>
      </c>
      <c r="I775" s="65" t="str">
        <f t="shared" si="62"/>
        <v/>
      </c>
      <c r="J775" s="59" t="str">
        <f t="shared" si="65"/>
        <v/>
      </c>
    </row>
    <row r="776" spans="4:10" ht="22.5" customHeight="1" x14ac:dyDescent="0.25">
      <c r="D776" s="59" t="str">
        <f t="shared" si="61"/>
        <v/>
      </c>
      <c r="E776" s="59" t="str">
        <f t="shared" si="63"/>
        <v/>
      </c>
      <c r="F776" s="59" t="str">
        <f t="shared" si="64"/>
        <v/>
      </c>
      <c r="G776" s="59" t="str">
        <f>IF($A776="","",
   SUMIFS(Transactions!$P:$P,
          Transactions!$G:$G,$A776,
          Transactions!$C:$C,"IN",
          Transactions!$Q:$Q,"Paid"))</f>
        <v/>
      </c>
      <c r="H776" s="59" t="str">
        <f>IF($A776="","",
   SUMIFS(Transactions!$P:$P,
          Transactions!$G:$G,$A776,
          Transactions!$C:$C,"OUT"))</f>
        <v/>
      </c>
      <c r="I776" s="65" t="str">
        <f t="shared" si="62"/>
        <v/>
      </c>
      <c r="J776" s="59" t="str">
        <f t="shared" si="65"/>
        <v/>
      </c>
    </row>
    <row r="777" spans="4:10" ht="22.5" customHeight="1" x14ac:dyDescent="0.25">
      <c r="D777" s="59" t="str">
        <f t="shared" si="61"/>
        <v/>
      </c>
      <c r="E777" s="59" t="str">
        <f t="shared" si="63"/>
        <v/>
      </c>
      <c r="F777" s="59" t="str">
        <f t="shared" si="64"/>
        <v/>
      </c>
      <c r="G777" s="59" t="str">
        <f>IF($A777="","",
   SUMIFS(Transactions!$P:$P,
          Transactions!$G:$G,$A777,
          Transactions!$C:$C,"IN",
          Transactions!$Q:$Q,"Paid"))</f>
        <v/>
      </c>
      <c r="H777" s="59" t="str">
        <f>IF($A777="","",
   SUMIFS(Transactions!$P:$P,
          Transactions!$G:$G,$A777,
          Transactions!$C:$C,"OUT"))</f>
        <v/>
      </c>
      <c r="I777" s="65" t="str">
        <f t="shared" si="62"/>
        <v/>
      </c>
      <c r="J777" s="59" t="str">
        <f t="shared" si="65"/>
        <v/>
      </c>
    </row>
    <row r="778" spans="4:10" ht="22.5" customHeight="1" x14ac:dyDescent="0.25">
      <c r="D778" s="59" t="str">
        <f t="shared" si="61"/>
        <v/>
      </c>
      <c r="E778" s="59" t="str">
        <f t="shared" si="63"/>
        <v/>
      </c>
      <c r="F778" s="59" t="str">
        <f t="shared" si="64"/>
        <v/>
      </c>
      <c r="G778" s="59" t="str">
        <f>IF($A778="","",
   SUMIFS(Transactions!$P:$P,
          Transactions!$G:$G,$A778,
          Transactions!$C:$C,"IN",
          Transactions!$Q:$Q,"Paid"))</f>
        <v/>
      </c>
      <c r="H778" s="59" t="str">
        <f>IF($A778="","",
   SUMIFS(Transactions!$P:$P,
          Transactions!$G:$G,$A778,
          Transactions!$C:$C,"OUT"))</f>
        <v/>
      </c>
      <c r="I778" s="65" t="str">
        <f t="shared" si="62"/>
        <v/>
      </c>
      <c r="J778" s="59" t="str">
        <f t="shared" si="65"/>
        <v/>
      </c>
    </row>
    <row r="779" spans="4:10" ht="22.5" customHeight="1" x14ac:dyDescent="0.25">
      <c r="D779" s="59" t="str">
        <f t="shared" si="61"/>
        <v/>
      </c>
      <c r="E779" s="59" t="str">
        <f t="shared" si="63"/>
        <v/>
      </c>
      <c r="F779" s="59" t="str">
        <f t="shared" si="64"/>
        <v/>
      </c>
      <c r="G779" s="59" t="str">
        <f>IF($A779="","",
   SUMIFS(Transactions!$P:$P,
          Transactions!$G:$G,$A779,
          Transactions!$C:$C,"IN",
          Transactions!$Q:$Q,"Paid"))</f>
        <v/>
      </c>
      <c r="H779" s="59" t="str">
        <f>IF($A779="","",
   SUMIFS(Transactions!$P:$P,
          Transactions!$G:$G,$A779,
          Transactions!$C:$C,"OUT"))</f>
        <v/>
      </c>
      <c r="I779" s="65" t="str">
        <f t="shared" si="62"/>
        <v/>
      </c>
      <c r="J779" s="59" t="str">
        <f t="shared" si="65"/>
        <v/>
      </c>
    </row>
    <row r="780" spans="4:10" ht="22.5" customHeight="1" x14ac:dyDescent="0.25">
      <c r="D780" s="59" t="str">
        <f t="shared" si="61"/>
        <v/>
      </c>
      <c r="E780" s="59" t="str">
        <f t="shared" si="63"/>
        <v/>
      </c>
      <c r="F780" s="59" t="str">
        <f t="shared" si="64"/>
        <v/>
      </c>
      <c r="G780" s="59" t="str">
        <f>IF($A780="","",
   SUMIFS(Transactions!$P:$P,
          Transactions!$G:$G,$A780,
          Transactions!$C:$C,"IN",
          Transactions!$Q:$Q,"Paid"))</f>
        <v/>
      </c>
      <c r="H780" s="59" t="str">
        <f>IF($A780="","",
   SUMIFS(Transactions!$P:$P,
          Transactions!$G:$G,$A780,
          Transactions!$C:$C,"OUT"))</f>
        <v/>
      </c>
      <c r="I780" s="65" t="str">
        <f t="shared" si="62"/>
        <v/>
      </c>
      <c r="J780" s="59" t="str">
        <f t="shared" si="65"/>
        <v/>
      </c>
    </row>
    <row r="781" spans="4:10" ht="22.5" customHeight="1" x14ac:dyDescent="0.25">
      <c r="D781" s="59" t="str">
        <f t="shared" si="61"/>
        <v/>
      </c>
      <c r="E781" s="59" t="str">
        <f t="shared" si="63"/>
        <v/>
      </c>
      <c r="F781" s="59" t="str">
        <f t="shared" si="64"/>
        <v/>
      </c>
      <c r="G781" s="59" t="str">
        <f>IF($A781="","",
   SUMIFS(Transactions!$P:$P,
          Transactions!$G:$G,$A781,
          Transactions!$C:$C,"IN",
          Transactions!$Q:$Q,"Paid"))</f>
        <v/>
      </c>
      <c r="H781" s="59" t="str">
        <f>IF($A781="","",
   SUMIFS(Transactions!$P:$P,
          Transactions!$G:$G,$A781,
          Transactions!$C:$C,"OUT"))</f>
        <v/>
      </c>
      <c r="I781" s="65" t="str">
        <f t="shared" si="62"/>
        <v/>
      </c>
      <c r="J781" s="59" t="str">
        <f t="shared" si="65"/>
        <v/>
      </c>
    </row>
    <row r="782" spans="4:10" ht="22.5" customHeight="1" x14ac:dyDescent="0.25">
      <c r="D782" s="59" t="str">
        <f t="shared" si="61"/>
        <v/>
      </c>
      <c r="E782" s="59" t="str">
        <f t="shared" si="63"/>
        <v/>
      </c>
      <c r="F782" s="59" t="str">
        <f t="shared" si="64"/>
        <v/>
      </c>
      <c r="G782" s="59" t="str">
        <f>IF($A782="","",
   SUMIFS(Transactions!$P:$P,
          Transactions!$G:$G,$A782,
          Transactions!$C:$C,"IN",
          Transactions!$Q:$Q,"Paid"))</f>
        <v/>
      </c>
      <c r="H782" s="59" t="str">
        <f>IF($A782="","",
   SUMIFS(Transactions!$P:$P,
          Transactions!$G:$G,$A782,
          Transactions!$C:$C,"OUT"))</f>
        <v/>
      </c>
      <c r="I782" s="65" t="str">
        <f t="shared" si="62"/>
        <v/>
      </c>
      <c r="J782" s="59" t="str">
        <f t="shared" si="65"/>
        <v/>
      </c>
    </row>
    <row r="783" spans="4:10" ht="22.5" customHeight="1" x14ac:dyDescent="0.25">
      <c r="D783" s="59" t="str">
        <f t="shared" si="61"/>
        <v/>
      </c>
      <c r="E783" s="59" t="str">
        <f t="shared" si="63"/>
        <v/>
      </c>
      <c r="F783" s="59" t="str">
        <f t="shared" si="64"/>
        <v/>
      </c>
      <c r="G783" s="59" t="str">
        <f>IF($A783="","",
   SUMIFS(Transactions!$P:$P,
          Transactions!$G:$G,$A783,
          Transactions!$C:$C,"IN",
          Transactions!$Q:$Q,"Paid"))</f>
        <v/>
      </c>
      <c r="H783" s="59" t="str">
        <f>IF($A783="","",
   SUMIFS(Transactions!$P:$P,
          Transactions!$G:$G,$A783,
          Transactions!$C:$C,"OUT"))</f>
        <v/>
      </c>
      <c r="I783" s="65" t="str">
        <f t="shared" si="62"/>
        <v/>
      </c>
      <c r="J783" s="59" t="str">
        <f t="shared" si="65"/>
        <v/>
      </c>
    </row>
    <row r="784" spans="4:10" ht="22.5" customHeight="1" x14ac:dyDescent="0.25">
      <c r="D784" s="59" t="str">
        <f t="shared" si="61"/>
        <v/>
      </c>
      <c r="E784" s="59" t="str">
        <f t="shared" si="63"/>
        <v/>
      </c>
      <c r="F784" s="59" t="str">
        <f t="shared" si="64"/>
        <v/>
      </c>
      <c r="G784" s="59" t="str">
        <f>IF($A784="","",
   SUMIFS(Transactions!$P:$P,
          Transactions!$G:$G,$A784,
          Transactions!$C:$C,"IN",
          Transactions!$Q:$Q,"Paid"))</f>
        <v/>
      </c>
      <c r="H784" s="59" t="str">
        <f>IF($A784="","",
   SUMIFS(Transactions!$P:$P,
          Transactions!$G:$G,$A784,
          Transactions!$C:$C,"OUT"))</f>
        <v/>
      </c>
      <c r="I784" s="65" t="str">
        <f t="shared" si="62"/>
        <v/>
      </c>
      <c r="J784" s="59" t="str">
        <f t="shared" si="65"/>
        <v/>
      </c>
    </row>
    <row r="785" spans="4:10" ht="22.5" customHeight="1" x14ac:dyDescent="0.25">
      <c r="D785" s="59" t="str">
        <f t="shared" si="61"/>
        <v/>
      </c>
      <c r="E785" s="59" t="str">
        <f t="shared" si="63"/>
        <v/>
      </c>
      <c r="F785" s="59" t="str">
        <f t="shared" si="64"/>
        <v/>
      </c>
      <c r="G785" s="59" t="str">
        <f>IF($A785="","",
   SUMIFS(Transactions!$P:$P,
          Transactions!$G:$G,$A785,
          Transactions!$C:$C,"IN",
          Transactions!$Q:$Q,"Paid"))</f>
        <v/>
      </c>
      <c r="H785" s="59" t="str">
        <f>IF($A785="","",
   SUMIFS(Transactions!$P:$P,
          Transactions!$G:$G,$A785,
          Transactions!$C:$C,"OUT"))</f>
        <v/>
      </c>
      <c r="I785" s="65" t="str">
        <f t="shared" si="62"/>
        <v/>
      </c>
      <c r="J785" s="59" t="str">
        <f t="shared" si="65"/>
        <v/>
      </c>
    </row>
    <row r="786" spans="4:10" ht="22.5" customHeight="1" x14ac:dyDescent="0.25">
      <c r="D786" s="59" t="str">
        <f t="shared" si="61"/>
        <v/>
      </c>
      <c r="E786" s="59" t="str">
        <f t="shared" si="63"/>
        <v/>
      </c>
      <c r="F786" s="59" t="str">
        <f t="shared" si="64"/>
        <v/>
      </c>
      <c r="G786" s="59" t="str">
        <f>IF($A786="","",
   SUMIFS(Transactions!$P:$P,
          Transactions!$G:$G,$A786,
          Transactions!$C:$C,"IN",
          Transactions!$Q:$Q,"Paid"))</f>
        <v/>
      </c>
      <c r="H786" s="59" t="str">
        <f>IF($A786="","",
   SUMIFS(Transactions!$P:$P,
          Transactions!$G:$G,$A786,
          Transactions!$C:$C,"OUT"))</f>
        <v/>
      </c>
      <c r="I786" s="65" t="str">
        <f t="shared" si="62"/>
        <v/>
      </c>
      <c r="J786" s="59" t="str">
        <f t="shared" si="65"/>
        <v/>
      </c>
    </row>
    <row r="787" spans="4:10" ht="22.5" customHeight="1" x14ac:dyDescent="0.25">
      <c r="D787" s="59" t="str">
        <f t="shared" si="61"/>
        <v/>
      </c>
      <c r="E787" s="59" t="str">
        <f t="shared" si="63"/>
        <v/>
      </c>
      <c r="F787" s="59" t="str">
        <f t="shared" si="64"/>
        <v/>
      </c>
      <c r="G787" s="59" t="str">
        <f>IF($A787="","",
   SUMIFS(Transactions!$P:$P,
          Transactions!$G:$G,$A787,
          Transactions!$C:$C,"IN",
          Transactions!$Q:$Q,"Paid"))</f>
        <v/>
      </c>
      <c r="H787" s="59" t="str">
        <f>IF($A787="","",
   SUMIFS(Transactions!$P:$P,
          Transactions!$G:$G,$A787,
          Transactions!$C:$C,"OUT"))</f>
        <v/>
      </c>
      <c r="I787" s="65" t="str">
        <f t="shared" si="62"/>
        <v/>
      </c>
      <c r="J787" s="59" t="str">
        <f t="shared" si="65"/>
        <v/>
      </c>
    </row>
    <row r="788" spans="4:10" ht="22.5" customHeight="1" x14ac:dyDescent="0.25">
      <c r="D788" s="59" t="str">
        <f t="shared" si="61"/>
        <v/>
      </c>
      <c r="E788" s="59" t="str">
        <f t="shared" si="63"/>
        <v/>
      </c>
      <c r="F788" s="59" t="str">
        <f t="shared" si="64"/>
        <v/>
      </c>
      <c r="G788" s="59" t="str">
        <f>IF($A788="","",
   SUMIFS(Transactions!$P:$P,
          Transactions!$G:$G,$A788,
          Transactions!$C:$C,"IN",
          Transactions!$Q:$Q,"Paid"))</f>
        <v/>
      </c>
      <c r="H788" s="59" t="str">
        <f>IF($A788="","",
   SUMIFS(Transactions!$P:$P,
          Transactions!$G:$G,$A788,
          Transactions!$C:$C,"OUT"))</f>
        <v/>
      </c>
      <c r="I788" s="65" t="str">
        <f t="shared" si="62"/>
        <v/>
      </c>
      <c r="J788" s="59" t="str">
        <f t="shared" si="65"/>
        <v/>
      </c>
    </row>
    <row r="789" spans="4:10" ht="22.5" customHeight="1" x14ac:dyDescent="0.25">
      <c r="D789" s="59" t="str">
        <f t="shared" si="61"/>
        <v/>
      </c>
      <c r="E789" s="59" t="str">
        <f t="shared" si="63"/>
        <v/>
      </c>
      <c r="F789" s="59" t="str">
        <f t="shared" si="64"/>
        <v/>
      </c>
      <c r="G789" s="59" t="str">
        <f>IF($A789="","",
   SUMIFS(Transactions!$P:$P,
          Transactions!$G:$G,$A789,
          Transactions!$C:$C,"IN",
          Transactions!$Q:$Q,"Paid"))</f>
        <v/>
      </c>
      <c r="H789" s="59" t="str">
        <f>IF($A789="","",
   SUMIFS(Transactions!$P:$P,
          Transactions!$G:$G,$A789,
          Transactions!$C:$C,"OUT"))</f>
        <v/>
      </c>
      <c r="I789" s="65" t="str">
        <f t="shared" si="62"/>
        <v/>
      </c>
      <c r="J789" s="59" t="str">
        <f t="shared" si="65"/>
        <v/>
      </c>
    </row>
    <row r="790" spans="4:10" ht="22.5" customHeight="1" x14ac:dyDescent="0.25">
      <c r="D790" s="59" t="str">
        <f t="shared" si="61"/>
        <v/>
      </c>
      <c r="E790" s="59" t="str">
        <f t="shared" si="63"/>
        <v/>
      </c>
      <c r="F790" s="59" t="str">
        <f t="shared" si="64"/>
        <v/>
      </c>
      <c r="G790" s="59" t="str">
        <f>IF($A790="","",
   SUMIFS(Transactions!$P:$P,
          Transactions!$G:$G,$A790,
          Transactions!$C:$C,"IN",
          Transactions!$Q:$Q,"Paid"))</f>
        <v/>
      </c>
      <c r="H790" s="59" t="str">
        <f>IF($A790="","",
   SUMIFS(Transactions!$P:$P,
          Transactions!$G:$G,$A790,
          Transactions!$C:$C,"OUT"))</f>
        <v/>
      </c>
      <c r="I790" s="65" t="str">
        <f t="shared" si="62"/>
        <v/>
      </c>
      <c r="J790" s="59" t="str">
        <f t="shared" si="65"/>
        <v/>
      </c>
    </row>
    <row r="791" spans="4:10" ht="22.5" customHeight="1" x14ac:dyDescent="0.25">
      <c r="D791" s="59" t="str">
        <f t="shared" si="61"/>
        <v/>
      </c>
      <c r="E791" s="59" t="str">
        <f t="shared" si="63"/>
        <v/>
      </c>
      <c r="F791" s="59" t="str">
        <f t="shared" si="64"/>
        <v/>
      </c>
      <c r="G791" s="59" t="str">
        <f>IF($A791="","",
   SUMIFS(Transactions!$P:$P,
          Transactions!$G:$G,$A791,
          Transactions!$C:$C,"IN",
          Transactions!$Q:$Q,"Paid"))</f>
        <v/>
      </c>
      <c r="H791" s="59" t="str">
        <f>IF($A791="","",
   SUMIFS(Transactions!$P:$P,
          Transactions!$G:$G,$A791,
          Transactions!$C:$C,"OUT"))</f>
        <v/>
      </c>
      <c r="I791" s="65" t="str">
        <f t="shared" si="62"/>
        <v/>
      </c>
      <c r="J791" s="59" t="str">
        <f t="shared" si="65"/>
        <v/>
      </c>
    </row>
    <row r="792" spans="4:10" ht="22.5" customHeight="1" x14ac:dyDescent="0.25">
      <c r="D792" s="59" t="str">
        <f t="shared" si="61"/>
        <v/>
      </c>
      <c r="E792" s="59" t="str">
        <f t="shared" si="63"/>
        <v/>
      </c>
      <c r="F792" s="59" t="str">
        <f t="shared" si="64"/>
        <v/>
      </c>
      <c r="G792" s="59" t="str">
        <f>IF($A792="","",
   SUMIFS(Transactions!$P:$P,
          Transactions!$G:$G,$A792,
          Transactions!$C:$C,"IN",
          Transactions!$Q:$Q,"Paid"))</f>
        <v/>
      </c>
      <c r="H792" s="59" t="str">
        <f>IF($A792="","",
   SUMIFS(Transactions!$P:$P,
          Transactions!$G:$G,$A792,
          Transactions!$C:$C,"OUT"))</f>
        <v/>
      </c>
      <c r="I792" s="65" t="str">
        <f t="shared" si="62"/>
        <v/>
      </c>
      <c r="J792" s="59" t="str">
        <f t="shared" si="65"/>
        <v/>
      </c>
    </row>
    <row r="793" spans="4:10" ht="22.5" customHeight="1" x14ac:dyDescent="0.25">
      <c r="D793" s="59" t="str">
        <f t="shared" si="61"/>
        <v/>
      </c>
      <c r="E793" s="59" t="str">
        <f t="shared" si="63"/>
        <v/>
      </c>
      <c r="F793" s="59" t="str">
        <f t="shared" si="64"/>
        <v/>
      </c>
      <c r="G793" s="59" t="str">
        <f>IF($A793="","",
   SUMIFS(Transactions!$P:$P,
          Transactions!$G:$G,$A793,
          Transactions!$C:$C,"IN",
          Transactions!$Q:$Q,"Paid"))</f>
        <v/>
      </c>
      <c r="H793" s="59" t="str">
        <f>IF($A793="","",
   SUMIFS(Transactions!$P:$P,
          Transactions!$G:$G,$A793,
          Transactions!$C:$C,"OUT"))</f>
        <v/>
      </c>
      <c r="I793" s="65" t="str">
        <f t="shared" si="62"/>
        <v/>
      </c>
      <c r="J793" s="59" t="str">
        <f t="shared" si="65"/>
        <v/>
      </c>
    </row>
    <row r="794" spans="4:10" ht="22.5" customHeight="1" x14ac:dyDescent="0.25">
      <c r="D794" s="59" t="str">
        <f t="shared" si="61"/>
        <v/>
      </c>
      <c r="E794" s="59" t="str">
        <f t="shared" si="63"/>
        <v/>
      </c>
      <c r="F794" s="59" t="str">
        <f t="shared" si="64"/>
        <v/>
      </c>
      <c r="G794" s="59" t="str">
        <f>IF($A794="","",
   SUMIFS(Transactions!$P:$P,
          Transactions!$G:$G,$A794,
          Transactions!$C:$C,"IN",
          Transactions!$Q:$Q,"Paid"))</f>
        <v/>
      </c>
      <c r="H794" s="59" t="str">
        <f>IF($A794="","",
   SUMIFS(Transactions!$P:$P,
          Transactions!$G:$G,$A794,
          Transactions!$C:$C,"OUT"))</f>
        <v/>
      </c>
      <c r="I794" s="65" t="str">
        <f t="shared" si="62"/>
        <v/>
      </c>
      <c r="J794" s="59" t="str">
        <f t="shared" si="65"/>
        <v/>
      </c>
    </row>
    <row r="795" spans="4:10" ht="22.5" customHeight="1" x14ac:dyDescent="0.25">
      <c r="D795" s="59" t="str">
        <f t="shared" si="61"/>
        <v/>
      </c>
      <c r="E795" s="59" t="str">
        <f t="shared" si="63"/>
        <v/>
      </c>
      <c r="F795" s="59" t="str">
        <f t="shared" si="64"/>
        <v/>
      </c>
      <c r="G795" s="59" t="str">
        <f>IF($A795="","",
   SUMIFS(Transactions!$P:$P,
          Transactions!$G:$G,$A795,
          Transactions!$C:$C,"IN",
          Transactions!$Q:$Q,"Paid"))</f>
        <v/>
      </c>
      <c r="H795" s="59" t="str">
        <f>IF($A795="","",
   SUMIFS(Transactions!$P:$P,
          Transactions!$G:$G,$A795,
          Transactions!$C:$C,"OUT"))</f>
        <v/>
      </c>
      <c r="I795" s="65" t="str">
        <f t="shared" si="62"/>
        <v/>
      </c>
      <c r="J795" s="59" t="str">
        <f t="shared" si="65"/>
        <v/>
      </c>
    </row>
    <row r="796" spans="4:10" ht="22.5" customHeight="1" x14ac:dyDescent="0.25">
      <c r="D796" s="59" t="str">
        <f t="shared" si="61"/>
        <v/>
      </c>
      <c r="E796" s="59" t="str">
        <f t="shared" si="63"/>
        <v/>
      </c>
      <c r="F796" s="59" t="str">
        <f t="shared" si="64"/>
        <v/>
      </c>
      <c r="G796" s="59" t="str">
        <f>IF($A796="","",
   SUMIFS(Transactions!$P:$P,
          Transactions!$G:$G,$A796,
          Transactions!$C:$C,"IN",
          Transactions!$Q:$Q,"Paid"))</f>
        <v/>
      </c>
      <c r="H796" s="59" t="str">
        <f>IF($A796="","",
   SUMIFS(Transactions!$P:$P,
          Transactions!$G:$G,$A796,
          Transactions!$C:$C,"OUT"))</f>
        <v/>
      </c>
      <c r="I796" s="65" t="str">
        <f t="shared" si="62"/>
        <v/>
      </c>
      <c r="J796" s="59" t="str">
        <f t="shared" si="65"/>
        <v/>
      </c>
    </row>
    <row r="797" spans="4:10" ht="22.5" customHeight="1" x14ac:dyDescent="0.25">
      <c r="D797" s="59" t="str">
        <f t="shared" si="61"/>
        <v/>
      </c>
      <c r="E797" s="59" t="str">
        <f t="shared" si="63"/>
        <v/>
      </c>
      <c r="F797" s="59" t="str">
        <f t="shared" si="64"/>
        <v/>
      </c>
      <c r="G797" s="59" t="str">
        <f>IF($A797="","",
   SUMIFS(Transactions!$P:$P,
          Transactions!$G:$G,$A797,
          Transactions!$C:$C,"IN",
          Transactions!$Q:$Q,"Paid"))</f>
        <v/>
      </c>
      <c r="H797" s="59" t="str">
        <f>IF($A797="","",
   SUMIFS(Transactions!$P:$P,
          Transactions!$G:$G,$A797,
          Transactions!$C:$C,"OUT"))</f>
        <v/>
      </c>
      <c r="I797" s="65" t="str">
        <f t="shared" si="62"/>
        <v/>
      </c>
      <c r="J797" s="59" t="str">
        <f t="shared" si="65"/>
        <v/>
      </c>
    </row>
    <row r="798" spans="4:10" ht="22.5" customHeight="1" x14ac:dyDescent="0.25">
      <c r="D798" s="59" t="str">
        <f t="shared" si="61"/>
        <v/>
      </c>
      <c r="E798" s="59" t="str">
        <f t="shared" si="63"/>
        <v/>
      </c>
      <c r="F798" s="59" t="str">
        <f t="shared" si="64"/>
        <v/>
      </c>
      <c r="G798" s="59" t="str">
        <f>IF($A798="","",
   SUMIFS(Transactions!$P:$P,
          Transactions!$G:$G,$A798,
          Transactions!$C:$C,"IN",
          Transactions!$Q:$Q,"Paid"))</f>
        <v/>
      </c>
      <c r="H798" s="59" t="str">
        <f>IF($A798="","",
   SUMIFS(Transactions!$P:$P,
          Transactions!$G:$G,$A798,
          Transactions!$C:$C,"OUT"))</f>
        <v/>
      </c>
      <c r="I798" s="65" t="str">
        <f t="shared" si="62"/>
        <v/>
      </c>
      <c r="J798" s="59" t="str">
        <f t="shared" si="65"/>
        <v/>
      </c>
    </row>
    <row r="799" spans="4:10" ht="22.5" customHeight="1" x14ac:dyDescent="0.25">
      <c r="D799" s="59" t="str">
        <f t="shared" si="61"/>
        <v/>
      </c>
      <c r="E799" s="59" t="str">
        <f t="shared" si="63"/>
        <v/>
      </c>
      <c r="F799" s="59" t="str">
        <f t="shared" si="64"/>
        <v/>
      </c>
      <c r="G799" s="59" t="str">
        <f>IF($A799="","",
   SUMIFS(Transactions!$P:$P,
          Transactions!$G:$G,$A799,
          Transactions!$C:$C,"IN",
          Transactions!$Q:$Q,"Paid"))</f>
        <v/>
      </c>
      <c r="H799" s="59" t="str">
        <f>IF($A799="","",
   SUMIFS(Transactions!$P:$P,
          Transactions!$G:$G,$A799,
          Transactions!$C:$C,"OUT"))</f>
        <v/>
      </c>
      <c r="I799" s="65" t="str">
        <f t="shared" si="62"/>
        <v/>
      </c>
      <c r="J799" s="59" t="str">
        <f t="shared" si="65"/>
        <v/>
      </c>
    </row>
    <row r="800" spans="4:10" ht="22.5" customHeight="1" x14ac:dyDescent="0.25">
      <c r="D800" s="59" t="str">
        <f t="shared" si="61"/>
        <v/>
      </c>
      <c r="E800" s="59" t="str">
        <f t="shared" si="63"/>
        <v/>
      </c>
      <c r="F800" s="59" t="str">
        <f t="shared" si="64"/>
        <v/>
      </c>
      <c r="G800" s="59" t="str">
        <f>IF($A800="","",
   SUMIFS(Transactions!$P:$P,
          Transactions!$G:$G,$A800,
          Transactions!$C:$C,"IN",
          Transactions!$Q:$Q,"Paid"))</f>
        <v/>
      </c>
      <c r="H800" s="59" t="str">
        <f>IF($A800="","",
   SUMIFS(Transactions!$P:$P,
          Transactions!$G:$G,$A800,
          Transactions!$C:$C,"OUT"))</f>
        <v/>
      </c>
      <c r="I800" s="65" t="str">
        <f t="shared" si="62"/>
        <v/>
      </c>
      <c r="J800" s="59" t="str">
        <f t="shared" si="65"/>
        <v/>
      </c>
    </row>
    <row r="801" spans="4:10" ht="22.5" customHeight="1" x14ac:dyDescent="0.25">
      <c r="D801" s="59" t="str">
        <f t="shared" si="61"/>
        <v/>
      </c>
      <c r="E801" s="59" t="str">
        <f t="shared" si="63"/>
        <v/>
      </c>
      <c r="F801" s="59" t="str">
        <f t="shared" si="64"/>
        <v/>
      </c>
      <c r="G801" s="59" t="str">
        <f>IF($A801="","",
   SUMIFS(Transactions!$P:$P,
          Transactions!$G:$G,$A801,
          Transactions!$C:$C,"IN",
          Transactions!$Q:$Q,"Paid"))</f>
        <v/>
      </c>
      <c r="H801" s="59" t="str">
        <f>IF($A801="","",
   SUMIFS(Transactions!$P:$P,
          Transactions!$G:$G,$A801,
          Transactions!$C:$C,"OUT"))</f>
        <v/>
      </c>
      <c r="I801" s="65" t="str">
        <f t="shared" si="62"/>
        <v/>
      </c>
      <c r="J801" s="59" t="str">
        <f t="shared" si="65"/>
        <v/>
      </c>
    </row>
    <row r="802" spans="4:10" ht="22.5" customHeight="1" x14ac:dyDescent="0.25">
      <c r="D802" s="59" t="str">
        <f t="shared" si="61"/>
        <v/>
      </c>
      <c r="E802" s="59" t="str">
        <f t="shared" si="63"/>
        <v/>
      </c>
      <c r="F802" s="59" t="str">
        <f t="shared" si="64"/>
        <v/>
      </c>
      <c r="G802" s="59" t="str">
        <f>IF($A802="","",
   SUMIFS(Transactions!$P:$P,
          Transactions!$G:$G,$A802,
          Transactions!$C:$C,"IN",
          Transactions!$Q:$Q,"Paid"))</f>
        <v/>
      </c>
      <c r="H802" s="59" t="str">
        <f>IF($A802="","",
   SUMIFS(Transactions!$P:$P,
          Transactions!$G:$G,$A802,
          Transactions!$C:$C,"OUT"))</f>
        <v/>
      </c>
      <c r="I802" s="65" t="str">
        <f t="shared" si="62"/>
        <v/>
      </c>
      <c r="J802" s="59" t="str">
        <f t="shared" si="65"/>
        <v/>
      </c>
    </row>
    <row r="803" spans="4:10" ht="22.5" customHeight="1" x14ac:dyDescent="0.25">
      <c r="D803" s="59" t="str">
        <f t="shared" si="61"/>
        <v/>
      </c>
      <c r="E803" s="59" t="str">
        <f t="shared" si="63"/>
        <v/>
      </c>
      <c r="F803" s="59" t="str">
        <f t="shared" si="64"/>
        <v/>
      </c>
      <c r="G803" s="59" t="str">
        <f>IF($A803="","",
   SUMIFS(Transactions!$P:$P,
          Transactions!$G:$G,$A803,
          Transactions!$C:$C,"IN",
          Transactions!$Q:$Q,"Paid"))</f>
        <v/>
      </c>
      <c r="H803" s="59" t="str">
        <f>IF($A803="","",
   SUMIFS(Transactions!$P:$P,
          Transactions!$G:$G,$A803,
          Transactions!$C:$C,"OUT"))</f>
        <v/>
      </c>
      <c r="I803" s="65" t="str">
        <f t="shared" si="62"/>
        <v/>
      </c>
      <c r="J803" s="59" t="str">
        <f t="shared" si="65"/>
        <v/>
      </c>
    </row>
    <row r="804" spans="4:10" ht="22.5" customHeight="1" x14ac:dyDescent="0.25">
      <c r="D804" s="59" t="str">
        <f t="shared" si="61"/>
        <v/>
      </c>
      <c r="E804" s="59" t="str">
        <f t="shared" si="63"/>
        <v/>
      </c>
      <c r="F804" s="59" t="str">
        <f t="shared" si="64"/>
        <v/>
      </c>
      <c r="G804" s="59" t="str">
        <f>IF($A804="","",
   SUMIFS(Transactions!$P:$P,
          Transactions!$G:$G,$A804,
          Transactions!$C:$C,"IN",
          Transactions!$Q:$Q,"Paid"))</f>
        <v/>
      </c>
      <c r="H804" s="59" t="str">
        <f>IF($A804="","",
   SUMIFS(Transactions!$P:$P,
          Transactions!$G:$G,$A804,
          Transactions!$C:$C,"OUT"))</f>
        <v/>
      </c>
      <c r="I804" s="65" t="str">
        <f t="shared" si="62"/>
        <v/>
      </c>
      <c r="J804" s="59" t="str">
        <f t="shared" si="65"/>
        <v/>
      </c>
    </row>
    <row r="805" spans="4:10" ht="22.5" customHeight="1" x14ac:dyDescent="0.25">
      <c r="D805" s="59" t="str">
        <f t="shared" si="61"/>
        <v/>
      </c>
      <c r="E805" s="59" t="str">
        <f t="shared" si="63"/>
        <v/>
      </c>
      <c r="F805" s="59" t="str">
        <f t="shared" si="64"/>
        <v/>
      </c>
      <c r="G805" s="59" t="str">
        <f>IF($A805="","",
   SUMIFS(Transactions!$P:$P,
          Transactions!$G:$G,$A805,
          Transactions!$C:$C,"IN",
          Transactions!$Q:$Q,"Paid"))</f>
        <v/>
      </c>
      <c r="H805" s="59" t="str">
        <f>IF($A805="","",
   SUMIFS(Transactions!$P:$P,
          Transactions!$G:$G,$A805,
          Transactions!$C:$C,"OUT"))</f>
        <v/>
      </c>
      <c r="I805" s="65" t="str">
        <f t="shared" si="62"/>
        <v/>
      </c>
      <c r="J805" s="59" t="str">
        <f t="shared" si="65"/>
        <v/>
      </c>
    </row>
    <row r="806" spans="4:10" ht="22.5" customHeight="1" x14ac:dyDescent="0.25">
      <c r="D806" s="59" t="str">
        <f t="shared" si="61"/>
        <v/>
      </c>
      <c r="E806" s="59" t="str">
        <f t="shared" si="63"/>
        <v/>
      </c>
      <c r="F806" s="59" t="str">
        <f t="shared" si="64"/>
        <v/>
      </c>
      <c r="G806" s="59" t="str">
        <f>IF($A806="","",
   SUMIFS(Transactions!$P:$P,
          Transactions!$G:$G,$A806,
          Transactions!$C:$C,"IN",
          Transactions!$Q:$Q,"Paid"))</f>
        <v/>
      </c>
      <c r="H806" s="59" t="str">
        <f>IF($A806="","",
   SUMIFS(Transactions!$P:$P,
          Transactions!$G:$G,$A806,
          Transactions!$C:$C,"OUT"))</f>
        <v/>
      </c>
      <c r="I806" s="65" t="str">
        <f t="shared" si="62"/>
        <v/>
      </c>
      <c r="J806" s="59" t="str">
        <f t="shared" si="65"/>
        <v/>
      </c>
    </row>
    <row r="807" spans="4:10" ht="22.5" customHeight="1" x14ac:dyDescent="0.25">
      <c r="D807" s="59" t="str">
        <f t="shared" si="61"/>
        <v/>
      </c>
      <c r="E807" s="59" t="str">
        <f t="shared" si="63"/>
        <v/>
      </c>
      <c r="F807" s="59" t="str">
        <f t="shared" si="64"/>
        <v/>
      </c>
      <c r="G807" s="59" t="str">
        <f>IF($A807="","",
   SUMIFS(Transactions!$P:$P,
          Transactions!$G:$G,$A807,
          Transactions!$C:$C,"IN",
          Transactions!$Q:$Q,"Paid"))</f>
        <v/>
      </c>
      <c r="H807" s="59" t="str">
        <f>IF($A807="","",
   SUMIFS(Transactions!$P:$P,
          Transactions!$G:$G,$A807,
          Transactions!$C:$C,"OUT"))</f>
        <v/>
      </c>
      <c r="I807" s="65" t="str">
        <f t="shared" si="62"/>
        <v/>
      </c>
      <c r="J807" s="59" t="str">
        <f t="shared" si="65"/>
        <v/>
      </c>
    </row>
    <row r="808" spans="4:10" ht="22.5" customHeight="1" x14ac:dyDescent="0.25">
      <c r="D808" s="59" t="str">
        <f t="shared" si="61"/>
        <v/>
      </c>
      <c r="E808" s="59" t="str">
        <f t="shared" si="63"/>
        <v/>
      </c>
      <c r="F808" s="59" t="str">
        <f t="shared" si="64"/>
        <v/>
      </c>
      <c r="G808" s="59" t="str">
        <f>IF($A808="","",
   SUMIFS(Transactions!$P:$P,
          Transactions!$G:$G,$A808,
          Transactions!$C:$C,"IN",
          Transactions!$Q:$Q,"Paid"))</f>
        <v/>
      </c>
      <c r="H808" s="59" t="str">
        <f>IF($A808="","",
   SUMIFS(Transactions!$P:$P,
          Transactions!$G:$G,$A808,
          Transactions!$C:$C,"OUT"))</f>
        <v/>
      </c>
      <c r="I808" s="65" t="str">
        <f t="shared" si="62"/>
        <v/>
      </c>
      <c r="J808" s="59" t="str">
        <f t="shared" si="65"/>
        <v/>
      </c>
    </row>
    <row r="809" spans="4:10" ht="22.5" customHeight="1" x14ac:dyDescent="0.25">
      <c r="D809" s="59" t="str">
        <f t="shared" si="61"/>
        <v/>
      </c>
      <c r="E809" s="59" t="str">
        <f t="shared" si="63"/>
        <v/>
      </c>
      <c r="F809" s="59" t="str">
        <f t="shared" si="64"/>
        <v/>
      </c>
      <c r="G809" s="59" t="str">
        <f>IF($A809="","",
   SUMIFS(Transactions!$P:$P,
          Transactions!$G:$G,$A809,
          Transactions!$C:$C,"IN",
          Transactions!$Q:$Q,"Paid"))</f>
        <v/>
      </c>
      <c r="H809" s="59" t="str">
        <f>IF($A809="","",
   SUMIFS(Transactions!$P:$P,
          Transactions!$G:$G,$A809,
          Transactions!$C:$C,"OUT"))</f>
        <v/>
      </c>
      <c r="I809" s="65" t="str">
        <f t="shared" si="62"/>
        <v/>
      </c>
      <c r="J809" s="59" t="str">
        <f t="shared" si="65"/>
        <v/>
      </c>
    </row>
    <row r="810" spans="4:10" ht="22.5" customHeight="1" x14ac:dyDescent="0.25">
      <c r="D810" s="59" t="str">
        <f t="shared" si="61"/>
        <v/>
      </c>
      <c r="E810" s="59" t="str">
        <f t="shared" si="63"/>
        <v/>
      </c>
      <c r="F810" s="59" t="str">
        <f t="shared" si="64"/>
        <v/>
      </c>
      <c r="G810" s="59" t="str">
        <f>IF($A810="","",
   SUMIFS(Transactions!$P:$P,
          Transactions!$G:$G,$A810,
          Transactions!$C:$C,"IN",
          Transactions!$Q:$Q,"Paid"))</f>
        <v/>
      </c>
      <c r="H810" s="59" t="str">
        <f>IF($A810="","",
   SUMIFS(Transactions!$P:$P,
          Transactions!$G:$G,$A810,
          Transactions!$C:$C,"OUT"))</f>
        <v/>
      </c>
      <c r="I810" s="65" t="str">
        <f t="shared" si="62"/>
        <v/>
      </c>
      <c r="J810" s="59" t="str">
        <f t="shared" si="65"/>
        <v/>
      </c>
    </row>
    <row r="811" spans="4:10" ht="22.5" customHeight="1" x14ac:dyDescent="0.25">
      <c r="D811" s="59" t="str">
        <f t="shared" si="61"/>
        <v/>
      </c>
      <c r="E811" s="59" t="str">
        <f t="shared" si="63"/>
        <v/>
      </c>
      <c r="F811" s="59" t="str">
        <f t="shared" si="64"/>
        <v/>
      </c>
      <c r="G811" s="59" t="str">
        <f>IF($A811="","",
   SUMIFS(Transactions!$P:$P,
          Transactions!$G:$G,$A811,
          Transactions!$C:$C,"IN",
          Transactions!$Q:$Q,"Paid"))</f>
        <v/>
      </c>
      <c r="H811" s="59" t="str">
        <f>IF($A811="","",
   SUMIFS(Transactions!$P:$P,
          Transactions!$G:$G,$A811,
          Transactions!$C:$C,"OUT"))</f>
        <v/>
      </c>
      <c r="I811" s="65" t="str">
        <f t="shared" si="62"/>
        <v/>
      </c>
      <c r="J811" s="59" t="str">
        <f t="shared" si="65"/>
        <v/>
      </c>
    </row>
    <row r="812" spans="4:10" ht="22.5" customHeight="1" x14ac:dyDescent="0.25">
      <c r="D812" s="59" t="str">
        <f t="shared" si="61"/>
        <v/>
      </c>
      <c r="E812" s="59" t="str">
        <f t="shared" si="63"/>
        <v/>
      </c>
      <c r="F812" s="59" t="str">
        <f t="shared" si="64"/>
        <v/>
      </c>
      <c r="G812" s="59" t="str">
        <f>IF($A812="","",
   SUMIFS(Transactions!$P:$P,
          Transactions!$G:$G,$A812,
          Transactions!$C:$C,"IN",
          Transactions!$Q:$Q,"Paid"))</f>
        <v/>
      </c>
      <c r="H812" s="59" t="str">
        <f>IF($A812="","",
   SUMIFS(Transactions!$P:$P,
          Transactions!$G:$G,$A812,
          Transactions!$C:$C,"OUT"))</f>
        <v/>
      </c>
      <c r="I812" s="65" t="str">
        <f t="shared" si="62"/>
        <v/>
      </c>
      <c r="J812" s="59" t="str">
        <f t="shared" si="65"/>
        <v/>
      </c>
    </row>
    <row r="813" spans="4:10" ht="22.5" customHeight="1" x14ac:dyDescent="0.25">
      <c r="D813" s="59" t="str">
        <f t="shared" si="61"/>
        <v/>
      </c>
      <c r="E813" s="59" t="str">
        <f t="shared" si="63"/>
        <v/>
      </c>
      <c r="F813" s="59" t="str">
        <f t="shared" si="64"/>
        <v/>
      </c>
      <c r="G813" s="59" t="str">
        <f>IF($A813="","",
   SUMIFS(Transactions!$P:$P,
          Transactions!$G:$G,$A813,
          Transactions!$C:$C,"IN",
          Transactions!$Q:$Q,"Paid"))</f>
        <v/>
      </c>
      <c r="H813" s="59" t="str">
        <f>IF($A813="","",
   SUMIFS(Transactions!$P:$P,
          Transactions!$G:$G,$A813,
          Transactions!$C:$C,"OUT"))</f>
        <v/>
      </c>
      <c r="I813" s="65" t="str">
        <f t="shared" si="62"/>
        <v/>
      </c>
      <c r="J813" s="59" t="str">
        <f t="shared" si="65"/>
        <v/>
      </c>
    </row>
    <row r="814" spans="4:10" ht="22.5" customHeight="1" x14ac:dyDescent="0.25">
      <c r="D814" s="59" t="str">
        <f t="shared" si="61"/>
        <v/>
      </c>
      <c r="E814" s="59" t="str">
        <f t="shared" si="63"/>
        <v/>
      </c>
      <c r="F814" s="59" t="str">
        <f t="shared" si="64"/>
        <v/>
      </c>
      <c r="G814" s="59" t="str">
        <f>IF($A814="","",
   SUMIFS(Transactions!$P:$P,
          Transactions!$G:$G,$A814,
          Transactions!$C:$C,"IN",
          Transactions!$Q:$Q,"Paid"))</f>
        <v/>
      </c>
      <c r="H814" s="59" t="str">
        <f>IF($A814="","",
   SUMIFS(Transactions!$P:$P,
          Transactions!$G:$G,$A814,
          Transactions!$C:$C,"OUT"))</f>
        <v/>
      </c>
      <c r="I814" s="65" t="str">
        <f t="shared" si="62"/>
        <v/>
      </c>
      <c r="J814" s="59" t="str">
        <f t="shared" si="65"/>
        <v/>
      </c>
    </row>
    <row r="815" spans="4:10" ht="22.5" customHeight="1" x14ac:dyDescent="0.25">
      <c r="D815" s="59" t="str">
        <f t="shared" si="61"/>
        <v/>
      </c>
      <c r="E815" s="59" t="str">
        <f t="shared" si="63"/>
        <v/>
      </c>
      <c r="F815" s="59" t="str">
        <f t="shared" si="64"/>
        <v/>
      </c>
      <c r="G815" s="59" t="str">
        <f>IF($A815="","",
   SUMIFS(Transactions!$P:$P,
          Transactions!$G:$G,$A815,
          Transactions!$C:$C,"IN",
          Transactions!$Q:$Q,"Paid"))</f>
        <v/>
      </c>
      <c r="H815" s="59" t="str">
        <f>IF($A815="","",
   SUMIFS(Transactions!$P:$P,
          Transactions!$G:$G,$A815,
          Transactions!$C:$C,"OUT"))</f>
        <v/>
      </c>
      <c r="I815" s="65" t="str">
        <f t="shared" si="62"/>
        <v/>
      </c>
      <c r="J815" s="59" t="str">
        <f t="shared" si="65"/>
        <v/>
      </c>
    </row>
    <row r="816" spans="4:10" ht="22.5" customHeight="1" x14ac:dyDescent="0.25">
      <c r="D816" s="59" t="str">
        <f t="shared" si="61"/>
        <v/>
      </c>
      <c r="E816" s="59" t="str">
        <f t="shared" si="63"/>
        <v/>
      </c>
      <c r="F816" s="59" t="str">
        <f t="shared" si="64"/>
        <v/>
      </c>
      <c r="G816" s="59" t="str">
        <f>IF($A816="","",
   SUMIFS(Transactions!$P:$P,
          Transactions!$G:$G,$A816,
          Transactions!$C:$C,"IN",
          Transactions!$Q:$Q,"Paid"))</f>
        <v/>
      </c>
      <c r="H816" s="59" t="str">
        <f>IF($A816="","",
   SUMIFS(Transactions!$P:$P,
          Transactions!$G:$G,$A816,
          Transactions!$C:$C,"OUT"))</f>
        <v/>
      </c>
      <c r="I816" s="65" t="str">
        <f t="shared" si="62"/>
        <v/>
      </c>
      <c r="J816" s="59" t="str">
        <f t="shared" si="65"/>
        <v/>
      </c>
    </row>
    <row r="817" spans="4:10" ht="22.5" customHeight="1" x14ac:dyDescent="0.25">
      <c r="D817" s="59" t="str">
        <f t="shared" si="61"/>
        <v/>
      </c>
      <c r="E817" s="59" t="str">
        <f t="shared" si="63"/>
        <v/>
      </c>
      <c r="F817" s="59" t="str">
        <f t="shared" si="64"/>
        <v/>
      </c>
      <c r="G817" s="59" t="str">
        <f>IF($A817="","",
   SUMIFS(Transactions!$P:$P,
          Transactions!$G:$G,$A817,
          Transactions!$C:$C,"IN",
          Transactions!$Q:$Q,"Paid"))</f>
        <v/>
      </c>
      <c r="H817" s="59" t="str">
        <f>IF($A817="","",
   SUMIFS(Transactions!$P:$P,
          Transactions!$G:$G,$A817,
          Transactions!$C:$C,"OUT"))</f>
        <v/>
      </c>
      <c r="I817" s="65" t="str">
        <f t="shared" si="62"/>
        <v/>
      </c>
      <c r="J817" s="59" t="str">
        <f t="shared" si="65"/>
        <v/>
      </c>
    </row>
    <row r="818" spans="4:10" ht="22.5" customHeight="1" x14ac:dyDescent="0.25">
      <c r="D818" s="59" t="str">
        <f t="shared" si="61"/>
        <v/>
      </c>
      <c r="E818" s="59" t="str">
        <f t="shared" si="63"/>
        <v/>
      </c>
      <c r="F818" s="59" t="str">
        <f t="shared" si="64"/>
        <v/>
      </c>
      <c r="G818" s="59" t="str">
        <f>IF($A818="","",
   SUMIFS(Transactions!$P:$P,
          Transactions!$G:$G,$A818,
          Transactions!$C:$C,"IN",
          Transactions!$Q:$Q,"Paid"))</f>
        <v/>
      </c>
      <c r="H818" s="59" t="str">
        <f>IF($A818="","",
   SUMIFS(Transactions!$P:$P,
          Transactions!$G:$G,$A818,
          Transactions!$C:$C,"OUT"))</f>
        <v/>
      </c>
      <c r="I818" s="65" t="str">
        <f t="shared" si="62"/>
        <v/>
      </c>
      <c r="J818" s="59" t="str">
        <f t="shared" si="65"/>
        <v/>
      </c>
    </row>
    <row r="819" spans="4:10" ht="22.5" customHeight="1" x14ac:dyDescent="0.25">
      <c r="D819" s="59" t="str">
        <f t="shared" si="61"/>
        <v/>
      </c>
      <c r="E819" s="59" t="str">
        <f t="shared" si="63"/>
        <v/>
      </c>
      <c r="F819" s="59" t="str">
        <f t="shared" si="64"/>
        <v/>
      </c>
      <c r="G819" s="59" t="str">
        <f>IF($A819="","",
   SUMIFS(Transactions!$P:$P,
          Transactions!$G:$G,$A819,
          Transactions!$C:$C,"IN",
          Transactions!$Q:$Q,"Paid"))</f>
        <v/>
      </c>
      <c r="H819" s="59" t="str">
        <f>IF($A819="","",
   SUMIFS(Transactions!$P:$P,
          Transactions!$G:$G,$A819,
          Transactions!$C:$C,"OUT"))</f>
        <v/>
      </c>
      <c r="I819" s="65" t="str">
        <f t="shared" si="62"/>
        <v/>
      </c>
      <c r="J819" s="59" t="str">
        <f t="shared" si="65"/>
        <v/>
      </c>
    </row>
    <row r="820" spans="4:10" ht="22.5" customHeight="1" x14ac:dyDescent="0.25">
      <c r="D820" s="59" t="str">
        <f t="shared" si="61"/>
        <v/>
      </c>
      <c r="E820" s="59" t="str">
        <f t="shared" si="63"/>
        <v/>
      </c>
      <c r="F820" s="59" t="str">
        <f t="shared" si="64"/>
        <v/>
      </c>
      <c r="G820" s="59" t="str">
        <f>IF($A820="","",
   SUMIFS(Transactions!$P:$P,
          Transactions!$G:$G,$A820,
          Transactions!$C:$C,"IN",
          Transactions!$Q:$Q,"Paid"))</f>
        <v/>
      </c>
      <c r="H820" s="59" t="str">
        <f>IF($A820="","",
   SUMIFS(Transactions!$P:$P,
          Transactions!$G:$G,$A820,
          Transactions!$C:$C,"OUT"))</f>
        <v/>
      </c>
      <c r="I820" s="65" t="str">
        <f t="shared" si="62"/>
        <v/>
      </c>
      <c r="J820" s="59" t="str">
        <f t="shared" si="65"/>
        <v/>
      </c>
    </row>
    <row r="821" spans="4:10" ht="22.5" customHeight="1" x14ac:dyDescent="0.25">
      <c r="D821" s="59" t="str">
        <f t="shared" si="61"/>
        <v/>
      </c>
      <c r="E821" s="59" t="str">
        <f t="shared" si="63"/>
        <v/>
      </c>
      <c r="F821" s="59" t="str">
        <f t="shared" si="64"/>
        <v/>
      </c>
      <c r="G821" s="59" t="str">
        <f>IF($A821="","",
   SUMIFS(Transactions!$P:$P,
          Transactions!$G:$G,$A821,
          Transactions!$C:$C,"IN",
          Transactions!$Q:$Q,"Paid"))</f>
        <v/>
      </c>
      <c r="H821" s="59" t="str">
        <f>IF($A821="","",
   SUMIFS(Transactions!$P:$P,
          Transactions!$G:$G,$A821,
          Transactions!$C:$C,"OUT"))</f>
        <v/>
      </c>
      <c r="I821" s="65" t="str">
        <f t="shared" si="62"/>
        <v/>
      </c>
      <c r="J821" s="59" t="str">
        <f t="shared" si="65"/>
        <v/>
      </c>
    </row>
    <row r="822" spans="4:10" ht="22.5" customHeight="1" x14ac:dyDescent="0.25">
      <c r="D822" s="59" t="str">
        <f t="shared" si="61"/>
        <v/>
      </c>
      <c r="E822" s="59" t="str">
        <f t="shared" si="63"/>
        <v/>
      </c>
      <c r="F822" s="59" t="str">
        <f t="shared" si="64"/>
        <v/>
      </c>
      <c r="G822" s="59" t="str">
        <f>IF($A822="","",
   SUMIFS(Transactions!$P:$P,
          Transactions!$G:$G,$A822,
          Transactions!$C:$C,"IN",
          Transactions!$Q:$Q,"Paid"))</f>
        <v/>
      </c>
      <c r="H822" s="59" t="str">
        <f>IF($A822="","",
   SUMIFS(Transactions!$P:$P,
          Transactions!$G:$G,$A822,
          Transactions!$C:$C,"OUT"))</f>
        <v/>
      </c>
      <c r="I822" s="65" t="str">
        <f t="shared" si="62"/>
        <v/>
      </c>
      <c r="J822" s="59" t="str">
        <f t="shared" si="65"/>
        <v/>
      </c>
    </row>
    <row r="823" spans="4:10" ht="22.5" customHeight="1" x14ac:dyDescent="0.25">
      <c r="D823" s="59" t="str">
        <f t="shared" si="61"/>
        <v/>
      </c>
      <c r="E823" s="59" t="str">
        <f t="shared" si="63"/>
        <v/>
      </c>
      <c r="F823" s="59" t="str">
        <f t="shared" si="64"/>
        <v/>
      </c>
      <c r="G823" s="59" t="str">
        <f>IF($A823="","",
   SUMIFS(Transactions!$P:$P,
          Transactions!$G:$G,$A823,
          Transactions!$C:$C,"IN",
          Transactions!$Q:$Q,"Paid"))</f>
        <v/>
      </c>
      <c r="H823" s="59" t="str">
        <f>IF($A823="","",
   SUMIFS(Transactions!$P:$P,
          Transactions!$G:$G,$A823,
          Transactions!$C:$C,"OUT"))</f>
        <v/>
      </c>
      <c r="I823" s="65" t="str">
        <f t="shared" si="62"/>
        <v/>
      </c>
      <c r="J823" s="59" t="str">
        <f t="shared" si="65"/>
        <v/>
      </c>
    </row>
    <row r="824" spans="4:10" ht="22.5" customHeight="1" x14ac:dyDescent="0.25">
      <c r="D824" s="59" t="str">
        <f t="shared" si="61"/>
        <v/>
      </c>
      <c r="E824" s="59" t="str">
        <f t="shared" si="63"/>
        <v/>
      </c>
      <c r="F824" s="59" t="str">
        <f t="shared" si="64"/>
        <v/>
      </c>
      <c r="G824" s="59" t="str">
        <f>IF($A824="","",
   SUMIFS(Transactions!$P:$P,
          Transactions!$G:$G,$A824,
          Transactions!$C:$C,"IN",
          Transactions!$Q:$Q,"Paid"))</f>
        <v/>
      </c>
      <c r="H824" s="59" t="str">
        <f>IF($A824="","",
   SUMIFS(Transactions!$P:$P,
          Transactions!$G:$G,$A824,
          Transactions!$C:$C,"OUT"))</f>
        <v/>
      </c>
      <c r="I824" s="65" t="str">
        <f t="shared" si="62"/>
        <v/>
      </c>
      <c r="J824" s="59" t="str">
        <f t="shared" si="65"/>
        <v/>
      </c>
    </row>
    <row r="825" spans="4:10" ht="22.5" customHeight="1" x14ac:dyDescent="0.25">
      <c r="D825" s="59" t="str">
        <f t="shared" si="61"/>
        <v/>
      </c>
      <c r="E825" s="59" t="str">
        <f t="shared" si="63"/>
        <v/>
      </c>
      <c r="F825" s="59" t="str">
        <f t="shared" si="64"/>
        <v/>
      </c>
      <c r="G825" s="59" t="str">
        <f>IF($A825="","",
   SUMIFS(Transactions!$P:$P,
          Transactions!$G:$G,$A825,
          Transactions!$C:$C,"IN",
          Transactions!$Q:$Q,"Paid"))</f>
        <v/>
      </c>
      <c r="H825" s="59" t="str">
        <f>IF($A825="","",
   SUMIFS(Transactions!$P:$P,
          Transactions!$G:$G,$A825,
          Transactions!$C:$C,"OUT"))</f>
        <v/>
      </c>
      <c r="I825" s="65" t="str">
        <f t="shared" si="62"/>
        <v/>
      </c>
      <c r="J825" s="59" t="str">
        <f t="shared" si="65"/>
        <v/>
      </c>
    </row>
    <row r="826" spans="4:10" ht="22.5" customHeight="1" x14ac:dyDescent="0.25">
      <c r="D826" s="59" t="str">
        <f t="shared" si="61"/>
        <v/>
      </c>
      <c r="E826" s="59" t="str">
        <f t="shared" si="63"/>
        <v/>
      </c>
      <c r="F826" s="59" t="str">
        <f t="shared" si="64"/>
        <v/>
      </c>
      <c r="G826" s="59" t="str">
        <f>IF($A826="","",
   SUMIFS(Transactions!$P:$P,
          Transactions!$G:$G,$A826,
          Transactions!$C:$C,"IN",
          Transactions!$Q:$Q,"Paid"))</f>
        <v/>
      </c>
      <c r="H826" s="59" t="str">
        <f>IF($A826="","",
   SUMIFS(Transactions!$P:$P,
          Transactions!$G:$G,$A826,
          Transactions!$C:$C,"OUT"))</f>
        <v/>
      </c>
      <c r="I826" s="65" t="str">
        <f t="shared" si="62"/>
        <v/>
      </c>
      <c r="J826" s="59" t="str">
        <f t="shared" si="65"/>
        <v/>
      </c>
    </row>
    <row r="827" spans="4:10" ht="22.5" customHeight="1" x14ac:dyDescent="0.25">
      <c r="D827" s="59" t="str">
        <f t="shared" si="61"/>
        <v/>
      </c>
      <c r="E827" s="59" t="str">
        <f t="shared" si="63"/>
        <v/>
      </c>
      <c r="F827" s="59" t="str">
        <f t="shared" si="64"/>
        <v/>
      </c>
      <c r="G827" s="59" t="str">
        <f>IF($A827="","",
   SUMIFS(Transactions!$P:$P,
          Transactions!$G:$G,$A827,
          Transactions!$C:$C,"IN",
          Transactions!$Q:$Q,"Paid"))</f>
        <v/>
      </c>
      <c r="H827" s="59" t="str">
        <f>IF($A827="","",
   SUMIFS(Transactions!$P:$P,
          Transactions!$G:$G,$A827,
          Transactions!$C:$C,"OUT"))</f>
        <v/>
      </c>
      <c r="I827" s="65" t="str">
        <f t="shared" si="62"/>
        <v/>
      </c>
      <c r="J827" s="59" t="str">
        <f t="shared" si="65"/>
        <v/>
      </c>
    </row>
    <row r="828" spans="4:10" ht="22.5" customHeight="1" x14ac:dyDescent="0.25">
      <c r="D828" s="59" t="str">
        <f t="shared" si="61"/>
        <v/>
      </c>
      <c r="E828" s="59" t="str">
        <f t="shared" si="63"/>
        <v/>
      </c>
      <c r="F828" s="59" t="str">
        <f t="shared" si="64"/>
        <v/>
      </c>
      <c r="G828" s="59" t="str">
        <f>IF($A828="","",
   SUMIFS(Transactions!$P:$P,
          Transactions!$G:$G,$A828,
          Transactions!$C:$C,"IN",
          Transactions!$Q:$Q,"Paid"))</f>
        <v/>
      </c>
      <c r="H828" s="59" t="str">
        <f>IF($A828="","",
   SUMIFS(Transactions!$P:$P,
          Transactions!$G:$G,$A828,
          Transactions!$C:$C,"OUT"))</f>
        <v/>
      </c>
      <c r="I828" s="65" t="str">
        <f t="shared" si="62"/>
        <v/>
      </c>
      <c r="J828" s="59" t="str">
        <f t="shared" si="65"/>
        <v/>
      </c>
    </row>
    <row r="829" spans="4:10" ht="22.5" customHeight="1" x14ac:dyDescent="0.25">
      <c r="D829" s="59" t="str">
        <f t="shared" si="61"/>
        <v/>
      </c>
      <c r="E829" s="59" t="str">
        <f t="shared" si="63"/>
        <v/>
      </c>
      <c r="F829" s="59" t="str">
        <f t="shared" si="64"/>
        <v/>
      </c>
      <c r="G829" s="59" t="str">
        <f>IF($A829="","",
   SUMIFS(Transactions!$P:$P,
          Transactions!$G:$G,$A829,
          Transactions!$C:$C,"IN",
          Transactions!$Q:$Q,"Paid"))</f>
        <v/>
      </c>
      <c r="H829" s="59" t="str">
        <f>IF($A829="","",
   SUMIFS(Transactions!$P:$P,
          Transactions!$G:$G,$A829,
          Transactions!$C:$C,"OUT"))</f>
        <v/>
      </c>
      <c r="I829" s="65" t="str">
        <f t="shared" si="62"/>
        <v/>
      </c>
      <c r="J829" s="59" t="str">
        <f t="shared" si="65"/>
        <v/>
      </c>
    </row>
    <row r="830" spans="4:10" ht="22.5" customHeight="1" x14ac:dyDescent="0.25">
      <c r="D830" s="59" t="str">
        <f t="shared" si="61"/>
        <v/>
      </c>
      <c r="E830" s="59" t="str">
        <f t="shared" si="63"/>
        <v/>
      </c>
      <c r="F830" s="59" t="str">
        <f t="shared" si="64"/>
        <v/>
      </c>
      <c r="G830" s="59" t="str">
        <f>IF($A830="","",
   SUMIFS(Transactions!$P:$P,
          Transactions!$G:$G,$A830,
          Transactions!$C:$C,"IN",
          Transactions!$Q:$Q,"Paid"))</f>
        <v/>
      </c>
      <c r="H830" s="59" t="str">
        <f>IF($A830="","",
   SUMIFS(Transactions!$P:$P,
          Transactions!$G:$G,$A830,
          Transactions!$C:$C,"OUT"))</f>
        <v/>
      </c>
      <c r="I830" s="65" t="str">
        <f t="shared" si="62"/>
        <v/>
      </c>
      <c r="J830" s="59" t="str">
        <f t="shared" si="65"/>
        <v/>
      </c>
    </row>
    <row r="831" spans="4:10" ht="22.5" customHeight="1" x14ac:dyDescent="0.25">
      <c r="D831" s="59" t="str">
        <f t="shared" si="61"/>
        <v/>
      </c>
      <c r="E831" s="59" t="str">
        <f t="shared" si="63"/>
        <v/>
      </c>
      <c r="F831" s="59" t="str">
        <f t="shared" si="64"/>
        <v/>
      </c>
      <c r="G831" s="59" t="str">
        <f>IF($A831="","",
   SUMIFS(Transactions!$P:$P,
          Transactions!$G:$G,$A831,
          Transactions!$C:$C,"IN",
          Transactions!$Q:$Q,"Paid"))</f>
        <v/>
      </c>
      <c r="H831" s="59" t="str">
        <f>IF($A831="","",
   SUMIFS(Transactions!$P:$P,
          Transactions!$G:$G,$A831,
          Transactions!$C:$C,"OUT"))</f>
        <v/>
      </c>
      <c r="I831" s="65" t="str">
        <f t="shared" si="62"/>
        <v/>
      </c>
      <c r="J831" s="59" t="str">
        <f t="shared" si="65"/>
        <v/>
      </c>
    </row>
    <row r="832" spans="4:10" ht="22.5" customHeight="1" x14ac:dyDescent="0.25">
      <c r="D832" s="59" t="str">
        <f t="shared" si="61"/>
        <v/>
      </c>
      <c r="E832" s="59" t="str">
        <f t="shared" si="63"/>
        <v/>
      </c>
      <c r="F832" s="59" t="str">
        <f t="shared" si="64"/>
        <v/>
      </c>
      <c r="G832" s="59" t="str">
        <f>IF($A832="","",
   SUMIFS(Transactions!$P:$P,
          Transactions!$G:$G,$A832,
          Transactions!$C:$C,"IN",
          Transactions!$Q:$Q,"Paid"))</f>
        <v/>
      </c>
      <c r="H832" s="59" t="str">
        <f>IF($A832="","",
   SUMIFS(Transactions!$P:$P,
          Transactions!$G:$G,$A832,
          Transactions!$C:$C,"OUT"))</f>
        <v/>
      </c>
      <c r="I832" s="65" t="str">
        <f t="shared" si="62"/>
        <v/>
      </c>
      <c r="J832" s="59" t="str">
        <f t="shared" si="65"/>
        <v/>
      </c>
    </row>
    <row r="833" spans="4:10" ht="22.5" customHeight="1" x14ac:dyDescent="0.25">
      <c r="D833" s="59" t="str">
        <f t="shared" si="61"/>
        <v/>
      </c>
      <c r="E833" s="59" t="str">
        <f t="shared" si="63"/>
        <v/>
      </c>
      <c r="F833" s="59" t="str">
        <f t="shared" si="64"/>
        <v/>
      </c>
      <c r="G833" s="59" t="str">
        <f>IF($A833="","",
   SUMIFS(Transactions!$P:$P,
          Transactions!$G:$G,$A833,
          Transactions!$C:$C,"IN",
          Transactions!$Q:$Q,"Paid"))</f>
        <v/>
      </c>
      <c r="H833" s="59" t="str">
        <f>IF($A833="","",
   SUMIFS(Transactions!$P:$P,
          Transactions!$G:$G,$A833,
          Transactions!$C:$C,"OUT"))</f>
        <v/>
      </c>
      <c r="I833" s="65" t="str">
        <f t="shared" si="62"/>
        <v/>
      </c>
      <c r="J833" s="59" t="str">
        <f t="shared" si="65"/>
        <v/>
      </c>
    </row>
    <row r="834" spans="4:10" ht="22.5" customHeight="1" x14ac:dyDescent="0.25">
      <c r="D834" s="59" t="str">
        <f t="shared" si="61"/>
        <v/>
      </c>
      <c r="E834" s="59" t="str">
        <f t="shared" si="63"/>
        <v/>
      </c>
      <c r="F834" s="59" t="str">
        <f t="shared" si="64"/>
        <v/>
      </c>
      <c r="G834" s="59" t="str">
        <f>IF($A834="","",
   SUMIFS(Transactions!$P:$P,
          Transactions!$G:$G,$A834,
          Transactions!$C:$C,"IN",
          Transactions!$Q:$Q,"Paid"))</f>
        <v/>
      </c>
      <c r="H834" s="59" t="str">
        <f>IF($A834="","",
   SUMIFS(Transactions!$P:$P,
          Transactions!$G:$G,$A834,
          Transactions!$C:$C,"OUT"))</f>
        <v/>
      </c>
      <c r="I834" s="65" t="str">
        <f t="shared" si="62"/>
        <v/>
      </c>
      <c r="J834" s="59" t="str">
        <f t="shared" si="65"/>
        <v/>
      </c>
    </row>
    <row r="835" spans="4:10" ht="22.5" customHeight="1" x14ac:dyDescent="0.25">
      <c r="D835" s="59" t="str">
        <f t="shared" ref="D835:D898" si="66">IF(C835="","",ROUND(C835*0.15,2))</f>
        <v/>
      </c>
      <c r="E835" s="59" t="str">
        <f t="shared" si="63"/>
        <v/>
      </c>
      <c r="F835" s="59" t="str">
        <f t="shared" si="64"/>
        <v/>
      </c>
      <c r="G835" s="59" t="str">
        <f>IF($A835="","",
   SUMIFS(Transactions!$P:$P,
          Transactions!$G:$G,$A835,
          Transactions!$C:$C,"IN",
          Transactions!$Q:$Q,"Paid"))</f>
        <v/>
      </c>
      <c r="H835" s="59" t="str">
        <f>IF($A835="","",
   SUMIFS(Transactions!$P:$P,
          Transactions!$G:$G,$A835,
          Transactions!$C:$C,"OUT"))</f>
        <v/>
      </c>
      <c r="I835" s="65" t="str">
        <f t="shared" ref="I835:I898" si="67">IF(C835="","",C835-H835)</f>
        <v/>
      </c>
      <c r="J835" s="59" t="str">
        <f t="shared" si="65"/>
        <v/>
      </c>
    </row>
    <row r="836" spans="4:10" ht="22.5" customHeight="1" x14ac:dyDescent="0.25">
      <c r="D836" s="59" t="str">
        <f t="shared" si="66"/>
        <v/>
      </c>
      <c r="E836" s="59" t="str">
        <f t="shared" ref="E836:E899" si="68">IF(C836="","",C836+D836)</f>
        <v/>
      </c>
      <c r="F836" s="59" t="str">
        <f t="shared" ref="F836:F899" si="69">IF(E836="","",E836*0.5)</f>
        <v/>
      </c>
      <c r="G836" s="59" t="str">
        <f>IF($A836="","",
   SUMIFS(Transactions!$P:$P,
          Transactions!$G:$G,$A836,
          Transactions!$C:$C,"IN",
          Transactions!$Q:$Q,"Paid"))</f>
        <v/>
      </c>
      <c r="H836" s="59" t="str">
        <f>IF($A836="","",
   SUMIFS(Transactions!$P:$P,
          Transactions!$G:$G,$A836,
          Transactions!$C:$C,"OUT"))</f>
        <v/>
      </c>
      <c r="I836" s="65" t="str">
        <f t="shared" si="67"/>
        <v/>
      </c>
      <c r="J836" s="59" t="str">
        <f t="shared" ref="J836:J899" si="70">IF(E836="","",E836-G836)</f>
        <v/>
      </c>
    </row>
    <row r="837" spans="4:10" ht="22.5" customHeight="1" x14ac:dyDescent="0.25">
      <c r="D837" s="59" t="str">
        <f t="shared" si="66"/>
        <v/>
      </c>
      <c r="E837" s="59" t="str">
        <f t="shared" si="68"/>
        <v/>
      </c>
      <c r="F837" s="59" t="str">
        <f t="shared" si="69"/>
        <v/>
      </c>
      <c r="G837" s="59" t="str">
        <f>IF($A837="","",
   SUMIFS(Transactions!$P:$P,
          Transactions!$G:$G,$A837,
          Transactions!$C:$C,"IN",
          Transactions!$Q:$Q,"Paid"))</f>
        <v/>
      </c>
      <c r="H837" s="59" t="str">
        <f>IF($A837="","",
   SUMIFS(Transactions!$P:$P,
          Transactions!$G:$G,$A837,
          Transactions!$C:$C,"OUT"))</f>
        <v/>
      </c>
      <c r="I837" s="65" t="str">
        <f t="shared" si="67"/>
        <v/>
      </c>
      <c r="J837" s="59" t="str">
        <f t="shared" si="70"/>
        <v/>
      </c>
    </row>
    <row r="838" spans="4:10" ht="22.5" customHeight="1" x14ac:dyDescent="0.25">
      <c r="D838" s="59" t="str">
        <f t="shared" si="66"/>
        <v/>
      </c>
      <c r="E838" s="59" t="str">
        <f t="shared" si="68"/>
        <v/>
      </c>
      <c r="F838" s="59" t="str">
        <f t="shared" si="69"/>
        <v/>
      </c>
      <c r="G838" s="59" t="str">
        <f>IF($A838="","",
   SUMIFS(Transactions!$P:$P,
          Transactions!$G:$G,$A838,
          Transactions!$C:$C,"IN",
          Transactions!$Q:$Q,"Paid"))</f>
        <v/>
      </c>
      <c r="H838" s="59" t="str">
        <f>IF($A838="","",
   SUMIFS(Transactions!$P:$P,
          Transactions!$G:$G,$A838,
          Transactions!$C:$C,"OUT"))</f>
        <v/>
      </c>
      <c r="I838" s="65" t="str">
        <f t="shared" si="67"/>
        <v/>
      </c>
      <c r="J838" s="59" t="str">
        <f t="shared" si="70"/>
        <v/>
      </c>
    </row>
    <row r="839" spans="4:10" ht="22.5" customHeight="1" x14ac:dyDescent="0.25">
      <c r="D839" s="59" t="str">
        <f t="shared" si="66"/>
        <v/>
      </c>
      <c r="E839" s="59" t="str">
        <f t="shared" si="68"/>
        <v/>
      </c>
      <c r="F839" s="59" t="str">
        <f t="shared" si="69"/>
        <v/>
      </c>
      <c r="G839" s="59" t="str">
        <f>IF($A839="","",
   SUMIFS(Transactions!$P:$P,
          Transactions!$G:$G,$A839,
          Transactions!$C:$C,"IN",
          Transactions!$Q:$Q,"Paid"))</f>
        <v/>
      </c>
      <c r="H839" s="59" t="str">
        <f>IF($A839="","",
   SUMIFS(Transactions!$P:$P,
          Transactions!$G:$G,$A839,
          Transactions!$C:$C,"OUT"))</f>
        <v/>
      </c>
      <c r="I839" s="65" t="str">
        <f t="shared" si="67"/>
        <v/>
      </c>
      <c r="J839" s="59" t="str">
        <f t="shared" si="70"/>
        <v/>
      </c>
    </row>
    <row r="840" spans="4:10" ht="22.5" customHeight="1" x14ac:dyDescent="0.25">
      <c r="D840" s="59" t="str">
        <f t="shared" si="66"/>
        <v/>
      </c>
      <c r="E840" s="59" t="str">
        <f t="shared" si="68"/>
        <v/>
      </c>
      <c r="F840" s="59" t="str">
        <f t="shared" si="69"/>
        <v/>
      </c>
      <c r="G840" s="59" t="str">
        <f>IF($A840="","",
   SUMIFS(Transactions!$P:$P,
          Transactions!$G:$G,$A840,
          Transactions!$C:$C,"IN",
          Transactions!$Q:$Q,"Paid"))</f>
        <v/>
      </c>
      <c r="H840" s="59" t="str">
        <f>IF($A840="","",
   SUMIFS(Transactions!$P:$P,
          Transactions!$G:$G,$A840,
          Transactions!$C:$C,"OUT"))</f>
        <v/>
      </c>
      <c r="I840" s="65" t="str">
        <f t="shared" si="67"/>
        <v/>
      </c>
      <c r="J840" s="59" t="str">
        <f t="shared" si="70"/>
        <v/>
      </c>
    </row>
    <row r="841" spans="4:10" ht="22.5" customHeight="1" x14ac:dyDescent="0.25">
      <c r="D841" s="59" t="str">
        <f t="shared" si="66"/>
        <v/>
      </c>
      <c r="E841" s="59" t="str">
        <f t="shared" si="68"/>
        <v/>
      </c>
      <c r="F841" s="59" t="str">
        <f t="shared" si="69"/>
        <v/>
      </c>
      <c r="G841" s="59" t="str">
        <f>IF($A841="","",
   SUMIFS(Transactions!$P:$P,
          Transactions!$G:$G,$A841,
          Transactions!$C:$C,"IN",
          Transactions!$Q:$Q,"Paid"))</f>
        <v/>
      </c>
      <c r="H841" s="59" t="str">
        <f>IF($A841="","",
   SUMIFS(Transactions!$P:$P,
          Transactions!$G:$G,$A841,
          Transactions!$C:$C,"OUT"))</f>
        <v/>
      </c>
      <c r="I841" s="65" t="str">
        <f t="shared" si="67"/>
        <v/>
      </c>
      <c r="J841" s="59" t="str">
        <f t="shared" si="70"/>
        <v/>
      </c>
    </row>
    <row r="842" spans="4:10" ht="22.5" customHeight="1" x14ac:dyDescent="0.25">
      <c r="D842" s="59" t="str">
        <f t="shared" si="66"/>
        <v/>
      </c>
      <c r="E842" s="59" t="str">
        <f t="shared" si="68"/>
        <v/>
      </c>
      <c r="F842" s="59" t="str">
        <f t="shared" si="69"/>
        <v/>
      </c>
      <c r="G842" s="59" t="str">
        <f>IF($A842="","",
   SUMIFS(Transactions!$P:$P,
          Transactions!$G:$G,$A842,
          Transactions!$C:$C,"IN",
          Transactions!$Q:$Q,"Paid"))</f>
        <v/>
      </c>
      <c r="H842" s="59" t="str">
        <f>IF($A842="","",
   SUMIFS(Transactions!$P:$P,
          Transactions!$G:$G,$A842,
          Transactions!$C:$C,"OUT"))</f>
        <v/>
      </c>
      <c r="I842" s="65" t="str">
        <f t="shared" si="67"/>
        <v/>
      </c>
      <c r="J842" s="59" t="str">
        <f t="shared" si="70"/>
        <v/>
      </c>
    </row>
    <row r="843" spans="4:10" ht="22.5" customHeight="1" x14ac:dyDescent="0.25">
      <c r="D843" s="59" t="str">
        <f t="shared" si="66"/>
        <v/>
      </c>
      <c r="E843" s="59" t="str">
        <f t="shared" si="68"/>
        <v/>
      </c>
      <c r="F843" s="59" t="str">
        <f t="shared" si="69"/>
        <v/>
      </c>
      <c r="G843" s="59" t="str">
        <f>IF($A843="","",
   SUMIFS(Transactions!$P:$P,
          Transactions!$G:$G,$A843,
          Transactions!$C:$C,"IN",
          Transactions!$Q:$Q,"Paid"))</f>
        <v/>
      </c>
      <c r="H843" s="59" t="str">
        <f>IF($A843="","",
   SUMIFS(Transactions!$P:$P,
          Transactions!$G:$G,$A843,
          Transactions!$C:$C,"OUT"))</f>
        <v/>
      </c>
      <c r="I843" s="65" t="str">
        <f t="shared" si="67"/>
        <v/>
      </c>
      <c r="J843" s="59" t="str">
        <f t="shared" si="70"/>
        <v/>
      </c>
    </row>
    <row r="844" spans="4:10" ht="22.5" customHeight="1" x14ac:dyDescent="0.25">
      <c r="D844" s="59" t="str">
        <f t="shared" si="66"/>
        <v/>
      </c>
      <c r="E844" s="59" t="str">
        <f t="shared" si="68"/>
        <v/>
      </c>
      <c r="F844" s="59" t="str">
        <f t="shared" si="69"/>
        <v/>
      </c>
      <c r="G844" s="59" t="str">
        <f>IF($A844="","",
   SUMIFS(Transactions!$P:$P,
          Transactions!$G:$G,$A844,
          Transactions!$C:$C,"IN",
          Transactions!$Q:$Q,"Paid"))</f>
        <v/>
      </c>
      <c r="H844" s="59" t="str">
        <f>IF($A844="","",
   SUMIFS(Transactions!$P:$P,
          Transactions!$G:$G,$A844,
          Transactions!$C:$C,"OUT"))</f>
        <v/>
      </c>
      <c r="I844" s="65" t="str">
        <f t="shared" si="67"/>
        <v/>
      </c>
      <c r="J844" s="59" t="str">
        <f t="shared" si="70"/>
        <v/>
      </c>
    </row>
    <row r="845" spans="4:10" ht="22.5" customHeight="1" x14ac:dyDescent="0.25">
      <c r="D845" s="59" t="str">
        <f t="shared" si="66"/>
        <v/>
      </c>
      <c r="E845" s="59" t="str">
        <f t="shared" si="68"/>
        <v/>
      </c>
      <c r="F845" s="59" t="str">
        <f t="shared" si="69"/>
        <v/>
      </c>
      <c r="G845" s="59" t="str">
        <f>IF($A845="","",
   SUMIFS(Transactions!$P:$P,
          Transactions!$G:$G,$A845,
          Transactions!$C:$C,"IN",
          Transactions!$Q:$Q,"Paid"))</f>
        <v/>
      </c>
      <c r="H845" s="59" t="str">
        <f>IF($A845="","",
   SUMIFS(Transactions!$P:$P,
          Transactions!$G:$G,$A845,
          Transactions!$C:$C,"OUT"))</f>
        <v/>
      </c>
      <c r="I845" s="65" t="str">
        <f t="shared" si="67"/>
        <v/>
      </c>
      <c r="J845" s="59" t="str">
        <f t="shared" si="70"/>
        <v/>
      </c>
    </row>
    <row r="846" spans="4:10" ht="22.5" customHeight="1" x14ac:dyDescent="0.25">
      <c r="D846" s="59" t="str">
        <f t="shared" si="66"/>
        <v/>
      </c>
      <c r="E846" s="59" t="str">
        <f t="shared" si="68"/>
        <v/>
      </c>
      <c r="F846" s="59" t="str">
        <f t="shared" si="69"/>
        <v/>
      </c>
      <c r="G846" s="59" t="str">
        <f>IF($A846="","",
   SUMIFS(Transactions!$P:$P,
          Transactions!$G:$G,$A846,
          Transactions!$C:$C,"IN",
          Transactions!$Q:$Q,"Paid"))</f>
        <v/>
      </c>
      <c r="H846" s="59" t="str">
        <f>IF($A846="","",
   SUMIFS(Transactions!$P:$P,
          Transactions!$G:$G,$A846,
          Transactions!$C:$C,"OUT"))</f>
        <v/>
      </c>
      <c r="I846" s="65" t="str">
        <f t="shared" si="67"/>
        <v/>
      </c>
      <c r="J846" s="59" t="str">
        <f t="shared" si="70"/>
        <v/>
      </c>
    </row>
    <row r="847" spans="4:10" ht="22.5" customHeight="1" x14ac:dyDescent="0.25">
      <c r="D847" s="59" t="str">
        <f t="shared" si="66"/>
        <v/>
      </c>
      <c r="E847" s="59" t="str">
        <f t="shared" si="68"/>
        <v/>
      </c>
      <c r="F847" s="59" t="str">
        <f t="shared" si="69"/>
        <v/>
      </c>
      <c r="G847" s="59" t="str">
        <f>IF($A847="","",
   SUMIFS(Transactions!$P:$P,
          Transactions!$G:$G,$A847,
          Transactions!$C:$C,"IN",
          Transactions!$Q:$Q,"Paid"))</f>
        <v/>
      </c>
      <c r="H847" s="59" t="str">
        <f>IF($A847="","",
   SUMIFS(Transactions!$P:$P,
          Transactions!$G:$G,$A847,
          Transactions!$C:$C,"OUT"))</f>
        <v/>
      </c>
      <c r="I847" s="65" t="str">
        <f t="shared" si="67"/>
        <v/>
      </c>
      <c r="J847" s="59" t="str">
        <f t="shared" si="70"/>
        <v/>
      </c>
    </row>
    <row r="848" spans="4:10" ht="22.5" customHeight="1" x14ac:dyDescent="0.25">
      <c r="D848" s="59" t="str">
        <f t="shared" si="66"/>
        <v/>
      </c>
      <c r="E848" s="59" t="str">
        <f t="shared" si="68"/>
        <v/>
      </c>
      <c r="F848" s="59" t="str">
        <f t="shared" si="69"/>
        <v/>
      </c>
      <c r="G848" s="59" t="str">
        <f>IF($A848="","",
   SUMIFS(Transactions!$P:$P,
          Transactions!$G:$G,$A848,
          Transactions!$C:$C,"IN",
          Transactions!$Q:$Q,"Paid"))</f>
        <v/>
      </c>
      <c r="H848" s="59" t="str">
        <f>IF($A848="","",
   SUMIFS(Transactions!$P:$P,
          Transactions!$G:$G,$A848,
          Transactions!$C:$C,"OUT"))</f>
        <v/>
      </c>
      <c r="I848" s="65" t="str">
        <f t="shared" si="67"/>
        <v/>
      </c>
      <c r="J848" s="59" t="str">
        <f t="shared" si="70"/>
        <v/>
      </c>
    </row>
    <row r="849" spans="4:10" ht="22.5" customHeight="1" x14ac:dyDescent="0.25">
      <c r="D849" s="59" t="str">
        <f t="shared" si="66"/>
        <v/>
      </c>
      <c r="E849" s="59" t="str">
        <f t="shared" si="68"/>
        <v/>
      </c>
      <c r="F849" s="59" t="str">
        <f t="shared" si="69"/>
        <v/>
      </c>
      <c r="G849" s="59" t="str">
        <f>IF($A849="","",
   SUMIFS(Transactions!$P:$P,
          Transactions!$G:$G,$A849,
          Transactions!$C:$C,"IN",
          Transactions!$Q:$Q,"Paid"))</f>
        <v/>
      </c>
      <c r="H849" s="59" t="str">
        <f>IF($A849="","",
   SUMIFS(Transactions!$P:$P,
          Transactions!$G:$G,$A849,
          Transactions!$C:$C,"OUT"))</f>
        <v/>
      </c>
      <c r="I849" s="65" t="str">
        <f t="shared" si="67"/>
        <v/>
      </c>
      <c r="J849" s="59" t="str">
        <f t="shared" si="70"/>
        <v/>
      </c>
    </row>
    <row r="850" spans="4:10" ht="22.5" customHeight="1" x14ac:dyDescent="0.25">
      <c r="D850" s="59" t="str">
        <f t="shared" si="66"/>
        <v/>
      </c>
      <c r="E850" s="59" t="str">
        <f t="shared" si="68"/>
        <v/>
      </c>
      <c r="F850" s="59" t="str">
        <f t="shared" si="69"/>
        <v/>
      </c>
      <c r="G850" s="59" t="str">
        <f>IF($A850="","",
   SUMIFS(Transactions!$P:$P,
          Transactions!$G:$G,$A850,
          Transactions!$C:$C,"IN",
          Transactions!$Q:$Q,"Paid"))</f>
        <v/>
      </c>
      <c r="H850" s="59" t="str">
        <f>IF($A850="","",
   SUMIFS(Transactions!$P:$P,
          Transactions!$G:$G,$A850,
          Transactions!$C:$C,"OUT"))</f>
        <v/>
      </c>
      <c r="I850" s="65" t="str">
        <f t="shared" si="67"/>
        <v/>
      </c>
      <c r="J850" s="59" t="str">
        <f t="shared" si="70"/>
        <v/>
      </c>
    </row>
    <row r="851" spans="4:10" ht="22.5" customHeight="1" x14ac:dyDescent="0.25">
      <c r="D851" s="59" t="str">
        <f t="shared" si="66"/>
        <v/>
      </c>
      <c r="E851" s="59" t="str">
        <f t="shared" si="68"/>
        <v/>
      </c>
      <c r="F851" s="59" t="str">
        <f t="shared" si="69"/>
        <v/>
      </c>
      <c r="G851" s="59" t="str">
        <f>IF($A851="","",
   SUMIFS(Transactions!$P:$P,
          Transactions!$G:$G,$A851,
          Transactions!$C:$C,"IN",
          Transactions!$Q:$Q,"Paid"))</f>
        <v/>
      </c>
      <c r="H851" s="59" t="str">
        <f>IF($A851="","",
   SUMIFS(Transactions!$P:$P,
          Transactions!$G:$G,$A851,
          Transactions!$C:$C,"OUT"))</f>
        <v/>
      </c>
      <c r="I851" s="65" t="str">
        <f t="shared" si="67"/>
        <v/>
      </c>
      <c r="J851" s="59" t="str">
        <f t="shared" si="70"/>
        <v/>
      </c>
    </row>
    <row r="852" spans="4:10" ht="22.5" customHeight="1" x14ac:dyDescent="0.25">
      <c r="D852" s="59" t="str">
        <f t="shared" si="66"/>
        <v/>
      </c>
      <c r="E852" s="59" t="str">
        <f t="shared" si="68"/>
        <v/>
      </c>
      <c r="F852" s="59" t="str">
        <f t="shared" si="69"/>
        <v/>
      </c>
      <c r="G852" s="59" t="str">
        <f>IF($A852="","",
   SUMIFS(Transactions!$P:$P,
          Transactions!$G:$G,$A852,
          Transactions!$C:$C,"IN",
          Transactions!$Q:$Q,"Paid"))</f>
        <v/>
      </c>
      <c r="H852" s="59" t="str">
        <f>IF($A852="","",
   SUMIFS(Transactions!$P:$P,
          Transactions!$G:$G,$A852,
          Transactions!$C:$C,"OUT"))</f>
        <v/>
      </c>
      <c r="I852" s="65" t="str">
        <f t="shared" si="67"/>
        <v/>
      </c>
      <c r="J852" s="59" t="str">
        <f t="shared" si="70"/>
        <v/>
      </c>
    </row>
    <row r="853" spans="4:10" ht="22.5" customHeight="1" x14ac:dyDescent="0.25">
      <c r="D853" s="59" t="str">
        <f t="shared" si="66"/>
        <v/>
      </c>
      <c r="E853" s="59" t="str">
        <f t="shared" si="68"/>
        <v/>
      </c>
      <c r="F853" s="59" t="str">
        <f t="shared" si="69"/>
        <v/>
      </c>
      <c r="G853" s="59" t="str">
        <f>IF($A853="","",
   SUMIFS(Transactions!$P:$P,
          Transactions!$G:$G,$A853,
          Transactions!$C:$C,"IN",
          Transactions!$Q:$Q,"Paid"))</f>
        <v/>
      </c>
      <c r="H853" s="59" t="str">
        <f>IF($A853="","",
   SUMIFS(Transactions!$P:$P,
          Transactions!$G:$G,$A853,
          Transactions!$C:$C,"OUT"))</f>
        <v/>
      </c>
      <c r="I853" s="65" t="str">
        <f t="shared" si="67"/>
        <v/>
      </c>
      <c r="J853" s="59" t="str">
        <f t="shared" si="70"/>
        <v/>
      </c>
    </row>
    <row r="854" spans="4:10" ht="22.5" customHeight="1" x14ac:dyDescent="0.25">
      <c r="D854" s="59" t="str">
        <f t="shared" si="66"/>
        <v/>
      </c>
      <c r="E854" s="59" t="str">
        <f t="shared" si="68"/>
        <v/>
      </c>
      <c r="F854" s="59" t="str">
        <f t="shared" si="69"/>
        <v/>
      </c>
      <c r="G854" s="59" t="str">
        <f>IF($A854="","",
   SUMIFS(Transactions!$P:$P,
          Transactions!$G:$G,$A854,
          Transactions!$C:$C,"IN",
          Transactions!$Q:$Q,"Paid"))</f>
        <v/>
      </c>
      <c r="H854" s="59" t="str">
        <f>IF($A854="","",
   SUMIFS(Transactions!$P:$P,
          Transactions!$G:$G,$A854,
          Transactions!$C:$C,"OUT"))</f>
        <v/>
      </c>
      <c r="I854" s="65" t="str">
        <f t="shared" si="67"/>
        <v/>
      </c>
      <c r="J854" s="59" t="str">
        <f t="shared" si="70"/>
        <v/>
      </c>
    </row>
    <row r="855" spans="4:10" ht="22.5" customHeight="1" x14ac:dyDescent="0.25">
      <c r="D855" s="59" t="str">
        <f t="shared" si="66"/>
        <v/>
      </c>
      <c r="E855" s="59" t="str">
        <f t="shared" si="68"/>
        <v/>
      </c>
      <c r="F855" s="59" t="str">
        <f t="shared" si="69"/>
        <v/>
      </c>
      <c r="G855" s="59" t="str">
        <f>IF($A855="","",
   SUMIFS(Transactions!$P:$P,
          Transactions!$G:$G,$A855,
          Transactions!$C:$C,"IN",
          Transactions!$Q:$Q,"Paid"))</f>
        <v/>
      </c>
      <c r="H855" s="59" t="str">
        <f>IF($A855="","",
   SUMIFS(Transactions!$P:$P,
          Transactions!$G:$G,$A855,
          Transactions!$C:$C,"OUT"))</f>
        <v/>
      </c>
      <c r="I855" s="65" t="str">
        <f t="shared" si="67"/>
        <v/>
      </c>
      <c r="J855" s="59" t="str">
        <f t="shared" si="70"/>
        <v/>
      </c>
    </row>
    <row r="856" spans="4:10" ht="22.5" customHeight="1" x14ac:dyDescent="0.25">
      <c r="D856" s="59" t="str">
        <f t="shared" si="66"/>
        <v/>
      </c>
      <c r="E856" s="59" t="str">
        <f t="shared" si="68"/>
        <v/>
      </c>
      <c r="F856" s="59" t="str">
        <f t="shared" si="69"/>
        <v/>
      </c>
      <c r="G856" s="59" t="str">
        <f>IF($A856="","",
   SUMIFS(Transactions!$P:$P,
          Transactions!$G:$G,$A856,
          Transactions!$C:$C,"IN",
          Transactions!$Q:$Q,"Paid"))</f>
        <v/>
      </c>
      <c r="H856" s="59" t="str">
        <f>IF($A856="","",
   SUMIFS(Transactions!$P:$P,
          Transactions!$G:$G,$A856,
          Transactions!$C:$C,"OUT"))</f>
        <v/>
      </c>
      <c r="I856" s="65" t="str">
        <f t="shared" si="67"/>
        <v/>
      </c>
      <c r="J856" s="59" t="str">
        <f t="shared" si="70"/>
        <v/>
      </c>
    </row>
    <row r="857" spans="4:10" ht="22.5" customHeight="1" x14ac:dyDescent="0.25">
      <c r="D857" s="59" t="str">
        <f t="shared" si="66"/>
        <v/>
      </c>
      <c r="E857" s="59" t="str">
        <f t="shared" si="68"/>
        <v/>
      </c>
      <c r="F857" s="59" t="str">
        <f t="shared" si="69"/>
        <v/>
      </c>
      <c r="G857" s="59" t="str">
        <f>IF($A857="","",
   SUMIFS(Transactions!$P:$P,
          Transactions!$G:$G,$A857,
          Transactions!$C:$C,"IN",
          Transactions!$Q:$Q,"Paid"))</f>
        <v/>
      </c>
      <c r="H857" s="59" t="str">
        <f>IF($A857="","",
   SUMIFS(Transactions!$P:$P,
          Transactions!$G:$G,$A857,
          Transactions!$C:$C,"OUT"))</f>
        <v/>
      </c>
      <c r="I857" s="65" t="str">
        <f t="shared" si="67"/>
        <v/>
      </c>
      <c r="J857" s="59" t="str">
        <f t="shared" si="70"/>
        <v/>
      </c>
    </row>
    <row r="858" spans="4:10" ht="22.5" customHeight="1" x14ac:dyDescent="0.25">
      <c r="D858" s="59" t="str">
        <f t="shared" si="66"/>
        <v/>
      </c>
      <c r="E858" s="59" t="str">
        <f t="shared" si="68"/>
        <v/>
      </c>
      <c r="F858" s="59" t="str">
        <f t="shared" si="69"/>
        <v/>
      </c>
      <c r="G858" s="59" t="str">
        <f>IF($A858="","",
   SUMIFS(Transactions!$P:$P,
          Transactions!$G:$G,$A858,
          Transactions!$C:$C,"IN",
          Transactions!$Q:$Q,"Paid"))</f>
        <v/>
      </c>
      <c r="H858" s="59" t="str">
        <f>IF($A858="","",
   SUMIFS(Transactions!$P:$P,
          Transactions!$G:$G,$A858,
          Transactions!$C:$C,"OUT"))</f>
        <v/>
      </c>
      <c r="I858" s="65" t="str">
        <f t="shared" si="67"/>
        <v/>
      </c>
      <c r="J858" s="59" t="str">
        <f t="shared" si="70"/>
        <v/>
      </c>
    </row>
    <row r="859" spans="4:10" ht="22.5" customHeight="1" x14ac:dyDescent="0.25">
      <c r="D859" s="59" t="str">
        <f t="shared" si="66"/>
        <v/>
      </c>
      <c r="E859" s="59" t="str">
        <f t="shared" si="68"/>
        <v/>
      </c>
      <c r="F859" s="59" t="str">
        <f t="shared" si="69"/>
        <v/>
      </c>
      <c r="G859" s="59" t="str">
        <f>IF($A859="","",
   SUMIFS(Transactions!$P:$P,
          Transactions!$G:$G,$A859,
          Transactions!$C:$C,"IN",
          Transactions!$Q:$Q,"Paid"))</f>
        <v/>
      </c>
      <c r="H859" s="59" t="str">
        <f>IF($A859="","",
   SUMIFS(Transactions!$P:$P,
          Transactions!$G:$G,$A859,
          Transactions!$C:$C,"OUT"))</f>
        <v/>
      </c>
      <c r="I859" s="65" t="str">
        <f t="shared" si="67"/>
        <v/>
      </c>
      <c r="J859" s="59" t="str">
        <f t="shared" si="70"/>
        <v/>
      </c>
    </row>
    <row r="860" spans="4:10" ht="22.5" customHeight="1" x14ac:dyDescent="0.25">
      <c r="D860" s="59" t="str">
        <f t="shared" si="66"/>
        <v/>
      </c>
      <c r="E860" s="59" t="str">
        <f t="shared" si="68"/>
        <v/>
      </c>
      <c r="F860" s="59" t="str">
        <f t="shared" si="69"/>
        <v/>
      </c>
      <c r="G860" s="59" t="str">
        <f>IF($A860="","",
   SUMIFS(Transactions!$P:$P,
          Transactions!$G:$G,$A860,
          Transactions!$C:$C,"IN",
          Transactions!$Q:$Q,"Paid"))</f>
        <v/>
      </c>
      <c r="H860" s="59" t="str">
        <f>IF($A860="","",
   SUMIFS(Transactions!$P:$P,
          Transactions!$G:$G,$A860,
          Transactions!$C:$C,"OUT"))</f>
        <v/>
      </c>
      <c r="I860" s="65" t="str">
        <f t="shared" si="67"/>
        <v/>
      </c>
      <c r="J860" s="59" t="str">
        <f t="shared" si="70"/>
        <v/>
      </c>
    </row>
    <row r="861" spans="4:10" ht="22.5" customHeight="1" x14ac:dyDescent="0.25">
      <c r="D861" s="59" t="str">
        <f t="shared" si="66"/>
        <v/>
      </c>
      <c r="E861" s="59" t="str">
        <f t="shared" si="68"/>
        <v/>
      </c>
      <c r="F861" s="59" t="str">
        <f t="shared" si="69"/>
        <v/>
      </c>
      <c r="G861" s="59" t="str">
        <f>IF($A861="","",
   SUMIFS(Transactions!$P:$P,
          Transactions!$G:$G,$A861,
          Transactions!$C:$C,"IN",
          Transactions!$Q:$Q,"Paid"))</f>
        <v/>
      </c>
      <c r="H861" s="59" t="str">
        <f>IF($A861="","",
   SUMIFS(Transactions!$P:$P,
          Transactions!$G:$G,$A861,
          Transactions!$C:$C,"OUT"))</f>
        <v/>
      </c>
      <c r="I861" s="65" t="str">
        <f t="shared" si="67"/>
        <v/>
      </c>
      <c r="J861" s="59" t="str">
        <f t="shared" si="70"/>
        <v/>
      </c>
    </row>
    <row r="862" spans="4:10" ht="22.5" customHeight="1" x14ac:dyDescent="0.25">
      <c r="D862" s="59" t="str">
        <f t="shared" si="66"/>
        <v/>
      </c>
      <c r="E862" s="59" t="str">
        <f t="shared" si="68"/>
        <v/>
      </c>
      <c r="F862" s="59" t="str">
        <f t="shared" si="69"/>
        <v/>
      </c>
      <c r="G862" s="59" t="str">
        <f>IF($A862="","",
   SUMIFS(Transactions!$P:$P,
          Transactions!$G:$G,$A862,
          Transactions!$C:$C,"IN",
          Transactions!$Q:$Q,"Paid"))</f>
        <v/>
      </c>
      <c r="H862" s="59" t="str">
        <f>IF($A862="","",
   SUMIFS(Transactions!$P:$P,
          Transactions!$G:$G,$A862,
          Transactions!$C:$C,"OUT"))</f>
        <v/>
      </c>
      <c r="I862" s="65" t="str">
        <f t="shared" si="67"/>
        <v/>
      </c>
      <c r="J862" s="59" t="str">
        <f t="shared" si="70"/>
        <v/>
      </c>
    </row>
    <row r="863" spans="4:10" ht="22.5" customHeight="1" x14ac:dyDescent="0.25">
      <c r="D863" s="59" t="str">
        <f t="shared" si="66"/>
        <v/>
      </c>
      <c r="E863" s="59" t="str">
        <f t="shared" si="68"/>
        <v/>
      </c>
      <c r="F863" s="59" t="str">
        <f t="shared" si="69"/>
        <v/>
      </c>
      <c r="G863" s="59" t="str">
        <f>IF($A863="","",
   SUMIFS(Transactions!$P:$P,
          Transactions!$G:$G,$A863,
          Transactions!$C:$C,"IN",
          Transactions!$Q:$Q,"Paid"))</f>
        <v/>
      </c>
      <c r="H863" s="59" t="str">
        <f>IF($A863="","",
   SUMIFS(Transactions!$P:$P,
          Transactions!$G:$G,$A863,
          Transactions!$C:$C,"OUT"))</f>
        <v/>
      </c>
      <c r="I863" s="65" t="str">
        <f t="shared" si="67"/>
        <v/>
      </c>
      <c r="J863" s="59" t="str">
        <f t="shared" si="70"/>
        <v/>
      </c>
    </row>
    <row r="864" spans="4:10" ht="22.5" customHeight="1" x14ac:dyDescent="0.25">
      <c r="D864" s="59" t="str">
        <f t="shared" si="66"/>
        <v/>
      </c>
      <c r="E864" s="59" t="str">
        <f t="shared" si="68"/>
        <v/>
      </c>
      <c r="F864" s="59" t="str">
        <f t="shared" si="69"/>
        <v/>
      </c>
      <c r="G864" s="59" t="str">
        <f>IF($A864="","",
   SUMIFS(Transactions!$P:$P,
          Transactions!$G:$G,$A864,
          Transactions!$C:$C,"IN",
          Transactions!$Q:$Q,"Paid"))</f>
        <v/>
      </c>
      <c r="H864" s="59" t="str">
        <f>IF($A864="","",
   SUMIFS(Transactions!$P:$P,
          Transactions!$G:$G,$A864,
          Transactions!$C:$C,"OUT"))</f>
        <v/>
      </c>
      <c r="I864" s="65" t="str">
        <f t="shared" si="67"/>
        <v/>
      </c>
      <c r="J864" s="59" t="str">
        <f t="shared" si="70"/>
        <v/>
      </c>
    </row>
    <row r="865" spans="4:10" ht="22.5" customHeight="1" x14ac:dyDescent="0.25">
      <c r="D865" s="59" t="str">
        <f t="shared" si="66"/>
        <v/>
      </c>
      <c r="E865" s="59" t="str">
        <f t="shared" si="68"/>
        <v/>
      </c>
      <c r="F865" s="59" t="str">
        <f t="shared" si="69"/>
        <v/>
      </c>
      <c r="G865" s="59" t="str">
        <f>IF($A865="","",
   SUMIFS(Transactions!$P:$P,
          Transactions!$G:$G,$A865,
          Transactions!$C:$C,"IN",
          Transactions!$Q:$Q,"Paid"))</f>
        <v/>
      </c>
      <c r="H865" s="59" t="str">
        <f>IF($A865="","",
   SUMIFS(Transactions!$P:$P,
          Transactions!$G:$G,$A865,
          Transactions!$C:$C,"OUT"))</f>
        <v/>
      </c>
      <c r="I865" s="65" t="str">
        <f t="shared" si="67"/>
        <v/>
      </c>
      <c r="J865" s="59" t="str">
        <f t="shared" si="70"/>
        <v/>
      </c>
    </row>
    <row r="866" spans="4:10" ht="22.5" customHeight="1" x14ac:dyDescent="0.25">
      <c r="D866" s="59" t="str">
        <f t="shared" si="66"/>
        <v/>
      </c>
      <c r="E866" s="59" t="str">
        <f t="shared" si="68"/>
        <v/>
      </c>
      <c r="F866" s="59" t="str">
        <f t="shared" si="69"/>
        <v/>
      </c>
      <c r="G866" s="59" t="str">
        <f>IF($A866="","",
   SUMIFS(Transactions!$P:$P,
          Transactions!$G:$G,$A866,
          Transactions!$C:$C,"IN",
          Transactions!$Q:$Q,"Paid"))</f>
        <v/>
      </c>
      <c r="H866" s="59" t="str">
        <f>IF($A866="","",
   SUMIFS(Transactions!$P:$P,
          Transactions!$G:$G,$A866,
          Transactions!$C:$C,"OUT"))</f>
        <v/>
      </c>
      <c r="I866" s="65" t="str">
        <f t="shared" si="67"/>
        <v/>
      </c>
      <c r="J866" s="59" t="str">
        <f t="shared" si="70"/>
        <v/>
      </c>
    </row>
    <row r="867" spans="4:10" ht="22.5" customHeight="1" x14ac:dyDescent="0.25">
      <c r="D867" s="59" t="str">
        <f t="shared" si="66"/>
        <v/>
      </c>
      <c r="E867" s="59" t="str">
        <f t="shared" si="68"/>
        <v/>
      </c>
      <c r="F867" s="59" t="str">
        <f t="shared" si="69"/>
        <v/>
      </c>
      <c r="G867" s="59" t="str">
        <f>IF($A867="","",
   SUMIFS(Transactions!$P:$P,
          Transactions!$G:$G,$A867,
          Transactions!$C:$C,"IN",
          Transactions!$Q:$Q,"Paid"))</f>
        <v/>
      </c>
      <c r="H867" s="59" t="str">
        <f>IF($A867="","",
   SUMIFS(Transactions!$P:$P,
          Transactions!$G:$G,$A867,
          Transactions!$C:$C,"OUT"))</f>
        <v/>
      </c>
      <c r="I867" s="65" t="str">
        <f t="shared" si="67"/>
        <v/>
      </c>
      <c r="J867" s="59" t="str">
        <f t="shared" si="70"/>
        <v/>
      </c>
    </row>
    <row r="868" spans="4:10" ht="22.5" customHeight="1" x14ac:dyDescent="0.25">
      <c r="D868" s="59" t="str">
        <f t="shared" si="66"/>
        <v/>
      </c>
      <c r="E868" s="59" t="str">
        <f t="shared" si="68"/>
        <v/>
      </c>
      <c r="F868" s="59" t="str">
        <f t="shared" si="69"/>
        <v/>
      </c>
      <c r="G868" s="59" t="str">
        <f>IF($A868="","",
   SUMIFS(Transactions!$P:$P,
          Transactions!$G:$G,$A868,
          Transactions!$C:$C,"IN",
          Transactions!$Q:$Q,"Paid"))</f>
        <v/>
      </c>
      <c r="H868" s="59" t="str">
        <f>IF($A868="","",
   SUMIFS(Transactions!$P:$P,
          Transactions!$G:$G,$A868,
          Transactions!$C:$C,"OUT"))</f>
        <v/>
      </c>
      <c r="I868" s="65" t="str">
        <f t="shared" si="67"/>
        <v/>
      </c>
      <c r="J868" s="59" t="str">
        <f t="shared" si="70"/>
        <v/>
      </c>
    </row>
    <row r="869" spans="4:10" ht="22.5" customHeight="1" x14ac:dyDescent="0.25">
      <c r="D869" s="59" t="str">
        <f t="shared" si="66"/>
        <v/>
      </c>
      <c r="E869" s="59" t="str">
        <f t="shared" si="68"/>
        <v/>
      </c>
      <c r="F869" s="59" t="str">
        <f t="shared" si="69"/>
        <v/>
      </c>
      <c r="G869" s="59" t="str">
        <f>IF($A869="","",
   SUMIFS(Transactions!$P:$P,
          Transactions!$G:$G,$A869,
          Transactions!$C:$C,"IN",
          Transactions!$Q:$Q,"Paid"))</f>
        <v/>
      </c>
      <c r="H869" s="59" t="str">
        <f>IF($A869="","",
   SUMIFS(Transactions!$P:$P,
          Transactions!$G:$G,$A869,
          Transactions!$C:$C,"OUT"))</f>
        <v/>
      </c>
      <c r="I869" s="65" t="str">
        <f t="shared" si="67"/>
        <v/>
      </c>
      <c r="J869" s="59" t="str">
        <f t="shared" si="70"/>
        <v/>
      </c>
    </row>
    <row r="870" spans="4:10" ht="22.5" customHeight="1" x14ac:dyDescent="0.25">
      <c r="D870" s="59" t="str">
        <f t="shared" si="66"/>
        <v/>
      </c>
      <c r="E870" s="59" t="str">
        <f t="shared" si="68"/>
        <v/>
      </c>
      <c r="F870" s="59" t="str">
        <f t="shared" si="69"/>
        <v/>
      </c>
      <c r="G870" s="59" t="str">
        <f>IF($A870="","",
   SUMIFS(Transactions!$P:$P,
          Transactions!$G:$G,$A870,
          Transactions!$C:$C,"IN",
          Transactions!$Q:$Q,"Paid"))</f>
        <v/>
      </c>
      <c r="H870" s="59" t="str">
        <f>IF($A870="","",
   SUMIFS(Transactions!$P:$P,
          Transactions!$G:$G,$A870,
          Transactions!$C:$C,"OUT"))</f>
        <v/>
      </c>
      <c r="I870" s="65" t="str">
        <f t="shared" si="67"/>
        <v/>
      </c>
      <c r="J870" s="59" t="str">
        <f t="shared" si="70"/>
        <v/>
      </c>
    </row>
    <row r="871" spans="4:10" ht="22.5" customHeight="1" x14ac:dyDescent="0.25">
      <c r="D871" s="59" t="str">
        <f t="shared" si="66"/>
        <v/>
      </c>
      <c r="E871" s="59" t="str">
        <f t="shared" si="68"/>
        <v/>
      </c>
      <c r="F871" s="59" t="str">
        <f t="shared" si="69"/>
        <v/>
      </c>
      <c r="G871" s="59" t="str">
        <f>IF($A871="","",
   SUMIFS(Transactions!$P:$P,
          Transactions!$G:$G,$A871,
          Transactions!$C:$C,"IN",
          Transactions!$Q:$Q,"Paid"))</f>
        <v/>
      </c>
      <c r="H871" s="59" t="str">
        <f>IF($A871="","",
   SUMIFS(Transactions!$P:$P,
          Transactions!$G:$G,$A871,
          Transactions!$C:$C,"OUT"))</f>
        <v/>
      </c>
      <c r="I871" s="65" t="str">
        <f t="shared" si="67"/>
        <v/>
      </c>
      <c r="J871" s="59" t="str">
        <f t="shared" si="70"/>
        <v/>
      </c>
    </row>
    <row r="872" spans="4:10" ht="22.5" customHeight="1" x14ac:dyDescent="0.25">
      <c r="D872" s="59" t="str">
        <f t="shared" si="66"/>
        <v/>
      </c>
      <c r="E872" s="59" t="str">
        <f t="shared" si="68"/>
        <v/>
      </c>
      <c r="F872" s="59" t="str">
        <f t="shared" si="69"/>
        <v/>
      </c>
      <c r="G872" s="59" t="str">
        <f>IF($A872="","",
   SUMIFS(Transactions!$P:$P,
          Transactions!$G:$G,$A872,
          Transactions!$C:$C,"IN",
          Transactions!$Q:$Q,"Paid"))</f>
        <v/>
      </c>
      <c r="H872" s="59" t="str">
        <f>IF($A872="","",
   SUMIFS(Transactions!$P:$P,
          Transactions!$G:$G,$A872,
          Transactions!$C:$C,"OUT"))</f>
        <v/>
      </c>
      <c r="I872" s="65" t="str">
        <f t="shared" si="67"/>
        <v/>
      </c>
      <c r="J872" s="59" t="str">
        <f t="shared" si="70"/>
        <v/>
      </c>
    </row>
    <row r="873" spans="4:10" ht="22.5" customHeight="1" x14ac:dyDescent="0.25">
      <c r="D873" s="59" t="str">
        <f t="shared" si="66"/>
        <v/>
      </c>
      <c r="E873" s="59" t="str">
        <f t="shared" si="68"/>
        <v/>
      </c>
      <c r="F873" s="59" t="str">
        <f t="shared" si="69"/>
        <v/>
      </c>
      <c r="G873" s="59" t="str">
        <f>IF($A873="","",
   SUMIFS(Transactions!$P:$P,
          Transactions!$G:$G,$A873,
          Transactions!$C:$C,"IN",
          Transactions!$Q:$Q,"Paid"))</f>
        <v/>
      </c>
      <c r="H873" s="59" t="str">
        <f>IF($A873="","",
   SUMIFS(Transactions!$P:$P,
          Transactions!$G:$G,$A873,
          Transactions!$C:$C,"OUT"))</f>
        <v/>
      </c>
      <c r="I873" s="65" t="str">
        <f t="shared" si="67"/>
        <v/>
      </c>
      <c r="J873" s="59" t="str">
        <f t="shared" si="70"/>
        <v/>
      </c>
    </row>
    <row r="874" spans="4:10" ht="22.5" customHeight="1" x14ac:dyDescent="0.25">
      <c r="D874" s="59" t="str">
        <f t="shared" si="66"/>
        <v/>
      </c>
      <c r="E874" s="59" t="str">
        <f t="shared" si="68"/>
        <v/>
      </c>
      <c r="F874" s="59" t="str">
        <f t="shared" si="69"/>
        <v/>
      </c>
      <c r="G874" s="59" t="str">
        <f>IF($A874="","",
   SUMIFS(Transactions!$P:$P,
          Transactions!$G:$G,$A874,
          Transactions!$C:$C,"IN",
          Transactions!$Q:$Q,"Paid"))</f>
        <v/>
      </c>
      <c r="H874" s="59" t="str">
        <f>IF($A874="","",
   SUMIFS(Transactions!$P:$P,
          Transactions!$G:$G,$A874,
          Transactions!$C:$C,"OUT"))</f>
        <v/>
      </c>
      <c r="I874" s="65" t="str">
        <f t="shared" si="67"/>
        <v/>
      </c>
      <c r="J874" s="59" t="str">
        <f t="shared" si="70"/>
        <v/>
      </c>
    </row>
    <row r="875" spans="4:10" ht="22.5" customHeight="1" x14ac:dyDescent="0.25">
      <c r="D875" s="59" t="str">
        <f t="shared" si="66"/>
        <v/>
      </c>
      <c r="E875" s="59" t="str">
        <f t="shared" si="68"/>
        <v/>
      </c>
      <c r="F875" s="59" t="str">
        <f t="shared" si="69"/>
        <v/>
      </c>
      <c r="G875" s="59" t="str">
        <f>IF($A875="","",
   SUMIFS(Transactions!$P:$P,
          Transactions!$G:$G,$A875,
          Transactions!$C:$C,"IN",
          Transactions!$Q:$Q,"Paid"))</f>
        <v/>
      </c>
      <c r="H875" s="59" t="str">
        <f>IF($A875="","",
   SUMIFS(Transactions!$P:$P,
          Transactions!$G:$G,$A875,
          Transactions!$C:$C,"OUT"))</f>
        <v/>
      </c>
      <c r="I875" s="65" t="str">
        <f t="shared" si="67"/>
        <v/>
      </c>
      <c r="J875" s="59" t="str">
        <f t="shared" si="70"/>
        <v/>
      </c>
    </row>
    <row r="876" spans="4:10" ht="22.5" customHeight="1" x14ac:dyDescent="0.25">
      <c r="D876" s="59" t="str">
        <f t="shared" si="66"/>
        <v/>
      </c>
      <c r="E876" s="59" t="str">
        <f t="shared" si="68"/>
        <v/>
      </c>
      <c r="F876" s="59" t="str">
        <f t="shared" si="69"/>
        <v/>
      </c>
      <c r="G876" s="59" t="str">
        <f>IF($A876="","",
   SUMIFS(Transactions!$P:$P,
          Transactions!$G:$G,$A876,
          Transactions!$C:$C,"IN",
          Transactions!$Q:$Q,"Paid"))</f>
        <v/>
      </c>
      <c r="H876" s="59" t="str">
        <f>IF($A876="","",
   SUMIFS(Transactions!$P:$P,
          Transactions!$G:$G,$A876,
          Transactions!$C:$C,"OUT"))</f>
        <v/>
      </c>
      <c r="I876" s="65" t="str">
        <f t="shared" si="67"/>
        <v/>
      </c>
      <c r="J876" s="59" t="str">
        <f t="shared" si="70"/>
        <v/>
      </c>
    </row>
    <row r="877" spans="4:10" ht="22.5" customHeight="1" x14ac:dyDescent="0.25">
      <c r="D877" s="59" t="str">
        <f t="shared" si="66"/>
        <v/>
      </c>
      <c r="E877" s="59" t="str">
        <f t="shared" si="68"/>
        <v/>
      </c>
      <c r="F877" s="59" t="str">
        <f t="shared" si="69"/>
        <v/>
      </c>
      <c r="G877" s="59" t="str">
        <f>IF($A877="","",
   SUMIFS(Transactions!$P:$P,
          Transactions!$G:$G,$A877,
          Transactions!$C:$C,"IN",
          Transactions!$Q:$Q,"Paid"))</f>
        <v/>
      </c>
      <c r="H877" s="59" t="str">
        <f>IF($A877="","",
   SUMIFS(Transactions!$P:$P,
          Transactions!$G:$G,$A877,
          Transactions!$C:$C,"OUT"))</f>
        <v/>
      </c>
      <c r="I877" s="65" t="str">
        <f t="shared" si="67"/>
        <v/>
      </c>
      <c r="J877" s="59" t="str">
        <f t="shared" si="70"/>
        <v/>
      </c>
    </row>
    <row r="878" spans="4:10" ht="22.5" customHeight="1" x14ac:dyDescent="0.25">
      <c r="D878" s="59" t="str">
        <f t="shared" si="66"/>
        <v/>
      </c>
      <c r="E878" s="59" t="str">
        <f t="shared" si="68"/>
        <v/>
      </c>
      <c r="F878" s="59" t="str">
        <f t="shared" si="69"/>
        <v/>
      </c>
      <c r="G878" s="59" t="str">
        <f>IF($A878="","",
   SUMIFS(Transactions!$P:$P,
          Transactions!$G:$G,$A878,
          Transactions!$C:$C,"IN",
          Transactions!$Q:$Q,"Paid"))</f>
        <v/>
      </c>
      <c r="H878" s="59" t="str">
        <f>IF($A878="","",
   SUMIFS(Transactions!$P:$P,
          Transactions!$G:$G,$A878,
          Transactions!$C:$C,"OUT"))</f>
        <v/>
      </c>
      <c r="I878" s="65" t="str">
        <f t="shared" si="67"/>
        <v/>
      </c>
      <c r="J878" s="59" t="str">
        <f t="shared" si="70"/>
        <v/>
      </c>
    </row>
    <row r="879" spans="4:10" ht="22.5" customHeight="1" x14ac:dyDescent="0.25">
      <c r="D879" s="59" t="str">
        <f t="shared" si="66"/>
        <v/>
      </c>
      <c r="E879" s="59" t="str">
        <f t="shared" si="68"/>
        <v/>
      </c>
      <c r="F879" s="59" t="str">
        <f t="shared" si="69"/>
        <v/>
      </c>
      <c r="G879" s="59" t="str">
        <f>IF($A879="","",
   SUMIFS(Transactions!$P:$P,
          Transactions!$G:$G,$A879,
          Transactions!$C:$C,"IN",
          Transactions!$Q:$Q,"Paid"))</f>
        <v/>
      </c>
      <c r="H879" s="59" t="str">
        <f>IF($A879="","",
   SUMIFS(Transactions!$P:$P,
          Transactions!$G:$G,$A879,
          Transactions!$C:$C,"OUT"))</f>
        <v/>
      </c>
      <c r="I879" s="65" t="str">
        <f t="shared" si="67"/>
        <v/>
      </c>
      <c r="J879" s="59" t="str">
        <f t="shared" si="70"/>
        <v/>
      </c>
    </row>
    <row r="880" spans="4:10" ht="22.5" customHeight="1" x14ac:dyDescent="0.25">
      <c r="D880" s="59" t="str">
        <f t="shared" si="66"/>
        <v/>
      </c>
      <c r="E880" s="59" t="str">
        <f t="shared" si="68"/>
        <v/>
      </c>
      <c r="F880" s="59" t="str">
        <f t="shared" si="69"/>
        <v/>
      </c>
      <c r="G880" s="59" t="str">
        <f>IF($A880="","",
   SUMIFS(Transactions!$P:$P,
          Transactions!$G:$G,$A880,
          Transactions!$C:$C,"IN",
          Transactions!$Q:$Q,"Paid"))</f>
        <v/>
      </c>
      <c r="H880" s="59" t="str">
        <f>IF($A880="","",
   SUMIFS(Transactions!$P:$P,
          Transactions!$G:$G,$A880,
          Transactions!$C:$C,"OUT"))</f>
        <v/>
      </c>
      <c r="I880" s="65" t="str">
        <f t="shared" si="67"/>
        <v/>
      </c>
      <c r="J880" s="59" t="str">
        <f t="shared" si="70"/>
        <v/>
      </c>
    </row>
    <row r="881" spans="4:10" ht="22.5" customHeight="1" x14ac:dyDescent="0.25">
      <c r="D881" s="59" t="str">
        <f t="shared" si="66"/>
        <v/>
      </c>
      <c r="E881" s="59" t="str">
        <f t="shared" si="68"/>
        <v/>
      </c>
      <c r="F881" s="59" t="str">
        <f t="shared" si="69"/>
        <v/>
      </c>
      <c r="G881" s="59" t="str">
        <f>IF($A881="","",
   SUMIFS(Transactions!$P:$P,
          Transactions!$G:$G,$A881,
          Transactions!$C:$C,"IN",
          Transactions!$Q:$Q,"Paid"))</f>
        <v/>
      </c>
      <c r="H881" s="59" t="str">
        <f>IF($A881="","",
   SUMIFS(Transactions!$P:$P,
          Transactions!$G:$G,$A881,
          Transactions!$C:$C,"OUT"))</f>
        <v/>
      </c>
      <c r="I881" s="65" t="str">
        <f t="shared" si="67"/>
        <v/>
      </c>
      <c r="J881" s="59" t="str">
        <f t="shared" si="70"/>
        <v/>
      </c>
    </row>
    <row r="882" spans="4:10" ht="22.5" customHeight="1" x14ac:dyDescent="0.25">
      <c r="D882" s="59" t="str">
        <f t="shared" si="66"/>
        <v/>
      </c>
      <c r="E882" s="59" t="str">
        <f t="shared" si="68"/>
        <v/>
      </c>
      <c r="F882" s="59" t="str">
        <f t="shared" si="69"/>
        <v/>
      </c>
      <c r="G882" s="59" t="str">
        <f>IF($A882="","",
   SUMIFS(Transactions!$P:$P,
          Transactions!$G:$G,$A882,
          Transactions!$C:$C,"IN",
          Transactions!$Q:$Q,"Paid"))</f>
        <v/>
      </c>
      <c r="H882" s="59" t="str">
        <f>IF($A882="","",
   SUMIFS(Transactions!$P:$P,
          Transactions!$G:$G,$A882,
          Transactions!$C:$C,"OUT"))</f>
        <v/>
      </c>
      <c r="I882" s="65" t="str">
        <f t="shared" si="67"/>
        <v/>
      </c>
      <c r="J882" s="59" t="str">
        <f t="shared" si="70"/>
        <v/>
      </c>
    </row>
    <row r="883" spans="4:10" ht="22.5" customHeight="1" x14ac:dyDescent="0.25">
      <c r="D883" s="59" t="str">
        <f t="shared" si="66"/>
        <v/>
      </c>
      <c r="E883" s="59" t="str">
        <f t="shared" si="68"/>
        <v/>
      </c>
      <c r="F883" s="59" t="str">
        <f t="shared" si="69"/>
        <v/>
      </c>
      <c r="G883" s="59" t="str">
        <f>IF($A883="","",
   SUMIFS(Transactions!$P:$P,
          Transactions!$G:$G,$A883,
          Transactions!$C:$C,"IN",
          Transactions!$Q:$Q,"Paid"))</f>
        <v/>
      </c>
      <c r="H883" s="59" t="str">
        <f>IF($A883="","",
   SUMIFS(Transactions!$P:$P,
          Transactions!$G:$G,$A883,
          Transactions!$C:$C,"OUT"))</f>
        <v/>
      </c>
      <c r="I883" s="65" t="str">
        <f t="shared" si="67"/>
        <v/>
      </c>
      <c r="J883" s="59" t="str">
        <f t="shared" si="70"/>
        <v/>
      </c>
    </row>
    <row r="884" spans="4:10" ht="22.5" customHeight="1" x14ac:dyDescent="0.25">
      <c r="D884" s="59" t="str">
        <f t="shared" si="66"/>
        <v/>
      </c>
      <c r="E884" s="59" t="str">
        <f t="shared" si="68"/>
        <v/>
      </c>
      <c r="F884" s="59" t="str">
        <f t="shared" si="69"/>
        <v/>
      </c>
      <c r="G884" s="59" t="str">
        <f>IF($A884="","",
   SUMIFS(Transactions!$P:$P,
          Transactions!$G:$G,$A884,
          Transactions!$C:$C,"IN",
          Transactions!$Q:$Q,"Paid"))</f>
        <v/>
      </c>
      <c r="H884" s="59" t="str">
        <f>IF($A884="","",
   SUMIFS(Transactions!$P:$P,
          Transactions!$G:$G,$A884,
          Transactions!$C:$C,"OUT"))</f>
        <v/>
      </c>
      <c r="I884" s="65" t="str">
        <f t="shared" si="67"/>
        <v/>
      </c>
      <c r="J884" s="59" t="str">
        <f t="shared" si="70"/>
        <v/>
      </c>
    </row>
    <row r="885" spans="4:10" ht="22.5" customHeight="1" x14ac:dyDescent="0.25">
      <c r="D885" s="59" t="str">
        <f t="shared" si="66"/>
        <v/>
      </c>
      <c r="E885" s="59" t="str">
        <f t="shared" si="68"/>
        <v/>
      </c>
      <c r="F885" s="59" t="str">
        <f t="shared" si="69"/>
        <v/>
      </c>
      <c r="G885" s="59" t="str">
        <f>IF($A885="","",
   SUMIFS(Transactions!$P:$P,
          Transactions!$G:$G,$A885,
          Transactions!$C:$C,"IN",
          Transactions!$Q:$Q,"Paid"))</f>
        <v/>
      </c>
      <c r="H885" s="59" t="str">
        <f>IF($A885="","",
   SUMIFS(Transactions!$P:$P,
          Transactions!$G:$G,$A885,
          Transactions!$C:$C,"OUT"))</f>
        <v/>
      </c>
      <c r="I885" s="65" t="str">
        <f t="shared" si="67"/>
        <v/>
      </c>
      <c r="J885" s="59" t="str">
        <f t="shared" si="70"/>
        <v/>
      </c>
    </row>
    <row r="886" spans="4:10" ht="22.5" customHeight="1" x14ac:dyDescent="0.25">
      <c r="D886" s="59" t="str">
        <f t="shared" si="66"/>
        <v/>
      </c>
      <c r="E886" s="59" t="str">
        <f t="shared" si="68"/>
        <v/>
      </c>
      <c r="F886" s="59" t="str">
        <f t="shared" si="69"/>
        <v/>
      </c>
      <c r="G886" s="59" t="str">
        <f>IF($A886="","",
   SUMIFS(Transactions!$P:$P,
          Transactions!$G:$G,$A886,
          Transactions!$C:$C,"IN",
          Transactions!$Q:$Q,"Paid"))</f>
        <v/>
      </c>
      <c r="H886" s="59" t="str">
        <f>IF($A886="","",
   SUMIFS(Transactions!$P:$P,
          Transactions!$G:$G,$A886,
          Transactions!$C:$C,"OUT"))</f>
        <v/>
      </c>
      <c r="I886" s="65" t="str">
        <f t="shared" si="67"/>
        <v/>
      </c>
      <c r="J886" s="59" t="str">
        <f t="shared" si="70"/>
        <v/>
      </c>
    </row>
    <row r="887" spans="4:10" ht="22.5" customHeight="1" x14ac:dyDescent="0.25">
      <c r="D887" s="59" t="str">
        <f t="shared" si="66"/>
        <v/>
      </c>
      <c r="E887" s="59" t="str">
        <f t="shared" si="68"/>
        <v/>
      </c>
      <c r="F887" s="59" t="str">
        <f t="shared" si="69"/>
        <v/>
      </c>
      <c r="G887" s="59" t="str">
        <f>IF($A887="","",
   SUMIFS(Transactions!$P:$P,
          Transactions!$G:$G,$A887,
          Transactions!$C:$C,"IN",
          Transactions!$Q:$Q,"Paid"))</f>
        <v/>
      </c>
      <c r="H887" s="59" t="str">
        <f>IF($A887="","",
   SUMIFS(Transactions!$P:$P,
          Transactions!$G:$G,$A887,
          Transactions!$C:$C,"OUT"))</f>
        <v/>
      </c>
      <c r="I887" s="65" t="str">
        <f t="shared" si="67"/>
        <v/>
      </c>
      <c r="J887" s="59" t="str">
        <f t="shared" si="70"/>
        <v/>
      </c>
    </row>
    <row r="888" spans="4:10" ht="22.5" customHeight="1" x14ac:dyDescent="0.25">
      <c r="D888" s="59" t="str">
        <f t="shared" si="66"/>
        <v/>
      </c>
      <c r="E888" s="59" t="str">
        <f t="shared" si="68"/>
        <v/>
      </c>
      <c r="F888" s="59" t="str">
        <f t="shared" si="69"/>
        <v/>
      </c>
      <c r="G888" s="59" t="str">
        <f>IF($A888="","",
   SUMIFS(Transactions!$P:$P,
          Transactions!$G:$G,$A888,
          Transactions!$C:$C,"IN",
          Transactions!$Q:$Q,"Paid"))</f>
        <v/>
      </c>
      <c r="H888" s="59" t="str">
        <f>IF($A888="","",
   SUMIFS(Transactions!$P:$P,
          Transactions!$G:$G,$A888,
          Transactions!$C:$C,"OUT"))</f>
        <v/>
      </c>
      <c r="I888" s="65" t="str">
        <f t="shared" si="67"/>
        <v/>
      </c>
      <c r="J888" s="59" t="str">
        <f t="shared" si="70"/>
        <v/>
      </c>
    </row>
    <row r="889" spans="4:10" ht="22.5" customHeight="1" x14ac:dyDescent="0.25">
      <c r="D889" s="59" t="str">
        <f t="shared" si="66"/>
        <v/>
      </c>
      <c r="E889" s="59" t="str">
        <f t="shared" si="68"/>
        <v/>
      </c>
      <c r="F889" s="59" t="str">
        <f t="shared" si="69"/>
        <v/>
      </c>
      <c r="G889" s="59" t="str">
        <f>IF($A889="","",
   SUMIFS(Transactions!$P:$P,
          Transactions!$G:$G,$A889,
          Transactions!$C:$C,"IN",
          Transactions!$Q:$Q,"Paid"))</f>
        <v/>
      </c>
      <c r="H889" s="59" t="str">
        <f>IF($A889="","",
   SUMIFS(Transactions!$P:$P,
          Transactions!$G:$G,$A889,
          Transactions!$C:$C,"OUT"))</f>
        <v/>
      </c>
      <c r="I889" s="65" t="str">
        <f t="shared" si="67"/>
        <v/>
      </c>
      <c r="J889" s="59" t="str">
        <f t="shared" si="70"/>
        <v/>
      </c>
    </row>
    <row r="890" spans="4:10" ht="22.5" customHeight="1" x14ac:dyDescent="0.25">
      <c r="D890" s="59" t="str">
        <f t="shared" si="66"/>
        <v/>
      </c>
      <c r="E890" s="59" t="str">
        <f t="shared" si="68"/>
        <v/>
      </c>
      <c r="F890" s="59" t="str">
        <f t="shared" si="69"/>
        <v/>
      </c>
      <c r="G890" s="59" t="str">
        <f>IF($A890="","",
   SUMIFS(Transactions!$P:$P,
          Transactions!$G:$G,$A890,
          Transactions!$C:$C,"IN",
          Transactions!$Q:$Q,"Paid"))</f>
        <v/>
      </c>
      <c r="H890" s="59" t="str">
        <f>IF($A890="","",
   SUMIFS(Transactions!$P:$P,
          Transactions!$G:$G,$A890,
          Transactions!$C:$C,"OUT"))</f>
        <v/>
      </c>
      <c r="I890" s="65" t="str">
        <f t="shared" si="67"/>
        <v/>
      </c>
      <c r="J890" s="59" t="str">
        <f t="shared" si="70"/>
        <v/>
      </c>
    </row>
    <row r="891" spans="4:10" ht="22.5" customHeight="1" x14ac:dyDescent="0.25">
      <c r="D891" s="59" t="str">
        <f t="shared" si="66"/>
        <v/>
      </c>
      <c r="E891" s="59" t="str">
        <f t="shared" si="68"/>
        <v/>
      </c>
      <c r="F891" s="59" t="str">
        <f t="shared" si="69"/>
        <v/>
      </c>
      <c r="G891" s="59" t="str">
        <f>IF($A891="","",
   SUMIFS(Transactions!$P:$P,
          Transactions!$G:$G,$A891,
          Transactions!$C:$C,"IN",
          Transactions!$Q:$Q,"Paid"))</f>
        <v/>
      </c>
      <c r="H891" s="59" t="str">
        <f>IF($A891="","",
   SUMIFS(Transactions!$P:$P,
          Transactions!$G:$G,$A891,
          Transactions!$C:$C,"OUT"))</f>
        <v/>
      </c>
      <c r="I891" s="65" t="str">
        <f t="shared" si="67"/>
        <v/>
      </c>
      <c r="J891" s="59" t="str">
        <f t="shared" si="70"/>
        <v/>
      </c>
    </row>
    <row r="892" spans="4:10" ht="22.5" customHeight="1" x14ac:dyDescent="0.25">
      <c r="D892" s="59" t="str">
        <f t="shared" si="66"/>
        <v/>
      </c>
      <c r="E892" s="59" t="str">
        <f t="shared" si="68"/>
        <v/>
      </c>
      <c r="F892" s="59" t="str">
        <f t="shared" si="69"/>
        <v/>
      </c>
      <c r="G892" s="59" t="str">
        <f>IF($A892="","",
   SUMIFS(Transactions!$P:$P,
          Transactions!$G:$G,$A892,
          Transactions!$C:$C,"IN",
          Transactions!$Q:$Q,"Paid"))</f>
        <v/>
      </c>
      <c r="H892" s="59" t="str">
        <f>IF($A892="","",
   SUMIFS(Transactions!$P:$P,
          Transactions!$G:$G,$A892,
          Transactions!$C:$C,"OUT"))</f>
        <v/>
      </c>
      <c r="I892" s="65" t="str">
        <f t="shared" si="67"/>
        <v/>
      </c>
      <c r="J892" s="59" t="str">
        <f t="shared" si="70"/>
        <v/>
      </c>
    </row>
    <row r="893" spans="4:10" ht="22.5" customHeight="1" x14ac:dyDescent="0.25">
      <c r="D893" s="59" t="str">
        <f t="shared" si="66"/>
        <v/>
      </c>
      <c r="E893" s="59" t="str">
        <f t="shared" si="68"/>
        <v/>
      </c>
      <c r="F893" s="59" t="str">
        <f t="shared" si="69"/>
        <v/>
      </c>
      <c r="G893" s="59" t="str">
        <f>IF($A893="","",
   SUMIFS(Transactions!$P:$P,
          Transactions!$G:$G,$A893,
          Transactions!$C:$C,"IN",
          Transactions!$Q:$Q,"Paid"))</f>
        <v/>
      </c>
      <c r="H893" s="59" t="str">
        <f>IF($A893="","",
   SUMIFS(Transactions!$P:$P,
          Transactions!$G:$G,$A893,
          Transactions!$C:$C,"OUT"))</f>
        <v/>
      </c>
      <c r="I893" s="65" t="str">
        <f t="shared" si="67"/>
        <v/>
      </c>
      <c r="J893" s="59" t="str">
        <f t="shared" si="70"/>
        <v/>
      </c>
    </row>
    <row r="894" spans="4:10" ht="22.5" customHeight="1" x14ac:dyDescent="0.25">
      <c r="D894" s="59" t="str">
        <f t="shared" si="66"/>
        <v/>
      </c>
      <c r="E894" s="59" t="str">
        <f t="shared" si="68"/>
        <v/>
      </c>
      <c r="F894" s="59" t="str">
        <f t="shared" si="69"/>
        <v/>
      </c>
      <c r="G894" s="59" t="str">
        <f>IF($A894="","",
   SUMIFS(Transactions!$P:$P,
          Transactions!$G:$G,$A894,
          Transactions!$C:$C,"IN",
          Transactions!$Q:$Q,"Paid"))</f>
        <v/>
      </c>
      <c r="H894" s="59" t="str">
        <f>IF($A894="","",
   SUMIFS(Transactions!$P:$P,
          Transactions!$G:$G,$A894,
          Transactions!$C:$C,"OUT"))</f>
        <v/>
      </c>
      <c r="I894" s="65" t="str">
        <f t="shared" si="67"/>
        <v/>
      </c>
      <c r="J894" s="59" t="str">
        <f t="shared" si="70"/>
        <v/>
      </c>
    </row>
    <row r="895" spans="4:10" ht="22.5" customHeight="1" x14ac:dyDescent="0.25">
      <c r="D895" s="59" t="str">
        <f t="shared" si="66"/>
        <v/>
      </c>
      <c r="E895" s="59" t="str">
        <f t="shared" si="68"/>
        <v/>
      </c>
      <c r="F895" s="59" t="str">
        <f t="shared" si="69"/>
        <v/>
      </c>
      <c r="G895" s="59" t="str">
        <f>IF($A895="","",
   SUMIFS(Transactions!$P:$P,
          Transactions!$G:$G,$A895,
          Transactions!$C:$C,"IN",
          Transactions!$Q:$Q,"Paid"))</f>
        <v/>
      </c>
      <c r="H895" s="59" t="str">
        <f>IF($A895="","",
   SUMIFS(Transactions!$P:$P,
          Transactions!$G:$G,$A895,
          Transactions!$C:$C,"OUT"))</f>
        <v/>
      </c>
      <c r="I895" s="65" t="str">
        <f t="shared" si="67"/>
        <v/>
      </c>
      <c r="J895" s="59" t="str">
        <f t="shared" si="70"/>
        <v/>
      </c>
    </row>
    <row r="896" spans="4:10" ht="22.5" customHeight="1" x14ac:dyDescent="0.25">
      <c r="D896" s="59" t="str">
        <f t="shared" si="66"/>
        <v/>
      </c>
      <c r="E896" s="59" t="str">
        <f t="shared" si="68"/>
        <v/>
      </c>
      <c r="F896" s="59" t="str">
        <f t="shared" si="69"/>
        <v/>
      </c>
      <c r="G896" s="59" t="str">
        <f>IF($A896="","",
   SUMIFS(Transactions!$P:$P,
          Transactions!$G:$G,$A896,
          Transactions!$C:$C,"IN",
          Transactions!$Q:$Q,"Paid"))</f>
        <v/>
      </c>
      <c r="H896" s="59" t="str">
        <f>IF($A896="","",
   SUMIFS(Transactions!$P:$P,
          Transactions!$G:$G,$A896,
          Transactions!$C:$C,"OUT"))</f>
        <v/>
      </c>
      <c r="I896" s="65" t="str">
        <f t="shared" si="67"/>
        <v/>
      </c>
      <c r="J896" s="59" t="str">
        <f t="shared" si="70"/>
        <v/>
      </c>
    </row>
    <row r="897" spans="4:10" ht="22.5" customHeight="1" x14ac:dyDescent="0.25">
      <c r="D897" s="59" t="str">
        <f t="shared" si="66"/>
        <v/>
      </c>
      <c r="E897" s="59" t="str">
        <f t="shared" si="68"/>
        <v/>
      </c>
      <c r="F897" s="59" t="str">
        <f t="shared" si="69"/>
        <v/>
      </c>
      <c r="G897" s="59" t="str">
        <f>IF($A897="","",
   SUMIFS(Transactions!$P:$P,
          Transactions!$G:$G,$A897,
          Transactions!$C:$C,"IN",
          Transactions!$Q:$Q,"Paid"))</f>
        <v/>
      </c>
      <c r="H897" s="59" t="str">
        <f>IF($A897="","",
   SUMIFS(Transactions!$P:$P,
          Transactions!$G:$G,$A897,
          Transactions!$C:$C,"OUT"))</f>
        <v/>
      </c>
      <c r="I897" s="65" t="str">
        <f t="shared" si="67"/>
        <v/>
      </c>
      <c r="J897" s="59" t="str">
        <f t="shared" si="70"/>
        <v/>
      </c>
    </row>
    <row r="898" spans="4:10" ht="22.5" customHeight="1" x14ac:dyDescent="0.25">
      <c r="D898" s="59" t="str">
        <f t="shared" si="66"/>
        <v/>
      </c>
      <c r="E898" s="59" t="str">
        <f t="shared" si="68"/>
        <v/>
      </c>
      <c r="F898" s="59" t="str">
        <f t="shared" si="69"/>
        <v/>
      </c>
      <c r="G898" s="59" t="str">
        <f>IF($A898="","",
   SUMIFS(Transactions!$P:$P,
          Transactions!$G:$G,$A898,
          Transactions!$C:$C,"IN",
          Transactions!$Q:$Q,"Paid"))</f>
        <v/>
      </c>
      <c r="H898" s="59" t="str">
        <f>IF($A898="","",
   SUMIFS(Transactions!$P:$P,
          Transactions!$G:$G,$A898,
          Transactions!$C:$C,"OUT"))</f>
        <v/>
      </c>
      <c r="I898" s="65" t="str">
        <f t="shared" si="67"/>
        <v/>
      </c>
      <c r="J898" s="59" t="str">
        <f t="shared" si="70"/>
        <v/>
      </c>
    </row>
    <row r="899" spans="4:10" ht="22.5" customHeight="1" x14ac:dyDescent="0.25">
      <c r="D899" s="59" t="str">
        <f t="shared" ref="D899:D962" si="71">IF(C899="","",ROUND(C899*0.15,2))</f>
        <v/>
      </c>
      <c r="E899" s="59" t="str">
        <f t="shared" si="68"/>
        <v/>
      </c>
      <c r="F899" s="59" t="str">
        <f t="shared" si="69"/>
        <v/>
      </c>
      <c r="G899" s="59" t="str">
        <f>IF($A899="","",
   SUMIFS(Transactions!$P:$P,
          Transactions!$G:$G,$A899,
          Transactions!$C:$C,"IN",
          Transactions!$Q:$Q,"Paid"))</f>
        <v/>
      </c>
      <c r="H899" s="59" t="str">
        <f>IF($A899="","",
   SUMIFS(Transactions!$P:$P,
          Transactions!$G:$G,$A899,
          Transactions!$C:$C,"OUT"))</f>
        <v/>
      </c>
      <c r="I899" s="65" t="str">
        <f t="shared" ref="I899:I962" si="72">IF(C899="","",C899-H899)</f>
        <v/>
      </c>
      <c r="J899" s="59" t="str">
        <f t="shared" si="70"/>
        <v/>
      </c>
    </row>
    <row r="900" spans="4:10" ht="22.5" customHeight="1" x14ac:dyDescent="0.25">
      <c r="D900" s="59" t="str">
        <f t="shared" si="71"/>
        <v/>
      </c>
      <c r="E900" s="59" t="str">
        <f t="shared" ref="E900:E963" si="73">IF(C900="","",C900+D900)</f>
        <v/>
      </c>
      <c r="F900" s="59" t="str">
        <f t="shared" ref="F900:F963" si="74">IF(E900="","",E900*0.5)</f>
        <v/>
      </c>
      <c r="G900" s="59" t="str">
        <f>IF($A900="","",
   SUMIFS(Transactions!$P:$P,
          Transactions!$G:$G,$A900,
          Transactions!$C:$C,"IN",
          Transactions!$Q:$Q,"Paid"))</f>
        <v/>
      </c>
      <c r="H900" s="59" t="str">
        <f>IF($A900="","",
   SUMIFS(Transactions!$P:$P,
          Transactions!$G:$G,$A900,
          Transactions!$C:$C,"OUT"))</f>
        <v/>
      </c>
      <c r="I900" s="65" t="str">
        <f t="shared" si="72"/>
        <v/>
      </c>
      <c r="J900" s="59" t="str">
        <f t="shared" ref="J900:J963" si="75">IF(E900="","",E900-G900)</f>
        <v/>
      </c>
    </row>
    <row r="901" spans="4:10" ht="22.5" customHeight="1" x14ac:dyDescent="0.25">
      <c r="D901" s="59" t="str">
        <f t="shared" si="71"/>
        <v/>
      </c>
      <c r="E901" s="59" t="str">
        <f t="shared" si="73"/>
        <v/>
      </c>
      <c r="F901" s="59" t="str">
        <f t="shared" si="74"/>
        <v/>
      </c>
      <c r="G901" s="59" t="str">
        <f>IF($A901="","",
   SUMIFS(Transactions!$P:$P,
          Transactions!$G:$G,$A901,
          Transactions!$C:$C,"IN",
          Transactions!$Q:$Q,"Paid"))</f>
        <v/>
      </c>
      <c r="H901" s="59" t="str">
        <f>IF($A901="","",
   SUMIFS(Transactions!$P:$P,
          Transactions!$G:$G,$A901,
          Transactions!$C:$C,"OUT"))</f>
        <v/>
      </c>
      <c r="I901" s="65" t="str">
        <f t="shared" si="72"/>
        <v/>
      </c>
      <c r="J901" s="59" t="str">
        <f t="shared" si="75"/>
        <v/>
      </c>
    </row>
    <row r="902" spans="4:10" ht="22.5" customHeight="1" x14ac:dyDescent="0.25">
      <c r="D902" s="59" t="str">
        <f t="shared" si="71"/>
        <v/>
      </c>
      <c r="E902" s="59" t="str">
        <f t="shared" si="73"/>
        <v/>
      </c>
      <c r="F902" s="59" t="str">
        <f t="shared" si="74"/>
        <v/>
      </c>
      <c r="G902" s="59" t="str">
        <f>IF($A902="","",
   SUMIFS(Transactions!$P:$P,
          Transactions!$G:$G,$A902,
          Transactions!$C:$C,"IN",
          Transactions!$Q:$Q,"Paid"))</f>
        <v/>
      </c>
      <c r="H902" s="59" t="str">
        <f>IF($A902="","",
   SUMIFS(Transactions!$P:$P,
          Transactions!$G:$G,$A902,
          Transactions!$C:$C,"OUT"))</f>
        <v/>
      </c>
      <c r="I902" s="65" t="str">
        <f t="shared" si="72"/>
        <v/>
      </c>
      <c r="J902" s="59" t="str">
        <f t="shared" si="75"/>
        <v/>
      </c>
    </row>
    <row r="903" spans="4:10" ht="22.5" customHeight="1" x14ac:dyDescent="0.25">
      <c r="D903" s="59" t="str">
        <f t="shared" si="71"/>
        <v/>
      </c>
      <c r="E903" s="59" t="str">
        <f t="shared" si="73"/>
        <v/>
      </c>
      <c r="F903" s="59" t="str">
        <f t="shared" si="74"/>
        <v/>
      </c>
      <c r="G903" s="59" t="str">
        <f>IF($A903="","",
   SUMIFS(Transactions!$P:$P,
          Transactions!$G:$G,$A903,
          Transactions!$C:$C,"IN",
          Transactions!$Q:$Q,"Paid"))</f>
        <v/>
      </c>
      <c r="H903" s="59" t="str">
        <f>IF($A903="","",
   SUMIFS(Transactions!$P:$P,
          Transactions!$G:$G,$A903,
          Transactions!$C:$C,"OUT"))</f>
        <v/>
      </c>
      <c r="I903" s="65" t="str">
        <f t="shared" si="72"/>
        <v/>
      </c>
      <c r="J903" s="59" t="str">
        <f t="shared" si="75"/>
        <v/>
      </c>
    </row>
    <row r="904" spans="4:10" ht="22.5" customHeight="1" x14ac:dyDescent="0.25">
      <c r="D904" s="59" t="str">
        <f t="shared" si="71"/>
        <v/>
      </c>
      <c r="E904" s="59" t="str">
        <f t="shared" si="73"/>
        <v/>
      </c>
      <c r="F904" s="59" t="str">
        <f t="shared" si="74"/>
        <v/>
      </c>
      <c r="G904" s="59" t="str">
        <f>IF($A904="","",
   SUMIFS(Transactions!$P:$P,
          Transactions!$G:$G,$A904,
          Transactions!$C:$C,"IN",
          Transactions!$Q:$Q,"Paid"))</f>
        <v/>
      </c>
      <c r="H904" s="59" t="str">
        <f>IF($A904="","",
   SUMIFS(Transactions!$P:$P,
          Transactions!$G:$G,$A904,
          Transactions!$C:$C,"OUT"))</f>
        <v/>
      </c>
      <c r="I904" s="65" t="str">
        <f t="shared" si="72"/>
        <v/>
      </c>
      <c r="J904" s="59" t="str">
        <f t="shared" si="75"/>
        <v/>
      </c>
    </row>
    <row r="905" spans="4:10" ht="22.5" customHeight="1" x14ac:dyDescent="0.25">
      <c r="D905" s="59" t="str">
        <f t="shared" si="71"/>
        <v/>
      </c>
      <c r="E905" s="59" t="str">
        <f t="shared" si="73"/>
        <v/>
      </c>
      <c r="F905" s="59" t="str">
        <f t="shared" si="74"/>
        <v/>
      </c>
      <c r="G905" s="59" t="str">
        <f>IF($A905="","",
   SUMIFS(Transactions!$P:$P,
          Transactions!$G:$G,$A905,
          Transactions!$C:$C,"IN",
          Transactions!$Q:$Q,"Paid"))</f>
        <v/>
      </c>
      <c r="H905" s="59" t="str">
        <f>IF($A905="","",
   SUMIFS(Transactions!$P:$P,
          Transactions!$G:$G,$A905,
          Transactions!$C:$C,"OUT"))</f>
        <v/>
      </c>
      <c r="I905" s="65" t="str">
        <f t="shared" si="72"/>
        <v/>
      </c>
      <c r="J905" s="59" t="str">
        <f t="shared" si="75"/>
        <v/>
      </c>
    </row>
    <row r="906" spans="4:10" ht="22.5" customHeight="1" x14ac:dyDescent="0.25">
      <c r="D906" s="59" t="str">
        <f t="shared" si="71"/>
        <v/>
      </c>
      <c r="E906" s="59" t="str">
        <f t="shared" si="73"/>
        <v/>
      </c>
      <c r="F906" s="59" t="str">
        <f t="shared" si="74"/>
        <v/>
      </c>
      <c r="G906" s="59" t="str">
        <f>IF($A906="","",
   SUMIFS(Transactions!$P:$P,
          Transactions!$G:$G,$A906,
          Transactions!$C:$C,"IN",
          Transactions!$Q:$Q,"Paid"))</f>
        <v/>
      </c>
      <c r="H906" s="59" t="str">
        <f>IF($A906="","",
   SUMIFS(Transactions!$P:$P,
          Transactions!$G:$G,$A906,
          Transactions!$C:$C,"OUT"))</f>
        <v/>
      </c>
      <c r="I906" s="65" t="str">
        <f t="shared" si="72"/>
        <v/>
      </c>
      <c r="J906" s="59" t="str">
        <f t="shared" si="75"/>
        <v/>
      </c>
    </row>
    <row r="907" spans="4:10" ht="22.5" customHeight="1" x14ac:dyDescent="0.25">
      <c r="D907" s="59" t="str">
        <f t="shared" si="71"/>
        <v/>
      </c>
      <c r="E907" s="59" t="str">
        <f t="shared" si="73"/>
        <v/>
      </c>
      <c r="F907" s="59" t="str">
        <f t="shared" si="74"/>
        <v/>
      </c>
      <c r="G907" s="59" t="str">
        <f>IF($A907="","",
   SUMIFS(Transactions!$P:$P,
          Transactions!$G:$G,$A907,
          Transactions!$C:$C,"IN",
          Transactions!$Q:$Q,"Paid"))</f>
        <v/>
      </c>
      <c r="H907" s="59" t="str">
        <f>IF($A907="","",
   SUMIFS(Transactions!$P:$P,
          Transactions!$G:$G,$A907,
          Transactions!$C:$C,"OUT"))</f>
        <v/>
      </c>
      <c r="I907" s="65" t="str">
        <f t="shared" si="72"/>
        <v/>
      </c>
      <c r="J907" s="59" t="str">
        <f t="shared" si="75"/>
        <v/>
      </c>
    </row>
    <row r="908" spans="4:10" ht="22.5" customHeight="1" x14ac:dyDescent="0.25">
      <c r="D908" s="59" t="str">
        <f t="shared" si="71"/>
        <v/>
      </c>
      <c r="E908" s="59" t="str">
        <f t="shared" si="73"/>
        <v/>
      </c>
      <c r="F908" s="59" t="str">
        <f t="shared" si="74"/>
        <v/>
      </c>
      <c r="G908" s="59" t="str">
        <f>IF($A908="","",
   SUMIFS(Transactions!$P:$P,
          Transactions!$G:$G,$A908,
          Transactions!$C:$C,"IN",
          Transactions!$Q:$Q,"Paid"))</f>
        <v/>
      </c>
      <c r="H908" s="59" t="str">
        <f>IF($A908="","",
   SUMIFS(Transactions!$P:$P,
          Transactions!$G:$G,$A908,
          Transactions!$C:$C,"OUT"))</f>
        <v/>
      </c>
      <c r="I908" s="65" t="str">
        <f t="shared" si="72"/>
        <v/>
      </c>
      <c r="J908" s="59" t="str">
        <f t="shared" si="75"/>
        <v/>
      </c>
    </row>
    <row r="909" spans="4:10" ht="22.5" customHeight="1" x14ac:dyDescent="0.25">
      <c r="D909" s="59" t="str">
        <f t="shared" si="71"/>
        <v/>
      </c>
      <c r="E909" s="59" t="str">
        <f t="shared" si="73"/>
        <v/>
      </c>
      <c r="F909" s="59" t="str">
        <f t="shared" si="74"/>
        <v/>
      </c>
      <c r="G909" s="59" t="str">
        <f>IF($A909="","",
   SUMIFS(Transactions!$P:$P,
          Transactions!$G:$G,$A909,
          Transactions!$C:$C,"IN",
          Transactions!$Q:$Q,"Paid"))</f>
        <v/>
      </c>
      <c r="H909" s="59" t="str">
        <f>IF($A909="","",
   SUMIFS(Transactions!$P:$P,
          Transactions!$G:$G,$A909,
          Transactions!$C:$C,"OUT"))</f>
        <v/>
      </c>
      <c r="I909" s="65" t="str">
        <f t="shared" si="72"/>
        <v/>
      </c>
      <c r="J909" s="59" t="str">
        <f t="shared" si="75"/>
        <v/>
      </c>
    </row>
    <row r="910" spans="4:10" ht="22.5" customHeight="1" x14ac:dyDescent="0.25">
      <c r="D910" s="59" t="str">
        <f t="shared" si="71"/>
        <v/>
      </c>
      <c r="E910" s="59" t="str">
        <f t="shared" si="73"/>
        <v/>
      </c>
      <c r="F910" s="59" t="str">
        <f t="shared" si="74"/>
        <v/>
      </c>
      <c r="G910" s="59" t="str">
        <f>IF($A910="","",
   SUMIFS(Transactions!$P:$P,
          Transactions!$G:$G,$A910,
          Transactions!$C:$C,"IN",
          Transactions!$Q:$Q,"Paid"))</f>
        <v/>
      </c>
      <c r="H910" s="59" t="str">
        <f>IF($A910="","",
   SUMIFS(Transactions!$P:$P,
          Transactions!$G:$G,$A910,
          Transactions!$C:$C,"OUT"))</f>
        <v/>
      </c>
      <c r="I910" s="65" t="str">
        <f t="shared" si="72"/>
        <v/>
      </c>
      <c r="J910" s="59" t="str">
        <f t="shared" si="75"/>
        <v/>
      </c>
    </row>
    <row r="911" spans="4:10" ht="22.5" customHeight="1" x14ac:dyDescent="0.25">
      <c r="D911" s="59" t="str">
        <f t="shared" si="71"/>
        <v/>
      </c>
      <c r="E911" s="59" t="str">
        <f t="shared" si="73"/>
        <v/>
      </c>
      <c r="F911" s="59" t="str">
        <f t="shared" si="74"/>
        <v/>
      </c>
      <c r="G911" s="59" t="str">
        <f>IF($A911="","",
   SUMIFS(Transactions!$P:$P,
          Transactions!$G:$G,$A911,
          Transactions!$C:$C,"IN",
          Transactions!$Q:$Q,"Paid"))</f>
        <v/>
      </c>
      <c r="H911" s="59" t="str">
        <f>IF($A911="","",
   SUMIFS(Transactions!$P:$P,
          Transactions!$G:$G,$A911,
          Transactions!$C:$C,"OUT"))</f>
        <v/>
      </c>
      <c r="I911" s="65" t="str">
        <f t="shared" si="72"/>
        <v/>
      </c>
      <c r="J911" s="59" t="str">
        <f t="shared" si="75"/>
        <v/>
      </c>
    </row>
    <row r="912" spans="4:10" ht="22.5" customHeight="1" x14ac:dyDescent="0.25">
      <c r="D912" s="59" t="str">
        <f t="shared" si="71"/>
        <v/>
      </c>
      <c r="E912" s="59" t="str">
        <f t="shared" si="73"/>
        <v/>
      </c>
      <c r="F912" s="59" t="str">
        <f t="shared" si="74"/>
        <v/>
      </c>
      <c r="G912" s="59" t="str">
        <f>IF($A912="","",
   SUMIFS(Transactions!$P:$P,
          Transactions!$G:$G,$A912,
          Transactions!$C:$C,"IN",
          Transactions!$Q:$Q,"Paid"))</f>
        <v/>
      </c>
      <c r="H912" s="59" t="str">
        <f>IF($A912="","",
   SUMIFS(Transactions!$P:$P,
          Transactions!$G:$G,$A912,
          Transactions!$C:$C,"OUT"))</f>
        <v/>
      </c>
      <c r="I912" s="65" t="str">
        <f t="shared" si="72"/>
        <v/>
      </c>
      <c r="J912" s="59" t="str">
        <f t="shared" si="75"/>
        <v/>
      </c>
    </row>
    <row r="913" spans="4:10" ht="22.5" customHeight="1" x14ac:dyDescent="0.25">
      <c r="D913" s="59" t="str">
        <f t="shared" si="71"/>
        <v/>
      </c>
      <c r="E913" s="59" t="str">
        <f t="shared" si="73"/>
        <v/>
      </c>
      <c r="F913" s="59" t="str">
        <f t="shared" si="74"/>
        <v/>
      </c>
      <c r="G913" s="59" t="str">
        <f>IF($A913="","",
   SUMIFS(Transactions!$P:$P,
          Transactions!$G:$G,$A913,
          Transactions!$C:$C,"IN",
          Transactions!$Q:$Q,"Paid"))</f>
        <v/>
      </c>
      <c r="H913" s="59" t="str">
        <f>IF($A913="","",
   SUMIFS(Transactions!$P:$P,
          Transactions!$G:$G,$A913,
          Transactions!$C:$C,"OUT"))</f>
        <v/>
      </c>
      <c r="I913" s="65" t="str">
        <f t="shared" si="72"/>
        <v/>
      </c>
      <c r="J913" s="59" t="str">
        <f t="shared" si="75"/>
        <v/>
      </c>
    </row>
    <row r="914" spans="4:10" ht="22.5" customHeight="1" x14ac:dyDescent="0.25">
      <c r="D914" s="59" t="str">
        <f t="shared" si="71"/>
        <v/>
      </c>
      <c r="E914" s="59" t="str">
        <f t="shared" si="73"/>
        <v/>
      </c>
      <c r="F914" s="59" t="str">
        <f t="shared" si="74"/>
        <v/>
      </c>
      <c r="G914" s="59" t="str">
        <f>IF($A914="","",
   SUMIFS(Transactions!$P:$P,
          Transactions!$G:$G,$A914,
          Transactions!$C:$C,"IN",
          Transactions!$Q:$Q,"Paid"))</f>
        <v/>
      </c>
      <c r="H914" s="59" t="str">
        <f>IF($A914="","",
   SUMIFS(Transactions!$P:$P,
          Transactions!$G:$G,$A914,
          Transactions!$C:$C,"OUT"))</f>
        <v/>
      </c>
      <c r="I914" s="65" t="str">
        <f t="shared" si="72"/>
        <v/>
      </c>
      <c r="J914" s="59" t="str">
        <f t="shared" si="75"/>
        <v/>
      </c>
    </row>
    <row r="915" spans="4:10" ht="22.5" customHeight="1" x14ac:dyDescent="0.25">
      <c r="D915" s="59" t="str">
        <f t="shared" si="71"/>
        <v/>
      </c>
      <c r="E915" s="59" t="str">
        <f t="shared" si="73"/>
        <v/>
      </c>
      <c r="F915" s="59" t="str">
        <f t="shared" si="74"/>
        <v/>
      </c>
      <c r="G915" s="59" t="str">
        <f>IF($A915="","",
   SUMIFS(Transactions!$P:$P,
          Transactions!$G:$G,$A915,
          Transactions!$C:$C,"IN",
          Transactions!$Q:$Q,"Paid"))</f>
        <v/>
      </c>
      <c r="H915" s="59" t="str">
        <f>IF($A915="","",
   SUMIFS(Transactions!$P:$P,
          Transactions!$G:$G,$A915,
          Transactions!$C:$C,"OUT"))</f>
        <v/>
      </c>
      <c r="I915" s="65" t="str">
        <f t="shared" si="72"/>
        <v/>
      </c>
      <c r="J915" s="59" t="str">
        <f t="shared" si="75"/>
        <v/>
      </c>
    </row>
    <row r="916" spans="4:10" ht="22.5" customHeight="1" x14ac:dyDescent="0.25">
      <c r="D916" s="59" t="str">
        <f t="shared" si="71"/>
        <v/>
      </c>
      <c r="E916" s="59" t="str">
        <f t="shared" si="73"/>
        <v/>
      </c>
      <c r="F916" s="59" t="str">
        <f t="shared" si="74"/>
        <v/>
      </c>
      <c r="G916" s="59" t="str">
        <f>IF($A916="","",
   SUMIFS(Transactions!$P:$P,
          Transactions!$G:$G,$A916,
          Transactions!$C:$C,"IN",
          Transactions!$Q:$Q,"Paid"))</f>
        <v/>
      </c>
      <c r="H916" s="59" t="str">
        <f>IF($A916="","",
   SUMIFS(Transactions!$P:$P,
          Transactions!$G:$G,$A916,
          Transactions!$C:$C,"OUT"))</f>
        <v/>
      </c>
      <c r="I916" s="65" t="str">
        <f t="shared" si="72"/>
        <v/>
      </c>
      <c r="J916" s="59" t="str">
        <f t="shared" si="75"/>
        <v/>
      </c>
    </row>
    <row r="917" spans="4:10" ht="22.5" customHeight="1" x14ac:dyDescent="0.25">
      <c r="D917" s="59" t="str">
        <f t="shared" si="71"/>
        <v/>
      </c>
      <c r="E917" s="59" t="str">
        <f t="shared" si="73"/>
        <v/>
      </c>
      <c r="F917" s="59" t="str">
        <f t="shared" si="74"/>
        <v/>
      </c>
      <c r="G917" s="59" t="str">
        <f>IF($A917="","",
   SUMIFS(Transactions!$P:$P,
          Transactions!$G:$G,$A917,
          Transactions!$C:$C,"IN",
          Transactions!$Q:$Q,"Paid"))</f>
        <v/>
      </c>
      <c r="H917" s="59" t="str">
        <f>IF($A917="","",
   SUMIFS(Transactions!$P:$P,
          Transactions!$G:$G,$A917,
          Transactions!$C:$C,"OUT"))</f>
        <v/>
      </c>
      <c r="I917" s="65" t="str">
        <f t="shared" si="72"/>
        <v/>
      </c>
      <c r="J917" s="59" t="str">
        <f t="shared" si="75"/>
        <v/>
      </c>
    </row>
    <row r="918" spans="4:10" ht="22.5" customHeight="1" x14ac:dyDescent="0.25">
      <c r="D918" s="59" t="str">
        <f t="shared" si="71"/>
        <v/>
      </c>
      <c r="E918" s="59" t="str">
        <f t="shared" si="73"/>
        <v/>
      </c>
      <c r="F918" s="59" t="str">
        <f t="shared" si="74"/>
        <v/>
      </c>
      <c r="G918" s="59" t="str">
        <f>IF($A918="","",
   SUMIFS(Transactions!$P:$P,
          Transactions!$G:$G,$A918,
          Transactions!$C:$C,"IN",
          Transactions!$Q:$Q,"Paid"))</f>
        <v/>
      </c>
      <c r="H918" s="59" t="str">
        <f>IF($A918="","",
   SUMIFS(Transactions!$P:$P,
          Transactions!$G:$G,$A918,
          Transactions!$C:$C,"OUT"))</f>
        <v/>
      </c>
      <c r="I918" s="65" t="str">
        <f t="shared" si="72"/>
        <v/>
      </c>
      <c r="J918" s="59" t="str">
        <f t="shared" si="75"/>
        <v/>
      </c>
    </row>
    <row r="919" spans="4:10" ht="22.5" customHeight="1" x14ac:dyDescent="0.25">
      <c r="D919" s="59" t="str">
        <f t="shared" si="71"/>
        <v/>
      </c>
      <c r="E919" s="59" t="str">
        <f t="shared" si="73"/>
        <v/>
      </c>
      <c r="F919" s="59" t="str">
        <f t="shared" si="74"/>
        <v/>
      </c>
      <c r="G919" s="59" t="str">
        <f>IF($A919="","",
   SUMIFS(Transactions!$P:$P,
          Transactions!$G:$G,$A919,
          Transactions!$C:$C,"IN",
          Transactions!$Q:$Q,"Paid"))</f>
        <v/>
      </c>
      <c r="H919" s="59" t="str">
        <f>IF($A919="","",
   SUMIFS(Transactions!$P:$P,
          Transactions!$G:$G,$A919,
          Transactions!$C:$C,"OUT"))</f>
        <v/>
      </c>
      <c r="I919" s="65" t="str">
        <f t="shared" si="72"/>
        <v/>
      </c>
      <c r="J919" s="59" t="str">
        <f t="shared" si="75"/>
        <v/>
      </c>
    </row>
    <row r="920" spans="4:10" ht="22.5" customHeight="1" x14ac:dyDescent="0.25">
      <c r="D920" s="59" t="str">
        <f t="shared" si="71"/>
        <v/>
      </c>
      <c r="E920" s="59" t="str">
        <f t="shared" si="73"/>
        <v/>
      </c>
      <c r="F920" s="59" t="str">
        <f t="shared" si="74"/>
        <v/>
      </c>
      <c r="G920" s="59" t="str">
        <f>IF($A920="","",
   SUMIFS(Transactions!$P:$P,
          Transactions!$G:$G,$A920,
          Transactions!$C:$C,"IN",
          Transactions!$Q:$Q,"Paid"))</f>
        <v/>
      </c>
      <c r="H920" s="59" t="str">
        <f>IF($A920="","",
   SUMIFS(Transactions!$P:$P,
          Transactions!$G:$G,$A920,
          Transactions!$C:$C,"OUT"))</f>
        <v/>
      </c>
      <c r="I920" s="65" t="str">
        <f t="shared" si="72"/>
        <v/>
      </c>
      <c r="J920" s="59" t="str">
        <f t="shared" si="75"/>
        <v/>
      </c>
    </row>
    <row r="921" spans="4:10" ht="22.5" customHeight="1" x14ac:dyDescent="0.25">
      <c r="D921" s="59" t="str">
        <f t="shared" si="71"/>
        <v/>
      </c>
      <c r="E921" s="59" t="str">
        <f t="shared" si="73"/>
        <v/>
      </c>
      <c r="F921" s="59" t="str">
        <f t="shared" si="74"/>
        <v/>
      </c>
      <c r="G921" s="59" t="str">
        <f>IF($A921="","",
   SUMIFS(Transactions!$P:$P,
          Transactions!$G:$G,$A921,
          Transactions!$C:$C,"IN",
          Transactions!$Q:$Q,"Paid"))</f>
        <v/>
      </c>
      <c r="H921" s="59" t="str">
        <f>IF($A921="","",
   SUMIFS(Transactions!$P:$P,
          Transactions!$G:$G,$A921,
          Transactions!$C:$C,"OUT"))</f>
        <v/>
      </c>
      <c r="I921" s="65" t="str">
        <f t="shared" si="72"/>
        <v/>
      </c>
      <c r="J921" s="59" t="str">
        <f t="shared" si="75"/>
        <v/>
      </c>
    </row>
    <row r="922" spans="4:10" ht="22.5" customHeight="1" x14ac:dyDescent="0.25">
      <c r="D922" s="59" t="str">
        <f t="shared" si="71"/>
        <v/>
      </c>
      <c r="E922" s="59" t="str">
        <f t="shared" si="73"/>
        <v/>
      </c>
      <c r="F922" s="59" t="str">
        <f t="shared" si="74"/>
        <v/>
      </c>
      <c r="G922" s="59" t="str">
        <f>IF($A922="","",
   SUMIFS(Transactions!$P:$P,
          Transactions!$G:$G,$A922,
          Transactions!$C:$C,"IN",
          Transactions!$Q:$Q,"Paid"))</f>
        <v/>
      </c>
      <c r="H922" s="59" t="str">
        <f>IF($A922="","",
   SUMIFS(Transactions!$P:$P,
          Transactions!$G:$G,$A922,
          Transactions!$C:$C,"OUT"))</f>
        <v/>
      </c>
      <c r="I922" s="65" t="str">
        <f t="shared" si="72"/>
        <v/>
      </c>
      <c r="J922" s="59" t="str">
        <f t="shared" si="75"/>
        <v/>
      </c>
    </row>
    <row r="923" spans="4:10" ht="22.5" customHeight="1" x14ac:dyDescent="0.25">
      <c r="D923" s="59" t="str">
        <f t="shared" si="71"/>
        <v/>
      </c>
      <c r="E923" s="59" t="str">
        <f t="shared" si="73"/>
        <v/>
      </c>
      <c r="F923" s="59" t="str">
        <f t="shared" si="74"/>
        <v/>
      </c>
      <c r="G923" s="59" t="str">
        <f>IF($A923="","",
   SUMIFS(Transactions!$P:$P,
          Transactions!$G:$G,$A923,
          Transactions!$C:$C,"IN",
          Transactions!$Q:$Q,"Paid"))</f>
        <v/>
      </c>
      <c r="H923" s="59" t="str">
        <f>IF($A923="","",
   SUMIFS(Transactions!$P:$P,
          Transactions!$G:$G,$A923,
          Transactions!$C:$C,"OUT"))</f>
        <v/>
      </c>
      <c r="I923" s="65" t="str">
        <f t="shared" si="72"/>
        <v/>
      </c>
      <c r="J923" s="59" t="str">
        <f t="shared" si="75"/>
        <v/>
      </c>
    </row>
    <row r="924" spans="4:10" ht="22.5" customHeight="1" x14ac:dyDescent="0.25">
      <c r="D924" s="59" t="str">
        <f t="shared" si="71"/>
        <v/>
      </c>
      <c r="E924" s="59" t="str">
        <f t="shared" si="73"/>
        <v/>
      </c>
      <c r="F924" s="59" t="str">
        <f t="shared" si="74"/>
        <v/>
      </c>
      <c r="G924" s="59" t="str">
        <f>IF($A924="","",
   SUMIFS(Transactions!$P:$P,
          Transactions!$G:$G,$A924,
          Transactions!$C:$C,"IN",
          Transactions!$Q:$Q,"Paid"))</f>
        <v/>
      </c>
      <c r="H924" s="59" t="str">
        <f>IF($A924="","",
   SUMIFS(Transactions!$P:$P,
          Transactions!$G:$G,$A924,
          Transactions!$C:$C,"OUT"))</f>
        <v/>
      </c>
      <c r="I924" s="65" t="str">
        <f t="shared" si="72"/>
        <v/>
      </c>
      <c r="J924" s="59" t="str">
        <f t="shared" si="75"/>
        <v/>
      </c>
    </row>
    <row r="925" spans="4:10" ht="22.5" customHeight="1" x14ac:dyDescent="0.25">
      <c r="D925" s="59" t="str">
        <f t="shared" si="71"/>
        <v/>
      </c>
      <c r="E925" s="59" t="str">
        <f t="shared" si="73"/>
        <v/>
      </c>
      <c r="F925" s="59" t="str">
        <f t="shared" si="74"/>
        <v/>
      </c>
      <c r="G925" s="59" t="str">
        <f>IF($A925="","",
   SUMIFS(Transactions!$P:$P,
          Transactions!$G:$G,$A925,
          Transactions!$C:$C,"IN",
          Transactions!$Q:$Q,"Paid"))</f>
        <v/>
      </c>
      <c r="H925" s="59" t="str">
        <f>IF($A925="","",
   SUMIFS(Transactions!$P:$P,
          Transactions!$G:$G,$A925,
          Transactions!$C:$C,"OUT"))</f>
        <v/>
      </c>
      <c r="I925" s="65" t="str">
        <f t="shared" si="72"/>
        <v/>
      </c>
      <c r="J925" s="59" t="str">
        <f t="shared" si="75"/>
        <v/>
      </c>
    </row>
    <row r="926" spans="4:10" ht="22.5" customHeight="1" x14ac:dyDescent="0.25">
      <c r="D926" s="59" t="str">
        <f t="shared" si="71"/>
        <v/>
      </c>
      <c r="E926" s="59" t="str">
        <f t="shared" si="73"/>
        <v/>
      </c>
      <c r="F926" s="59" t="str">
        <f t="shared" si="74"/>
        <v/>
      </c>
      <c r="G926" s="59" t="str">
        <f>IF($A926="","",
   SUMIFS(Transactions!$P:$P,
          Transactions!$G:$G,$A926,
          Transactions!$C:$C,"IN",
          Transactions!$Q:$Q,"Paid"))</f>
        <v/>
      </c>
      <c r="H926" s="59" t="str">
        <f>IF($A926="","",
   SUMIFS(Transactions!$P:$P,
          Transactions!$G:$G,$A926,
          Transactions!$C:$C,"OUT"))</f>
        <v/>
      </c>
      <c r="I926" s="65" t="str">
        <f t="shared" si="72"/>
        <v/>
      </c>
      <c r="J926" s="59" t="str">
        <f t="shared" si="75"/>
        <v/>
      </c>
    </row>
    <row r="927" spans="4:10" ht="22.5" customHeight="1" x14ac:dyDescent="0.25">
      <c r="D927" s="59" t="str">
        <f t="shared" si="71"/>
        <v/>
      </c>
      <c r="E927" s="59" t="str">
        <f t="shared" si="73"/>
        <v/>
      </c>
      <c r="F927" s="59" t="str">
        <f t="shared" si="74"/>
        <v/>
      </c>
      <c r="G927" s="59" t="str">
        <f>IF($A927="","",
   SUMIFS(Transactions!$P:$P,
          Transactions!$G:$G,$A927,
          Transactions!$C:$C,"IN",
          Transactions!$Q:$Q,"Paid"))</f>
        <v/>
      </c>
      <c r="H927" s="59" t="str">
        <f>IF($A927="","",
   SUMIFS(Transactions!$P:$P,
          Transactions!$G:$G,$A927,
          Transactions!$C:$C,"OUT"))</f>
        <v/>
      </c>
      <c r="I927" s="65" t="str">
        <f t="shared" si="72"/>
        <v/>
      </c>
      <c r="J927" s="59" t="str">
        <f t="shared" si="75"/>
        <v/>
      </c>
    </row>
    <row r="928" spans="4:10" ht="22.5" customHeight="1" x14ac:dyDescent="0.25">
      <c r="D928" s="59" t="str">
        <f t="shared" si="71"/>
        <v/>
      </c>
      <c r="E928" s="59" t="str">
        <f t="shared" si="73"/>
        <v/>
      </c>
      <c r="F928" s="59" t="str">
        <f t="shared" si="74"/>
        <v/>
      </c>
      <c r="G928" s="59" t="str">
        <f>IF($A928="","",
   SUMIFS(Transactions!$P:$P,
          Transactions!$G:$G,$A928,
          Transactions!$C:$C,"IN",
          Transactions!$Q:$Q,"Paid"))</f>
        <v/>
      </c>
      <c r="H928" s="59" t="str">
        <f>IF($A928="","",
   SUMIFS(Transactions!$P:$P,
          Transactions!$G:$G,$A928,
          Transactions!$C:$C,"OUT"))</f>
        <v/>
      </c>
      <c r="I928" s="65" t="str">
        <f t="shared" si="72"/>
        <v/>
      </c>
      <c r="J928" s="59" t="str">
        <f t="shared" si="75"/>
        <v/>
      </c>
    </row>
    <row r="929" spans="4:10" ht="22.5" customHeight="1" x14ac:dyDescent="0.25">
      <c r="D929" s="59" t="str">
        <f t="shared" si="71"/>
        <v/>
      </c>
      <c r="E929" s="59" t="str">
        <f t="shared" si="73"/>
        <v/>
      </c>
      <c r="F929" s="59" t="str">
        <f t="shared" si="74"/>
        <v/>
      </c>
      <c r="G929" s="59" t="str">
        <f>IF($A929="","",
   SUMIFS(Transactions!$P:$P,
          Transactions!$G:$G,$A929,
          Transactions!$C:$C,"IN",
          Transactions!$Q:$Q,"Paid"))</f>
        <v/>
      </c>
      <c r="H929" s="59" t="str">
        <f>IF($A929="","",
   SUMIFS(Transactions!$P:$P,
          Transactions!$G:$G,$A929,
          Transactions!$C:$C,"OUT"))</f>
        <v/>
      </c>
      <c r="I929" s="65" t="str">
        <f t="shared" si="72"/>
        <v/>
      </c>
      <c r="J929" s="59" t="str">
        <f t="shared" si="75"/>
        <v/>
      </c>
    </row>
    <row r="930" spans="4:10" ht="22.5" customHeight="1" x14ac:dyDescent="0.25">
      <c r="D930" s="59" t="str">
        <f t="shared" si="71"/>
        <v/>
      </c>
      <c r="E930" s="59" t="str">
        <f t="shared" si="73"/>
        <v/>
      </c>
      <c r="F930" s="59" t="str">
        <f t="shared" si="74"/>
        <v/>
      </c>
      <c r="G930" s="59" t="str">
        <f>IF($A930="","",
   SUMIFS(Transactions!$P:$P,
          Transactions!$G:$G,$A930,
          Transactions!$C:$C,"IN",
          Transactions!$Q:$Q,"Paid"))</f>
        <v/>
      </c>
      <c r="H930" s="59" t="str">
        <f>IF($A930="","",
   SUMIFS(Transactions!$P:$P,
          Transactions!$G:$G,$A930,
          Transactions!$C:$C,"OUT"))</f>
        <v/>
      </c>
      <c r="I930" s="65" t="str">
        <f t="shared" si="72"/>
        <v/>
      </c>
      <c r="J930" s="59" t="str">
        <f t="shared" si="75"/>
        <v/>
      </c>
    </row>
    <row r="931" spans="4:10" ht="22.5" customHeight="1" x14ac:dyDescent="0.25">
      <c r="D931" s="59" t="str">
        <f t="shared" si="71"/>
        <v/>
      </c>
      <c r="E931" s="59" t="str">
        <f t="shared" si="73"/>
        <v/>
      </c>
      <c r="F931" s="59" t="str">
        <f t="shared" si="74"/>
        <v/>
      </c>
      <c r="G931" s="59" t="str">
        <f>IF($A931="","",
   SUMIFS(Transactions!$P:$P,
          Transactions!$G:$G,$A931,
          Transactions!$C:$C,"IN",
          Transactions!$Q:$Q,"Paid"))</f>
        <v/>
      </c>
      <c r="H931" s="59" t="str">
        <f>IF($A931="","",
   SUMIFS(Transactions!$P:$P,
          Transactions!$G:$G,$A931,
          Transactions!$C:$C,"OUT"))</f>
        <v/>
      </c>
      <c r="I931" s="65" t="str">
        <f t="shared" si="72"/>
        <v/>
      </c>
      <c r="J931" s="59" t="str">
        <f t="shared" si="75"/>
        <v/>
      </c>
    </row>
    <row r="932" spans="4:10" ht="22.5" customHeight="1" x14ac:dyDescent="0.25">
      <c r="D932" s="59" t="str">
        <f t="shared" si="71"/>
        <v/>
      </c>
      <c r="E932" s="59" t="str">
        <f t="shared" si="73"/>
        <v/>
      </c>
      <c r="F932" s="59" t="str">
        <f t="shared" si="74"/>
        <v/>
      </c>
      <c r="G932" s="59" t="str">
        <f>IF($A932="","",
   SUMIFS(Transactions!$P:$P,
          Transactions!$G:$G,$A932,
          Transactions!$C:$C,"IN",
          Transactions!$Q:$Q,"Paid"))</f>
        <v/>
      </c>
      <c r="H932" s="59" t="str">
        <f>IF($A932="","",
   SUMIFS(Transactions!$P:$P,
          Transactions!$G:$G,$A932,
          Transactions!$C:$C,"OUT"))</f>
        <v/>
      </c>
      <c r="I932" s="65" t="str">
        <f t="shared" si="72"/>
        <v/>
      </c>
      <c r="J932" s="59" t="str">
        <f t="shared" si="75"/>
        <v/>
      </c>
    </row>
    <row r="933" spans="4:10" ht="22.5" customHeight="1" x14ac:dyDescent="0.25">
      <c r="D933" s="59" t="str">
        <f t="shared" si="71"/>
        <v/>
      </c>
      <c r="E933" s="59" t="str">
        <f t="shared" si="73"/>
        <v/>
      </c>
      <c r="F933" s="59" t="str">
        <f t="shared" si="74"/>
        <v/>
      </c>
      <c r="G933" s="59" t="str">
        <f>IF($A933="","",
   SUMIFS(Transactions!$P:$P,
          Transactions!$G:$G,$A933,
          Transactions!$C:$C,"IN",
          Transactions!$Q:$Q,"Paid"))</f>
        <v/>
      </c>
      <c r="H933" s="59" t="str">
        <f>IF($A933="","",
   SUMIFS(Transactions!$P:$P,
          Transactions!$G:$G,$A933,
          Transactions!$C:$C,"OUT"))</f>
        <v/>
      </c>
      <c r="I933" s="65" t="str">
        <f t="shared" si="72"/>
        <v/>
      </c>
      <c r="J933" s="59" t="str">
        <f t="shared" si="75"/>
        <v/>
      </c>
    </row>
    <row r="934" spans="4:10" ht="22.5" customHeight="1" x14ac:dyDescent="0.25">
      <c r="D934" s="59" t="str">
        <f t="shared" si="71"/>
        <v/>
      </c>
      <c r="E934" s="59" t="str">
        <f t="shared" si="73"/>
        <v/>
      </c>
      <c r="F934" s="59" t="str">
        <f t="shared" si="74"/>
        <v/>
      </c>
      <c r="G934" s="59" t="str">
        <f>IF($A934="","",
   SUMIFS(Transactions!$P:$P,
          Transactions!$G:$G,$A934,
          Transactions!$C:$C,"IN",
          Transactions!$Q:$Q,"Paid"))</f>
        <v/>
      </c>
      <c r="H934" s="59" t="str">
        <f>IF($A934="","",
   SUMIFS(Transactions!$P:$P,
          Transactions!$G:$G,$A934,
          Transactions!$C:$C,"OUT"))</f>
        <v/>
      </c>
      <c r="I934" s="65" t="str">
        <f t="shared" si="72"/>
        <v/>
      </c>
      <c r="J934" s="59" t="str">
        <f t="shared" si="75"/>
        <v/>
      </c>
    </row>
    <row r="935" spans="4:10" ht="22.5" customHeight="1" x14ac:dyDescent="0.25">
      <c r="D935" s="59" t="str">
        <f t="shared" si="71"/>
        <v/>
      </c>
      <c r="E935" s="59" t="str">
        <f t="shared" si="73"/>
        <v/>
      </c>
      <c r="F935" s="59" t="str">
        <f t="shared" si="74"/>
        <v/>
      </c>
      <c r="G935" s="59" t="str">
        <f>IF($A935="","",
   SUMIFS(Transactions!$P:$P,
          Transactions!$G:$G,$A935,
          Transactions!$C:$C,"IN",
          Transactions!$Q:$Q,"Paid"))</f>
        <v/>
      </c>
      <c r="H935" s="59" t="str">
        <f>IF($A935="","",
   SUMIFS(Transactions!$P:$P,
          Transactions!$G:$G,$A935,
          Transactions!$C:$C,"OUT"))</f>
        <v/>
      </c>
      <c r="I935" s="65" t="str">
        <f t="shared" si="72"/>
        <v/>
      </c>
      <c r="J935" s="59" t="str">
        <f t="shared" si="75"/>
        <v/>
      </c>
    </row>
    <row r="936" spans="4:10" ht="22.5" customHeight="1" x14ac:dyDescent="0.25">
      <c r="D936" s="59" t="str">
        <f t="shared" si="71"/>
        <v/>
      </c>
      <c r="E936" s="59" t="str">
        <f t="shared" si="73"/>
        <v/>
      </c>
      <c r="F936" s="59" t="str">
        <f t="shared" si="74"/>
        <v/>
      </c>
      <c r="G936" s="59" t="str">
        <f>IF($A936="","",
   SUMIFS(Transactions!$P:$P,
          Transactions!$G:$G,$A936,
          Transactions!$C:$C,"IN",
          Transactions!$Q:$Q,"Paid"))</f>
        <v/>
      </c>
      <c r="H936" s="59" t="str">
        <f>IF($A936="","",
   SUMIFS(Transactions!$P:$P,
          Transactions!$G:$G,$A936,
          Transactions!$C:$C,"OUT"))</f>
        <v/>
      </c>
      <c r="I936" s="65" t="str">
        <f t="shared" si="72"/>
        <v/>
      </c>
      <c r="J936" s="59" t="str">
        <f t="shared" si="75"/>
        <v/>
      </c>
    </row>
    <row r="937" spans="4:10" ht="22.5" customHeight="1" x14ac:dyDescent="0.25">
      <c r="D937" s="59" t="str">
        <f t="shared" si="71"/>
        <v/>
      </c>
      <c r="E937" s="59" t="str">
        <f t="shared" si="73"/>
        <v/>
      </c>
      <c r="F937" s="59" t="str">
        <f t="shared" si="74"/>
        <v/>
      </c>
      <c r="G937" s="59" t="str">
        <f>IF($A937="","",
   SUMIFS(Transactions!$P:$P,
          Transactions!$G:$G,$A937,
          Transactions!$C:$C,"IN",
          Transactions!$Q:$Q,"Paid"))</f>
        <v/>
      </c>
      <c r="H937" s="59" t="str">
        <f>IF($A937="","",
   SUMIFS(Transactions!$P:$P,
          Transactions!$G:$G,$A937,
          Transactions!$C:$C,"OUT"))</f>
        <v/>
      </c>
      <c r="I937" s="65" t="str">
        <f t="shared" si="72"/>
        <v/>
      </c>
      <c r="J937" s="59" t="str">
        <f t="shared" si="75"/>
        <v/>
      </c>
    </row>
    <row r="938" spans="4:10" ht="22.5" customHeight="1" x14ac:dyDescent="0.25">
      <c r="D938" s="59" t="str">
        <f t="shared" si="71"/>
        <v/>
      </c>
      <c r="E938" s="59" t="str">
        <f t="shared" si="73"/>
        <v/>
      </c>
      <c r="F938" s="59" t="str">
        <f t="shared" si="74"/>
        <v/>
      </c>
      <c r="G938" s="59" t="str">
        <f>IF($A938="","",
   SUMIFS(Transactions!$P:$P,
          Transactions!$G:$G,$A938,
          Transactions!$C:$C,"IN",
          Transactions!$Q:$Q,"Paid"))</f>
        <v/>
      </c>
      <c r="H938" s="59" t="str">
        <f>IF($A938="","",
   SUMIFS(Transactions!$P:$P,
          Transactions!$G:$G,$A938,
          Transactions!$C:$C,"OUT"))</f>
        <v/>
      </c>
      <c r="I938" s="65" t="str">
        <f t="shared" si="72"/>
        <v/>
      </c>
      <c r="J938" s="59" t="str">
        <f t="shared" si="75"/>
        <v/>
      </c>
    </row>
    <row r="939" spans="4:10" ht="22.5" customHeight="1" x14ac:dyDescent="0.25">
      <c r="D939" s="59" t="str">
        <f t="shared" si="71"/>
        <v/>
      </c>
      <c r="E939" s="59" t="str">
        <f t="shared" si="73"/>
        <v/>
      </c>
      <c r="F939" s="59" t="str">
        <f t="shared" si="74"/>
        <v/>
      </c>
      <c r="G939" s="59" t="str">
        <f>IF($A939="","",
   SUMIFS(Transactions!$P:$P,
          Transactions!$G:$G,$A939,
          Transactions!$C:$C,"IN",
          Transactions!$Q:$Q,"Paid"))</f>
        <v/>
      </c>
      <c r="H939" s="59" t="str">
        <f>IF($A939="","",
   SUMIFS(Transactions!$P:$P,
          Transactions!$G:$G,$A939,
          Transactions!$C:$C,"OUT"))</f>
        <v/>
      </c>
      <c r="I939" s="65" t="str">
        <f t="shared" si="72"/>
        <v/>
      </c>
      <c r="J939" s="59" t="str">
        <f t="shared" si="75"/>
        <v/>
      </c>
    </row>
    <row r="940" spans="4:10" ht="22.5" customHeight="1" x14ac:dyDescent="0.25">
      <c r="D940" s="59" t="str">
        <f t="shared" si="71"/>
        <v/>
      </c>
      <c r="E940" s="59" t="str">
        <f t="shared" si="73"/>
        <v/>
      </c>
      <c r="F940" s="59" t="str">
        <f t="shared" si="74"/>
        <v/>
      </c>
      <c r="G940" s="59" t="str">
        <f>IF($A940="","",
   SUMIFS(Transactions!$P:$P,
          Transactions!$G:$G,$A940,
          Transactions!$C:$C,"IN",
          Transactions!$Q:$Q,"Paid"))</f>
        <v/>
      </c>
      <c r="H940" s="59" t="str">
        <f>IF($A940="","",
   SUMIFS(Transactions!$P:$P,
          Transactions!$G:$G,$A940,
          Transactions!$C:$C,"OUT"))</f>
        <v/>
      </c>
      <c r="I940" s="65" t="str">
        <f t="shared" si="72"/>
        <v/>
      </c>
      <c r="J940" s="59" t="str">
        <f t="shared" si="75"/>
        <v/>
      </c>
    </row>
    <row r="941" spans="4:10" ht="22.5" customHeight="1" x14ac:dyDescent="0.25">
      <c r="D941" s="59" t="str">
        <f t="shared" si="71"/>
        <v/>
      </c>
      <c r="E941" s="59" t="str">
        <f t="shared" si="73"/>
        <v/>
      </c>
      <c r="F941" s="59" t="str">
        <f t="shared" si="74"/>
        <v/>
      </c>
      <c r="G941" s="59" t="str">
        <f>IF($A941="","",
   SUMIFS(Transactions!$P:$P,
          Transactions!$G:$G,$A941,
          Transactions!$C:$C,"IN",
          Transactions!$Q:$Q,"Paid"))</f>
        <v/>
      </c>
      <c r="H941" s="59" t="str">
        <f>IF($A941="","",
   SUMIFS(Transactions!$P:$P,
          Transactions!$G:$G,$A941,
          Transactions!$C:$C,"OUT"))</f>
        <v/>
      </c>
      <c r="I941" s="65" t="str">
        <f t="shared" si="72"/>
        <v/>
      </c>
      <c r="J941" s="59" t="str">
        <f t="shared" si="75"/>
        <v/>
      </c>
    </row>
    <row r="942" spans="4:10" ht="22.5" customHeight="1" x14ac:dyDescent="0.25">
      <c r="D942" s="59" t="str">
        <f t="shared" si="71"/>
        <v/>
      </c>
      <c r="E942" s="59" t="str">
        <f t="shared" si="73"/>
        <v/>
      </c>
      <c r="F942" s="59" t="str">
        <f t="shared" si="74"/>
        <v/>
      </c>
      <c r="G942" s="59" t="str">
        <f>IF($A942="","",
   SUMIFS(Transactions!$P:$P,
          Transactions!$G:$G,$A942,
          Transactions!$C:$C,"IN",
          Transactions!$Q:$Q,"Paid"))</f>
        <v/>
      </c>
      <c r="H942" s="59" t="str">
        <f>IF($A942="","",
   SUMIFS(Transactions!$P:$P,
          Transactions!$G:$G,$A942,
          Transactions!$C:$C,"OUT"))</f>
        <v/>
      </c>
      <c r="I942" s="65" t="str">
        <f t="shared" si="72"/>
        <v/>
      </c>
      <c r="J942" s="59" t="str">
        <f t="shared" si="75"/>
        <v/>
      </c>
    </row>
    <row r="943" spans="4:10" ht="22.5" customHeight="1" x14ac:dyDescent="0.25">
      <c r="D943" s="59" t="str">
        <f t="shared" si="71"/>
        <v/>
      </c>
      <c r="E943" s="59" t="str">
        <f t="shared" si="73"/>
        <v/>
      </c>
      <c r="F943" s="59" t="str">
        <f t="shared" si="74"/>
        <v/>
      </c>
      <c r="G943" s="59" t="str">
        <f>IF($A943="","",
   SUMIFS(Transactions!$P:$P,
          Transactions!$G:$G,$A943,
          Transactions!$C:$C,"IN",
          Transactions!$Q:$Q,"Paid"))</f>
        <v/>
      </c>
      <c r="H943" s="59" t="str">
        <f>IF($A943="","",
   SUMIFS(Transactions!$P:$P,
          Transactions!$G:$G,$A943,
          Transactions!$C:$C,"OUT"))</f>
        <v/>
      </c>
      <c r="I943" s="65" t="str">
        <f t="shared" si="72"/>
        <v/>
      </c>
      <c r="J943" s="59" t="str">
        <f t="shared" si="75"/>
        <v/>
      </c>
    </row>
    <row r="944" spans="4:10" ht="22.5" customHeight="1" x14ac:dyDescent="0.25">
      <c r="D944" s="59" t="str">
        <f t="shared" si="71"/>
        <v/>
      </c>
      <c r="E944" s="59" t="str">
        <f t="shared" si="73"/>
        <v/>
      </c>
      <c r="F944" s="59" t="str">
        <f t="shared" si="74"/>
        <v/>
      </c>
      <c r="G944" s="59" t="str">
        <f>IF($A944="","",
   SUMIFS(Transactions!$P:$P,
          Transactions!$G:$G,$A944,
          Transactions!$C:$C,"IN",
          Transactions!$Q:$Q,"Paid"))</f>
        <v/>
      </c>
      <c r="H944" s="59" t="str">
        <f>IF($A944="","",
   SUMIFS(Transactions!$P:$P,
          Transactions!$G:$G,$A944,
          Transactions!$C:$C,"OUT"))</f>
        <v/>
      </c>
      <c r="I944" s="65" t="str">
        <f t="shared" si="72"/>
        <v/>
      </c>
      <c r="J944" s="59" t="str">
        <f t="shared" si="75"/>
        <v/>
      </c>
    </row>
    <row r="945" spans="4:10" ht="22.5" customHeight="1" x14ac:dyDescent="0.25">
      <c r="D945" s="59" t="str">
        <f t="shared" si="71"/>
        <v/>
      </c>
      <c r="E945" s="59" t="str">
        <f t="shared" si="73"/>
        <v/>
      </c>
      <c r="F945" s="59" t="str">
        <f t="shared" si="74"/>
        <v/>
      </c>
      <c r="G945" s="59" t="str">
        <f>IF($A945="","",
   SUMIFS(Transactions!$P:$P,
          Transactions!$G:$G,$A945,
          Transactions!$C:$C,"IN",
          Transactions!$Q:$Q,"Paid"))</f>
        <v/>
      </c>
      <c r="H945" s="59" t="str">
        <f>IF($A945="","",
   SUMIFS(Transactions!$P:$P,
          Transactions!$G:$G,$A945,
          Transactions!$C:$C,"OUT"))</f>
        <v/>
      </c>
      <c r="I945" s="65" t="str">
        <f t="shared" si="72"/>
        <v/>
      </c>
      <c r="J945" s="59" t="str">
        <f t="shared" si="75"/>
        <v/>
      </c>
    </row>
    <row r="946" spans="4:10" ht="22.5" customHeight="1" x14ac:dyDescent="0.25">
      <c r="D946" s="59" t="str">
        <f t="shared" si="71"/>
        <v/>
      </c>
      <c r="E946" s="59" t="str">
        <f t="shared" si="73"/>
        <v/>
      </c>
      <c r="F946" s="59" t="str">
        <f t="shared" si="74"/>
        <v/>
      </c>
      <c r="G946" s="59" t="str">
        <f>IF($A946="","",
   SUMIFS(Transactions!$P:$P,
          Transactions!$G:$G,$A946,
          Transactions!$C:$C,"IN",
          Transactions!$Q:$Q,"Paid"))</f>
        <v/>
      </c>
      <c r="H946" s="59" t="str">
        <f>IF($A946="","",
   SUMIFS(Transactions!$P:$P,
          Transactions!$G:$G,$A946,
          Transactions!$C:$C,"OUT"))</f>
        <v/>
      </c>
      <c r="I946" s="65" t="str">
        <f t="shared" si="72"/>
        <v/>
      </c>
      <c r="J946" s="59" t="str">
        <f t="shared" si="75"/>
        <v/>
      </c>
    </row>
    <row r="947" spans="4:10" ht="22.5" customHeight="1" x14ac:dyDescent="0.25">
      <c r="D947" s="59" t="str">
        <f t="shared" si="71"/>
        <v/>
      </c>
      <c r="E947" s="59" t="str">
        <f t="shared" si="73"/>
        <v/>
      </c>
      <c r="F947" s="59" t="str">
        <f t="shared" si="74"/>
        <v/>
      </c>
      <c r="G947" s="59" t="str">
        <f>IF($A947="","",
   SUMIFS(Transactions!$P:$P,
          Transactions!$G:$G,$A947,
          Transactions!$C:$C,"IN",
          Transactions!$Q:$Q,"Paid"))</f>
        <v/>
      </c>
      <c r="H947" s="59" t="str">
        <f>IF($A947="","",
   SUMIFS(Transactions!$P:$P,
          Transactions!$G:$G,$A947,
          Transactions!$C:$C,"OUT"))</f>
        <v/>
      </c>
      <c r="I947" s="65" t="str">
        <f t="shared" si="72"/>
        <v/>
      </c>
      <c r="J947" s="59" t="str">
        <f t="shared" si="75"/>
        <v/>
      </c>
    </row>
    <row r="948" spans="4:10" ht="22.5" customHeight="1" x14ac:dyDescent="0.25">
      <c r="D948" s="59" t="str">
        <f t="shared" si="71"/>
        <v/>
      </c>
      <c r="E948" s="59" t="str">
        <f t="shared" si="73"/>
        <v/>
      </c>
      <c r="F948" s="59" t="str">
        <f t="shared" si="74"/>
        <v/>
      </c>
      <c r="G948" s="59" t="str">
        <f>IF($A948="","",
   SUMIFS(Transactions!$P:$P,
          Transactions!$G:$G,$A948,
          Transactions!$C:$C,"IN",
          Transactions!$Q:$Q,"Paid"))</f>
        <v/>
      </c>
      <c r="H948" s="59" t="str">
        <f>IF($A948="","",
   SUMIFS(Transactions!$P:$P,
          Transactions!$G:$G,$A948,
          Transactions!$C:$C,"OUT"))</f>
        <v/>
      </c>
      <c r="I948" s="65" t="str">
        <f t="shared" si="72"/>
        <v/>
      </c>
      <c r="J948" s="59" t="str">
        <f t="shared" si="75"/>
        <v/>
      </c>
    </row>
    <row r="949" spans="4:10" ht="22.5" customHeight="1" x14ac:dyDescent="0.25">
      <c r="D949" s="59" t="str">
        <f t="shared" si="71"/>
        <v/>
      </c>
      <c r="E949" s="59" t="str">
        <f t="shared" si="73"/>
        <v/>
      </c>
      <c r="F949" s="59" t="str">
        <f t="shared" si="74"/>
        <v/>
      </c>
      <c r="G949" s="59" t="str">
        <f>IF($A949="","",
   SUMIFS(Transactions!$P:$P,
          Transactions!$G:$G,$A949,
          Transactions!$C:$C,"IN",
          Transactions!$Q:$Q,"Paid"))</f>
        <v/>
      </c>
      <c r="H949" s="59" t="str">
        <f>IF($A949="","",
   SUMIFS(Transactions!$P:$P,
          Transactions!$G:$G,$A949,
          Transactions!$C:$C,"OUT"))</f>
        <v/>
      </c>
      <c r="I949" s="65" t="str">
        <f t="shared" si="72"/>
        <v/>
      </c>
      <c r="J949" s="59" t="str">
        <f t="shared" si="75"/>
        <v/>
      </c>
    </row>
    <row r="950" spans="4:10" ht="22.5" customHeight="1" x14ac:dyDescent="0.25">
      <c r="D950" s="59" t="str">
        <f t="shared" si="71"/>
        <v/>
      </c>
      <c r="E950" s="59" t="str">
        <f t="shared" si="73"/>
        <v/>
      </c>
      <c r="F950" s="59" t="str">
        <f t="shared" si="74"/>
        <v/>
      </c>
      <c r="G950" s="59" t="str">
        <f>IF($A950="","",
   SUMIFS(Transactions!$P:$P,
          Transactions!$G:$G,$A950,
          Transactions!$C:$C,"IN",
          Transactions!$Q:$Q,"Paid"))</f>
        <v/>
      </c>
      <c r="H950" s="59" t="str">
        <f>IF($A950="","",
   SUMIFS(Transactions!$P:$P,
          Transactions!$G:$G,$A950,
          Transactions!$C:$C,"OUT"))</f>
        <v/>
      </c>
      <c r="I950" s="65" t="str">
        <f t="shared" si="72"/>
        <v/>
      </c>
      <c r="J950" s="59" t="str">
        <f t="shared" si="75"/>
        <v/>
      </c>
    </row>
    <row r="951" spans="4:10" ht="22.5" customHeight="1" x14ac:dyDescent="0.25">
      <c r="D951" s="59" t="str">
        <f t="shared" si="71"/>
        <v/>
      </c>
      <c r="E951" s="59" t="str">
        <f t="shared" si="73"/>
        <v/>
      </c>
      <c r="F951" s="59" t="str">
        <f t="shared" si="74"/>
        <v/>
      </c>
      <c r="G951" s="59" t="str">
        <f>IF($A951="","",
   SUMIFS(Transactions!$P:$P,
          Transactions!$G:$G,$A951,
          Transactions!$C:$C,"IN",
          Transactions!$Q:$Q,"Paid"))</f>
        <v/>
      </c>
      <c r="H951" s="59" t="str">
        <f>IF($A951="","",
   SUMIFS(Transactions!$P:$P,
          Transactions!$G:$G,$A951,
          Transactions!$C:$C,"OUT"))</f>
        <v/>
      </c>
      <c r="I951" s="65" t="str">
        <f t="shared" si="72"/>
        <v/>
      </c>
      <c r="J951" s="59" t="str">
        <f t="shared" si="75"/>
        <v/>
      </c>
    </row>
    <row r="952" spans="4:10" ht="22.5" customHeight="1" x14ac:dyDescent="0.25">
      <c r="D952" s="59" t="str">
        <f t="shared" si="71"/>
        <v/>
      </c>
      <c r="E952" s="59" t="str">
        <f t="shared" si="73"/>
        <v/>
      </c>
      <c r="F952" s="59" t="str">
        <f t="shared" si="74"/>
        <v/>
      </c>
      <c r="G952" s="59" t="str">
        <f>IF($A952="","",
   SUMIFS(Transactions!$P:$P,
          Transactions!$G:$G,$A952,
          Transactions!$C:$C,"IN",
          Transactions!$Q:$Q,"Paid"))</f>
        <v/>
      </c>
      <c r="H952" s="59" t="str">
        <f>IF($A952="","",
   SUMIFS(Transactions!$P:$P,
          Transactions!$G:$G,$A952,
          Transactions!$C:$C,"OUT"))</f>
        <v/>
      </c>
      <c r="I952" s="65" t="str">
        <f t="shared" si="72"/>
        <v/>
      </c>
      <c r="J952" s="59" t="str">
        <f t="shared" si="75"/>
        <v/>
      </c>
    </row>
    <row r="953" spans="4:10" ht="22.5" customHeight="1" x14ac:dyDescent="0.25">
      <c r="D953" s="59" t="str">
        <f t="shared" si="71"/>
        <v/>
      </c>
      <c r="E953" s="59" t="str">
        <f t="shared" si="73"/>
        <v/>
      </c>
      <c r="F953" s="59" t="str">
        <f t="shared" si="74"/>
        <v/>
      </c>
      <c r="G953" s="59" t="str">
        <f>IF($A953="","",
   SUMIFS(Transactions!$P:$P,
          Transactions!$G:$G,$A953,
          Transactions!$C:$C,"IN",
          Transactions!$Q:$Q,"Paid"))</f>
        <v/>
      </c>
      <c r="H953" s="59" t="str">
        <f>IF($A953="","",
   SUMIFS(Transactions!$P:$P,
          Transactions!$G:$G,$A953,
          Transactions!$C:$C,"OUT"))</f>
        <v/>
      </c>
      <c r="I953" s="65" t="str">
        <f t="shared" si="72"/>
        <v/>
      </c>
      <c r="J953" s="59" t="str">
        <f t="shared" si="75"/>
        <v/>
      </c>
    </row>
    <row r="954" spans="4:10" ht="22.5" customHeight="1" x14ac:dyDescent="0.25">
      <c r="D954" s="59" t="str">
        <f t="shared" si="71"/>
        <v/>
      </c>
      <c r="E954" s="59" t="str">
        <f t="shared" si="73"/>
        <v/>
      </c>
      <c r="F954" s="59" t="str">
        <f t="shared" si="74"/>
        <v/>
      </c>
      <c r="G954" s="59" t="str">
        <f>IF($A954="","",
   SUMIFS(Transactions!$P:$P,
          Transactions!$G:$G,$A954,
          Transactions!$C:$C,"IN",
          Transactions!$Q:$Q,"Paid"))</f>
        <v/>
      </c>
      <c r="H954" s="59" t="str">
        <f>IF($A954="","",
   SUMIFS(Transactions!$P:$P,
          Transactions!$G:$G,$A954,
          Transactions!$C:$C,"OUT"))</f>
        <v/>
      </c>
      <c r="I954" s="65" t="str">
        <f t="shared" si="72"/>
        <v/>
      </c>
      <c r="J954" s="59" t="str">
        <f t="shared" si="75"/>
        <v/>
      </c>
    </row>
    <row r="955" spans="4:10" ht="22.5" customHeight="1" x14ac:dyDescent="0.25">
      <c r="D955" s="59" t="str">
        <f t="shared" si="71"/>
        <v/>
      </c>
      <c r="E955" s="59" t="str">
        <f t="shared" si="73"/>
        <v/>
      </c>
      <c r="F955" s="59" t="str">
        <f t="shared" si="74"/>
        <v/>
      </c>
      <c r="G955" s="59" t="str">
        <f>IF($A955="","",
   SUMIFS(Transactions!$P:$P,
          Transactions!$G:$G,$A955,
          Transactions!$C:$C,"IN",
          Transactions!$Q:$Q,"Paid"))</f>
        <v/>
      </c>
      <c r="H955" s="59" t="str">
        <f>IF($A955="","",
   SUMIFS(Transactions!$P:$P,
          Transactions!$G:$G,$A955,
          Transactions!$C:$C,"OUT"))</f>
        <v/>
      </c>
      <c r="I955" s="65" t="str">
        <f t="shared" si="72"/>
        <v/>
      </c>
      <c r="J955" s="59" t="str">
        <f t="shared" si="75"/>
        <v/>
      </c>
    </row>
    <row r="956" spans="4:10" ht="22.5" customHeight="1" x14ac:dyDescent="0.25">
      <c r="D956" s="59" t="str">
        <f t="shared" si="71"/>
        <v/>
      </c>
      <c r="E956" s="59" t="str">
        <f t="shared" si="73"/>
        <v/>
      </c>
      <c r="F956" s="59" t="str">
        <f t="shared" si="74"/>
        <v/>
      </c>
      <c r="G956" s="59" t="str">
        <f>IF($A956="","",
   SUMIFS(Transactions!$P:$P,
          Transactions!$G:$G,$A956,
          Transactions!$C:$C,"IN",
          Transactions!$Q:$Q,"Paid"))</f>
        <v/>
      </c>
      <c r="H956" s="59" t="str">
        <f>IF($A956="","",
   SUMIFS(Transactions!$P:$P,
          Transactions!$G:$G,$A956,
          Transactions!$C:$C,"OUT"))</f>
        <v/>
      </c>
      <c r="I956" s="65" t="str">
        <f t="shared" si="72"/>
        <v/>
      </c>
      <c r="J956" s="59" t="str">
        <f t="shared" si="75"/>
        <v/>
      </c>
    </row>
    <row r="957" spans="4:10" ht="22.5" customHeight="1" x14ac:dyDescent="0.25">
      <c r="D957" s="59" t="str">
        <f t="shared" si="71"/>
        <v/>
      </c>
      <c r="E957" s="59" t="str">
        <f t="shared" si="73"/>
        <v/>
      </c>
      <c r="F957" s="59" t="str">
        <f t="shared" si="74"/>
        <v/>
      </c>
      <c r="G957" s="59" t="str">
        <f>IF($A957="","",
   SUMIFS(Transactions!$P:$P,
          Transactions!$G:$G,$A957,
          Transactions!$C:$C,"IN",
          Transactions!$Q:$Q,"Paid"))</f>
        <v/>
      </c>
      <c r="H957" s="59" t="str">
        <f>IF($A957="","",
   SUMIFS(Transactions!$P:$P,
          Transactions!$G:$G,$A957,
          Transactions!$C:$C,"OUT"))</f>
        <v/>
      </c>
      <c r="I957" s="65" t="str">
        <f t="shared" si="72"/>
        <v/>
      </c>
      <c r="J957" s="59" t="str">
        <f t="shared" si="75"/>
        <v/>
      </c>
    </row>
    <row r="958" spans="4:10" ht="22.5" customHeight="1" x14ac:dyDescent="0.25">
      <c r="D958" s="59" t="str">
        <f t="shared" si="71"/>
        <v/>
      </c>
      <c r="E958" s="59" t="str">
        <f t="shared" si="73"/>
        <v/>
      </c>
      <c r="F958" s="59" t="str">
        <f t="shared" si="74"/>
        <v/>
      </c>
      <c r="G958" s="59" t="str">
        <f>IF($A958="","",
   SUMIFS(Transactions!$P:$P,
          Transactions!$G:$G,$A958,
          Transactions!$C:$C,"IN",
          Transactions!$Q:$Q,"Paid"))</f>
        <v/>
      </c>
      <c r="H958" s="59" t="str">
        <f>IF($A958="","",
   SUMIFS(Transactions!$P:$P,
          Transactions!$G:$G,$A958,
          Transactions!$C:$C,"OUT"))</f>
        <v/>
      </c>
      <c r="I958" s="65" t="str">
        <f t="shared" si="72"/>
        <v/>
      </c>
      <c r="J958" s="59" t="str">
        <f t="shared" si="75"/>
        <v/>
      </c>
    </row>
    <row r="959" spans="4:10" ht="22.5" customHeight="1" x14ac:dyDescent="0.25">
      <c r="D959" s="59" t="str">
        <f t="shared" si="71"/>
        <v/>
      </c>
      <c r="E959" s="59" t="str">
        <f t="shared" si="73"/>
        <v/>
      </c>
      <c r="F959" s="59" t="str">
        <f t="shared" si="74"/>
        <v/>
      </c>
      <c r="G959" s="59" t="str">
        <f>IF($A959="","",
   SUMIFS(Transactions!$P:$P,
          Transactions!$G:$G,$A959,
          Transactions!$C:$C,"IN",
          Transactions!$Q:$Q,"Paid"))</f>
        <v/>
      </c>
      <c r="H959" s="59" t="str">
        <f>IF($A959="","",
   SUMIFS(Transactions!$P:$P,
          Transactions!$G:$G,$A959,
          Transactions!$C:$C,"OUT"))</f>
        <v/>
      </c>
      <c r="I959" s="65" t="str">
        <f t="shared" si="72"/>
        <v/>
      </c>
      <c r="J959" s="59" t="str">
        <f t="shared" si="75"/>
        <v/>
      </c>
    </row>
    <row r="960" spans="4:10" ht="22.5" customHeight="1" x14ac:dyDescent="0.25">
      <c r="D960" s="59" t="str">
        <f t="shared" si="71"/>
        <v/>
      </c>
      <c r="E960" s="59" t="str">
        <f t="shared" si="73"/>
        <v/>
      </c>
      <c r="F960" s="59" t="str">
        <f t="shared" si="74"/>
        <v/>
      </c>
      <c r="G960" s="59" t="str">
        <f>IF($A960="","",
   SUMIFS(Transactions!$P:$P,
          Transactions!$G:$G,$A960,
          Transactions!$C:$C,"IN",
          Transactions!$Q:$Q,"Paid"))</f>
        <v/>
      </c>
      <c r="H960" s="59" t="str">
        <f>IF($A960="","",
   SUMIFS(Transactions!$P:$P,
          Transactions!$G:$G,$A960,
          Transactions!$C:$C,"OUT"))</f>
        <v/>
      </c>
      <c r="I960" s="65" t="str">
        <f t="shared" si="72"/>
        <v/>
      </c>
      <c r="J960" s="59" t="str">
        <f t="shared" si="75"/>
        <v/>
      </c>
    </row>
    <row r="961" spans="4:10" ht="22.5" customHeight="1" x14ac:dyDescent="0.25">
      <c r="D961" s="59" t="str">
        <f t="shared" si="71"/>
        <v/>
      </c>
      <c r="E961" s="59" t="str">
        <f t="shared" si="73"/>
        <v/>
      </c>
      <c r="F961" s="59" t="str">
        <f t="shared" si="74"/>
        <v/>
      </c>
      <c r="G961" s="59" t="str">
        <f>IF($A961="","",
   SUMIFS(Transactions!$P:$P,
          Transactions!$G:$G,$A961,
          Transactions!$C:$C,"IN",
          Transactions!$Q:$Q,"Paid"))</f>
        <v/>
      </c>
      <c r="H961" s="59" t="str">
        <f>IF($A961="","",
   SUMIFS(Transactions!$P:$P,
          Transactions!$G:$G,$A961,
          Transactions!$C:$C,"OUT"))</f>
        <v/>
      </c>
      <c r="I961" s="65" t="str">
        <f t="shared" si="72"/>
        <v/>
      </c>
      <c r="J961" s="59" t="str">
        <f t="shared" si="75"/>
        <v/>
      </c>
    </row>
    <row r="962" spans="4:10" ht="22.5" customHeight="1" x14ac:dyDescent="0.25">
      <c r="D962" s="59" t="str">
        <f t="shared" si="71"/>
        <v/>
      </c>
      <c r="E962" s="59" t="str">
        <f t="shared" si="73"/>
        <v/>
      </c>
      <c r="F962" s="59" t="str">
        <f t="shared" si="74"/>
        <v/>
      </c>
      <c r="G962" s="59" t="str">
        <f>IF($A962="","",
   SUMIFS(Transactions!$P:$P,
          Transactions!$G:$G,$A962,
          Transactions!$C:$C,"IN",
          Transactions!$Q:$Q,"Paid"))</f>
        <v/>
      </c>
      <c r="H962" s="59" t="str">
        <f>IF($A962="","",
   SUMIFS(Transactions!$P:$P,
          Transactions!$G:$G,$A962,
          Transactions!$C:$C,"OUT"))</f>
        <v/>
      </c>
      <c r="I962" s="65" t="str">
        <f t="shared" si="72"/>
        <v/>
      </c>
      <c r="J962" s="59" t="str">
        <f t="shared" si="75"/>
        <v/>
      </c>
    </row>
    <row r="963" spans="4:10" ht="22.5" customHeight="1" x14ac:dyDescent="0.25">
      <c r="D963" s="59" t="str">
        <f t="shared" ref="D963:D1026" si="76">IF(C963="","",ROUND(C963*0.15,2))</f>
        <v/>
      </c>
      <c r="E963" s="59" t="str">
        <f t="shared" si="73"/>
        <v/>
      </c>
      <c r="F963" s="59" t="str">
        <f t="shared" si="74"/>
        <v/>
      </c>
      <c r="G963" s="59" t="str">
        <f>IF($A963="","",
   SUMIFS(Transactions!$P:$P,
          Transactions!$G:$G,$A963,
          Transactions!$C:$C,"IN",
          Transactions!$Q:$Q,"Paid"))</f>
        <v/>
      </c>
      <c r="H963" s="59" t="str">
        <f>IF($A963="","",
   SUMIFS(Transactions!$P:$P,
          Transactions!$G:$G,$A963,
          Transactions!$C:$C,"OUT"))</f>
        <v/>
      </c>
      <c r="I963" s="65" t="str">
        <f t="shared" ref="I963:I1026" si="77">IF(C963="","",C963-H963)</f>
        <v/>
      </c>
      <c r="J963" s="59" t="str">
        <f t="shared" si="75"/>
        <v/>
      </c>
    </row>
    <row r="964" spans="4:10" ht="22.5" customHeight="1" x14ac:dyDescent="0.25">
      <c r="D964" s="59" t="str">
        <f t="shared" si="76"/>
        <v/>
      </c>
      <c r="E964" s="59" t="str">
        <f t="shared" ref="E964:E1027" si="78">IF(C964="","",C964+D964)</f>
        <v/>
      </c>
      <c r="F964" s="59" t="str">
        <f t="shared" ref="F964:F1027" si="79">IF(E964="","",E964*0.5)</f>
        <v/>
      </c>
      <c r="G964" s="59" t="str">
        <f>IF($A964="","",
   SUMIFS(Transactions!$P:$P,
          Transactions!$G:$G,$A964,
          Transactions!$C:$C,"IN",
          Transactions!$Q:$Q,"Paid"))</f>
        <v/>
      </c>
      <c r="H964" s="59" t="str">
        <f>IF($A964="","",
   SUMIFS(Transactions!$P:$P,
          Transactions!$G:$G,$A964,
          Transactions!$C:$C,"OUT"))</f>
        <v/>
      </c>
      <c r="I964" s="65" t="str">
        <f t="shared" si="77"/>
        <v/>
      </c>
      <c r="J964" s="59" t="str">
        <f t="shared" ref="J964:J1027" si="80">IF(E964="","",E964-G964)</f>
        <v/>
      </c>
    </row>
    <row r="965" spans="4:10" ht="22.5" customHeight="1" x14ac:dyDescent="0.25">
      <c r="D965" s="59" t="str">
        <f t="shared" si="76"/>
        <v/>
      </c>
      <c r="E965" s="59" t="str">
        <f t="shared" si="78"/>
        <v/>
      </c>
      <c r="F965" s="59" t="str">
        <f t="shared" si="79"/>
        <v/>
      </c>
      <c r="G965" s="59" t="str">
        <f>IF($A965="","",
   SUMIFS(Transactions!$P:$P,
          Transactions!$G:$G,$A965,
          Transactions!$C:$C,"IN",
          Transactions!$Q:$Q,"Paid"))</f>
        <v/>
      </c>
      <c r="H965" s="59" t="str">
        <f>IF($A965="","",
   SUMIFS(Transactions!$P:$P,
          Transactions!$G:$G,$A965,
          Transactions!$C:$C,"OUT"))</f>
        <v/>
      </c>
      <c r="I965" s="65" t="str">
        <f t="shared" si="77"/>
        <v/>
      </c>
      <c r="J965" s="59" t="str">
        <f t="shared" si="80"/>
        <v/>
      </c>
    </row>
    <row r="966" spans="4:10" ht="22.5" customHeight="1" x14ac:dyDescent="0.25">
      <c r="D966" s="59" t="str">
        <f t="shared" si="76"/>
        <v/>
      </c>
      <c r="E966" s="59" t="str">
        <f t="shared" si="78"/>
        <v/>
      </c>
      <c r="F966" s="59" t="str">
        <f t="shared" si="79"/>
        <v/>
      </c>
      <c r="G966" s="59" t="str">
        <f>IF($A966="","",
   SUMIFS(Transactions!$P:$P,
          Transactions!$G:$G,$A966,
          Transactions!$C:$C,"IN",
          Transactions!$Q:$Q,"Paid"))</f>
        <v/>
      </c>
      <c r="H966" s="59" t="str">
        <f>IF($A966="","",
   SUMIFS(Transactions!$P:$P,
          Transactions!$G:$G,$A966,
          Transactions!$C:$C,"OUT"))</f>
        <v/>
      </c>
      <c r="I966" s="65" t="str">
        <f t="shared" si="77"/>
        <v/>
      </c>
      <c r="J966" s="59" t="str">
        <f t="shared" si="80"/>
        <v/>
      </c>
    </row>
    <row r="967" spans="4:10" ht="22.5" customHeight="1" x14ac:dyDescent="0.25">
      <c r="D967" s="59" t="str">
        <f t="shared" si="76"/>
        <v/>
      </c>
      <c r="E967" s="59" t="str">
        <f t="shared" si="78"/>
        <v/>
      </c>
      <c r="F967" s="59" t="str">
        <f t="shared" si="79"/>
        <v/>
      </c>
      <c r="G967" s="59" t="str">
        <f>IF($A967="","",
   SUMIFS(Transactions!$P:$P,
          Transactions!$G:$G,$A967,
          Transactions!$C:$C,"IN",
          Transactions!$Q:$Q,"Paid"))</f>
        <v/>
      </c>
      <c r="H967" s="59" t="str">
        <f>IF($A967="","",
   SUMIFS(Transactions!$P:$P,
          Transactions!$G:$G,$A967,
          Transactions!$C:$C,"OUT"))</f>
        <v/>
      </c>
      <c r="I967" s="65" t="str">
        <f t="shared" si="77"/>
        <v/>
      </c>
      <c r="J967" s="59" t="str">
        <f t="shared" si="80"/>
        <v/>
      </c>
    </row>
    <row r="968" spans="4:10" ht="22.5" customHeight="1" x14ac:dyDescent="0.25">
      <c r="D968" s="59" t="str">
        <f t="shared" si="76"/>
        <v/>
      </c>
      <c r="E968" s="59" t="str">
        <f t="shared" si="78"/>
        <v/>
      </c>
      <c r="F968" s="59" t="str">
        <f t="shared" si="79"/>
        <v/>
      </c>
      <c r="G968" s="59" t="str">
        <f>IF($A968="","",
   SUMIFS(Transactions!$P:$P,
          Transactions!$G:$G,$A968,
          Transactions!$C:$C,"IN",
          Transactions!$Q:$Q,"Paid"))</f>
        <v/>
      </c>
      <c r="H968" s="59" t="str">
        <f>IF($A968="","",
   SUMIFS(Transactions!$P:$P,
          Transactions!$G:$G,$A968,
          Transactions!$C:$C,"OUT"))</f>
        <v/>
      </c>
      <c r="I968" s="65" t="str">
        <f t="shared" si="77"/>
        <v/>
      </c>
      <c r="J968" s="59" t="str">
        <f t="shared" si="80"/>
        <v/>
      </c>
    </row>
    <row r="969" spans="4:10" ht="22.5" customHeight="1" x14ac:dyDescent="0.25">
      <c r="D969" s="59" t="str">
        <f t="shared" si="76"/>
        <v/>
      </c>
      <c r="E969" s="59" t="str">
        <f t="shared" si="78"/>
        <v/>
      </c>
      <c r="F969" s="59" t="str">
        <f t="shared" si="79"/>
        <v/>
      </c>
      <c r="G969" s="59" t="str">
        <f>IF($A969="","",
   SUMIFS(Transactions!$P:$P,
          Transactions!$G:$G,$A969,
          Transactions!$C:$C,"IN",
          Transactions!$Q:$Q,"Paid"))</f>
        <v/>
      </c>
      <c r="H969" s="59" t="str">
        <f>IF($A969="","",
   SUMIFS(Transactions!$P:$P,
          Transactions!$G:$G,$A969,
          Transactions!$C:$C,"OUT"))</f>
        <v/>
      </c>
      <c r="I969" s="65" t="str">
        <f t="shared" si="77"/>
        <v/>
      </c>
      <c r="J969" s="59" t="str">
        <f t="shared" si="80"/>
        <v/>
      </c>
    </row>
    <row r="970" spans="4:10" ht="22.5" customHeight="1" x14ac:dyDescent="0.25">
      <c r="D970" s="59" t="str">
        <f t="shared" si="76"/>
        <v/>
      </c>
      <c r="E970" s="59" t="str">
        <f t="shared" si="78"/>
        <v/>
      </c>
      <c r="F970" s="59" t="str">
        <f t="shared" si="79"/>
        <v/>
      </c>
      <c r="G970" s="59" t="str">
        <f>IF($A970="","",
   SUMIFS(Transactions!$P:$P,
          Transactions!$G:$G,$A970,
          Transactions!$C:$C,"IN",
          Transactions!$Q:$Q,"Paid"))</f>
        <v/>
      </c>
      <c r="H970" s="59" t="str">
        <f>IF($A970="","",
   SUMIFS(Transactions!$P:$P,
          Transactions!$G:$G,$A970,
          Transactions!$C:$C,"OUT"))</f>
        <v/>
      </c>
      <c r="I970" s="65" t="str">
        <f t="shared" si="77"/>
        <v/>
      </c>
      <c r="J970" s="59" t="str">
        <f t="shared" si="80"/>
        <v/>
      </c>
    </row>
    <row r="971" spans="4:10" ht="22.5" customHeight="1" x14ac:dyDescent="0.25">
      <c r="D971" s="59" t="str">
        <f t="shared" si="76"/>
        <v/>
      </c>
      <c r="E971" s="59" t="str">
        <f t="shared" si="78"/>
        <v/>
      </c>
      <c r="F971" s="59" t="str">
        <f t="shared" si="79"/>
        <v/>
      </c>
      <c r="G971" s="59" t="str">
        <f>IF($A971="","",
   SUMIFS(Transactions!$P:$P,
          Transactions!$G:$G,$A971,
          Transactions!$C:$C,"IN",
          Transactions!$Q:$Q,"Paid"))</f>
        <v/>
      </c>
      <c r="H971" s="59" t="str">
        <f>IF($A971="","",
   SUMIFS(Transactions!$P:$P,
          Transactions!$G:$G,$A971,
          Transactions!$C:$C,"OUT"))</f>
        <v/>
      </c>
      <c r="I971" s="65" t="str">
        <f t="shared" si="77"/>
        <v/>
      </c>
      <c r="J971" s="59" t="str">
        <f t="shared" si="80"/>
        <v/>
      </c>
    </row>
    <row r="972" spans="4:10" ht="22.5" customHeight="1" x14ac:dyDescent="0.25">
      <c r="D972" s="59" t="str">
        <f t="shared" si="76"/>
        <v/>
      </c>
      <c r="E972" s="59" t="str">
        <f t="shared" si="78"/>
        <v/>
      </c>
      <c r="F972" s="59" t="str">
        <f t="shared" si="79"/>
        <v/>
      </c>
      <c r="G972" s="59" t="str">
        <f>IF($A972="","",
   SUMIFS(Transactions!$P:$P,
          Transactions!$G:$G,$A972,
          Transactions!$C:$C,"IN",
          Transactions!$Q:$Q,"Paid"))</f>
        <v/>
      </c>
      <c r="H972" s="59" t="str">
        <f>IF($A972="","",
   SUMIFS(Transactions!$P:$P,
          Transactions!$G:$G,$A972,
          Transactions!$C:$C,"OUT"))</f>
        <v/>
      </c>
      <c r="I972" s="65" t="str">
        <f t="shared" si="77"/>
        <v/>
      </c>
      <c r="J972" s="59" t="str">
        <f t="shared" si="80"/>
        <v/>
      </c>
    </row>
    <row r="973" spans="4:10" ht="22.5" customHeight="1" x14ac:dyDescent="0.25">
      <c r="D973" s="59" t="str">
        <f t="shared" si="76"/>
        <v/>
      </c>
      <c r="E973" s="59" t="str">
        <f t="shared" si="78"/>
        <v/>
      </c>
      <c r="F973" s="59" t="str">
        <f t="shared" si="79"/>
        <v/>
      </c>
      <c r="G973" s="59" t="str">
        <f>IF($A973="","",
   SUMIFS(Transactions!$P:$P,
          Transactions!$G:$G,$A973,
          Transactions!$C:$C,"IN",
          Transactions!$Q:$Q,"Paid"))</f>
        <v/>
      </c>
      <c r="H973" s="59" t="str">
        <f>IF($A973="","",
   SUMIFS(Transactions!$P:$P,
          Transactions!$G:$G,$A973,
          Transactions!$C:$C,"OUT"))</f>
        <v/>
      </c>
      <c r="I973" s="65" t="str">
        <f t="shared" si="77"/>
        <v/>
      </c>
      <c r="J973" s="59" t="str">
        <f t="shared" si="80"/>
        <v/>
      </c>
    </row>
    <row r="974" spans="4:10" ht="22.5" customHeight="1" x14ac:dyDescent="0.25">
      <c r="D974" s="59" t="str">
        <f t="shared" si="76"/>
        <v/>
      </c>
      <c r="E974" s="59" t="str">
        <f t="shared" si="78"/>
        <v/>
      </c>
      <c r="F974" s="59" t="str">
        <f t="shared" si="79"/>
        <v/>
      </c>
      <c r="G974" s="59" t="str">
        <f>IF($A974="","",
   SUMIFS(Transactions!$P:$P,
          Transactions!$G:$G,$A974,
          Transactions!$C:$C,"IN",
          Transactions!$Q:$Q,"Paid"))</f>
        <v/>
      </c>
      <c r="H974" s="59" t="str">
        <f>IF($A974="","",
   SUMIFS(Transactions!$P:$P,
          Transactions!$G:$G,$A974,
          Transactions!$C:$C,"OUT"))</f>
        <v/>
      </c>
      <c r="I974" s="65" t="str">
        <f t="shared" si="77"/>
        <v/>
      </c>
      <c r="J974" s="59" t="str">
        <f t="shared" si="80"/>
        <v/>
      </c>
    </row>
    <row r="975" spans="4:10" ht="22.5" customHeight="1" x14ac:dyDescent="0.25">
      <c r="D975" s="59" t="str">
        <f t="shared" si="76"/>
        <v/>
      </c>
      <c r="E975" s="59" t="str">
        <f t="shared" si="78"/>
        <v/>
      </c>
      <c r="F975" s="59" t="str">
        <f t="shared" si="79"/>
        <v/>
      </c>
      <c r="G975" s="59" t="str">
        <f>IF($A975="","",
   SUMIFS(Transactions!$P:$P,
          Transactions!$G:$G,$A975,
          Transactions!$C:$C,"IN",
          Transactions!$Q:$Q,"Paid"))</f>
        <v/>
      </c>
      <c r="H975" s="59" t="str">
        <f>IF($A975="","",
   SUMIFS(Transactions!$P:$P,
          Transactions!$G:$G,$A975,
          Transactions!$C:$C,"OUT"))</f>
        <v/>
      </c>
      <c r="I975" s="65" t="str">
        <f t="shared" si="77"/>
        <v/>
      </c>
      <c r="J975" s="59" t="str">
        <f t="shared" si="80"/>
        <v/>
      </c>
    </row>
    <row r="976" spans="4:10" ht="22.5" customHeight="1" x14ac:dyDescent="0.25">
      <c r="D976" s="59" t="str">
        <f t="shared" si="76"/>
        <v/>
      </c>
      <c r="E976" s="59" t="str">
        <f t="shared" si="78"/>
        <v/>
      </c>
      <c r="F976" s="59" t="str">
        <f t="shared" si="79"/>
        <v/>
      </c>
      <c r="G976" s="59" t="str">
        <f>IF($A976="","",
   SUMIFS(Transactions!$P:$P,
          Transactions!$G:$G,$A976,
          Transactions!$C:$C,"IN",
          Transactions!$Q:$Q,"Paid"))</f>
        <v/>
      </c>
      <c r="H976" s="59" t="str">
        <f>IF($A976="","",
   SUMIFS(Transactions!$P:$P,
          Transactions!$G:$G,$A976,
          Transactions!$C:$C,"OUT"))</f>
        <v/>
      </c>
      <c r="I976" s="65" t="str">
        <f t="shared" si="77"/>
        <v/>
      </c>
      <c r="J976" s="59" t="str">
        <f t="shared" si="80"/>
        <v/>
      </c>
    </row>
    <row r="977" spans="4:10" ht="22.5" customHeight="1" x14ac:dyDescent="0.25">
      <c r="D977" s="59" t="str">
        <f t="shared" si="76"/>
        <v/>
      </c>
      <c r="E977" s="59" t="str">
        <f t="shared" si="78"/>
        <v/>
      </c>
      <c r="F977" s="59" t="str">
        <f t="shared" si="79"/>
        <v/>
      </c>
      <c r="G977" s="59" t="str">
        <f>IF($A977="","",
   SUMIFS(Transactions!$P:$P,
          Transactions!$G:$G,$A977,
          Transactions!$C:$C,"IN",
          Transactions!$Q:$Q,"Paid"))</f>
        <v/>
      </c>
      <c r="H977" s="59" t="str">
        <f>IF($A977="","",
   SUMIFS(Transactions!$P:$P,
          Transactions!$G:$G,$A977,
          Transactions!$C:$C,"OUT"))</f>
        <v/>
      </c>
      <c r="I977" s="65" t="str">
        <f t="shared" si="77"/>
        <v/>
      </c>
      <c r="J977" s="59" t="str">
        <f t="shared" si="80"/>
        <v/>
      </c>
    </row>
    <row r="978" spans="4:10" ht="22.5" customHeight="1" x14ac:dyDescent="0.25">
      <c r="D978" s="59" t="str">
        <f t="shared" si="76"/>
        <v/>
      </c>
      <c r="E978" s="59" t="str">
        <f t="shared" si="78"/>
        <v/>
      </c>
      <c r="F978" s="59" t="str">
        <f t="shared" si="79"/>
        <v/>
      </c>
      <c r="G978" s="59" t="str">
        <f>IF($A978="","",
   SUMIFS(Transactions!$P:$P,
          Transactions!$G:$G,$A978,
          Transactions!$C:$C,"IN",
          Transactions!$Q:$Q,"Paid"))</f>
        <v/>
      </c>
      <c r="H978" s="59" t="str">
        <f>IF($A978="","",
   SUMIFS(Transactions!$P:$P,
          Transactions!$G:$G,$A978,
          Transactions!$C:$C,"OUT"))</f>
        <v/>
      </c>
      <c r="I978" s="65" t="str">
        <f t="shared" si="77"/>
        <v/>
      </c>
      <c r="J978" s="59" t="str">
        <f t="shared" si="80"/>
        <v/>
      </c>
    </row>
    <row r="979" spans="4:10" ht="22.5" customHeight="1" x14ac:dyDescent="0.25">
      <c r="D979" s="59" t="str">
        <f t="shared" si="76"/>
        <v/>
      </c>
      <c r="E979" s="59" t="str">
        <f t="shared" si="78"/>
        <v/>
      </c>
      <c r="F979" s="59" t="str">
        <f t="shared" si="79"/>
        <v/>
      </c>
      <c r="G979" s="59" t="str">
        <f>IF($A979="","",
   SUMIFS(Transactions!$P:$P,
          Transactions!$G:$G,$A979,
          Transactions!$C:$C,"IN",
          Transactions!$Q:$Q,"Paid"))</f>
        <v/>
      </c>
      <c r="H979" s="59" t="str">
        <f>IF($A979="","",
   SUMIFS(Transactions!$P:$P,
          Transactions!$G:$G,$A979,
          Transactions!$C:$C,"OUT"))</f>
        <v/>
      </c>
      <c r="I979" s="65" t="str">
        <f t="shared" si="77"/>
        <v/>
      </c>
      <c r="J979" s="59" t="str">
        <f t="shared" si="80"/>
        <v/>
      </c>
    </row>
    <row r="980" spans="4:10" ht="22.5" customHeight="1" x14ac:dyDescent="0.25">
      <c r="D980" s="59" t="str">
        <f t="shared" si="76"/>
        <v/>
      </c>
      <c r="E980" s="59" t="str">
        <f t="shared" si="78"/>
        <v/>
      </c>
      <c r="F980" s="59" t="str">
        <f t="shared" si="79"/>
        <v/>
      </c>
      <c r="G980" s="59" t="str">
        <f>IF($A980="","",
   SUMIFS(Transactions!$P:$P,
          Transactions!$G:$G,$A980,
          Transactions!$C:$C,"IN",
          Transactions!$Q:$Q,"Paid"))</f>
        <v/>
      </c>
      <c r="H980" s="59" t="str">
        <f>IF($A980="","",
   SUMIFS(Transactions!$P:$P,
          Transactions!$G:$G,$A980,
          Transactions!$C:$C,"OUT"))</f>
        <v/>
      </c>
      <c r="I980" s="65" t="str">
        <f t="shared" si="77"/>
        <v/>
      </c>
      <c r="J980" s="59" t="str">
        <f t="shared" si="80"/>
        <v/>
      </c>
    </row>
    <row r="981" spans="4:10" ht="22.5" customHeight="1" x14ac:dyDescent="0.25">
      <c r="D981" s="59" t="str">
        <f t="shared" si="76"/>
        <v/>
      </c>
      <c r="E981" s="59" t="str">
        <f t="shared" si="78"/>
        <v/>
      </c>
      <c r="F981" s="59" t="str">
        <f t="shared" si="79"/>
        <v/>
      </c>
      <c r="G981" s="59" t="str">
        <f>IF($A981="","",
   SUMIFS(Transactions!$P:$P,
          Transactions!$G:$G,$A981,
          Transactions!$C:$C,"IN",
          Transactions!$Q:$Q,"Paid"))</f>
        <v/>
      </c>
      <c r="H981" s="59" t="str">
        <f>IF($A981="","",
   SUMIFS(Transactions!$P:$P,
          Transactions!$G:$G,$A981,
          Transactions!$C:$C,"OUT"))</f>
        <v/>
      </c>
      <c r="I981" s="65" t="str">
        <f t="shared" si="77"/>
        <v/>
      </c>
      <c r="J981" s="59" t="str">
        <f t="shared" si="80"/>
        <v/>
      </c>
    </row>
    <row r="982" spans="4:10" ht="22.5" customHeight="1" x14ac:dyDescent="0.25">
      <c r="D982" s="59" t="str">
        <f t="shared" si="76"/>
        <v/>
      </c>
      <c r="E982" s="59" t="str">
        <f t="shared" si="78"/>
        <v/>
      </c>
      <c r="F982" s="59" t="str">
        <f t="shared" si="79"/>
        <v/>
      </c>
      <c r="G982" s="59" t="str">
        <f>IF($A982="","",
   SUMIFS(Transactions!$P:$P,
          Transactions!$G:$G,$A982,
          Transactions!$C:$C,"IN",
          Transactions!$Q:$Q,"Paid"))</f>
        <v/>
      </c>
      <c r="H982" s="59" t="str">
        <f>IF($A982="","",
   SUMIFS(Transactions!$P:$P,
          Transactions!$G:$G,$A982,
          Transactions!$C:$C,"OUT"))</f>
        <v/>
      </c>
      <c r="I982" s="65" t="str">
        <f t="shared" si="77"/>
        <v/>
      </c>
      <c r="J982" s="59" t="str">
        <f t="shared" si="80"/>
        <v/>
      </c>
    </row>
    <row r="983" spans="4:10" ht="22.5" customHeight="1" x14ac:dyDescent="0.25">
      <c r="D983" s="59" t="str">
        <f t="shared" si="76"/>
        <v/>
      </c>
      <c r="E983" s="59" t="str">
        <f t="shared" si="78"/>
        <v/>
      </c>
      <c r="F983" s="59" t="str">
        <f t="shared" si="79"/>
        <v/>
      </c>
      <c r="G983" s="59" t="str">
        <f>IF($A983="","",
   SUMIFS(Transactions!$P:$P,
          Transactions!$G:$G,$A983,
          Transactions!$C:$C,"IN",
          Transactions!$Q:$Q,"Paid"))</f>
        <v/>
      </c>
      <c r="H983" s="59" t="str">
        <f>IF($A983="","",
   SUMIFS(Transactions!$P:$P,
          Transactions!$G:$G,$A983,
          Transactions!$C:$C,"OUT"))</f>
        <v/>
      </c>
      <c r="I983" s="65" t="str">
        <f t="shared" si="77"/>
        <v/>
      </c>
      <c r="J983" s="59" t="str">
        <f t="shared" si="80"/>
        <v/>
      </c>
    </row>
    <row r="984" spans="4:10" ht="22.5" customHeight="1" x14ac:dyDescent="0.25">
      <c r="D984" s="59" t="str">
        <f t="shared" si="76"/>
        <v/>
      </c>
      <c r="E984" s="59" t="str">
        <f t="shared" si="78"/>
        <v/>
      </c>
      <c r="F984" s="59" t="str">
        <f t="shared" si="79"/>
        <v/>
      </c>
      <c r="G984" s="59" t="str">
        <f>IF($A984="","",
   SUMIFS(Transactions!$P:$P,
          Transactions!$G:$G,$A984,
          Transactions!$C:$C,"IN",
          Transactions!$Q:$Q,"Paid"))</f>
        <v/>
      </c>
      <c r="H984" s="59" t="str">
        <f>IF($A984="","",
   SUMIFS(Transactions!$P:$P,
          Transactions!$G:$G,$A984,
          Transactions!$C:$C,"OUT"))</f>
        <v/>
      </c>
      <c r="I984" s="65" t="str">
        <f t="shared" si="77"/>
        <v/>
      </c>
      <c r="J984" s="59" t="str">
        <f t="shared" si="80"/>
        <v/>
      </c>
    </row>
    <row r="985" spans="4:10" ht="22.5" customHeight="1" x14ac:dyDescent="0.25">
      <c r="D985" s="59" t="str">
        <f t="shared" si="76"/>
        <v/>
      </c>
      <c r="E985" s="59" t="str">
        <f t="shared" si="78"/>
        <v/>
      </c>
      <c r="F985" s="59" t="str">
        <f t="shared" si="79"/>
        <v/>
      </c>
      <c r="G985" s="59" t="str">
        <f>IF($A985="","",
   SUMIFS(Transactions!$P:$P,
          Transactions!$G:$G,$A985,
          Transactions!$C:$C,"IN",
          Transactions!$Q:$Q,"Paid"))</f>
        <v/>
      </c>
      <c r="H985" s="59" t="str">
        <f>IF($A985="","",
   SUMIFS(Transactions!$P:$P,
          Transactions!$G:$G,$A985,
          Transactions!$C:$C,"OUT"))</f>
        <v/>
      </c>
      <c r="I985" s="65" t="str">
        <f t="shared" si="77"/>
        <v/>
      </c>
      <c r="J985" s="59" t="str">
        <f t="shared" si="80"/>
        <v/>
      </c>
    </row>
    <row r="986" spans="4:10" ht="22.5" customHeight="1" x14ac:dyDescent="0.25">
      <c r="D986" s="59" t="str">
        <f t="shared" si="76"/>
        <v/>
      </c>
      <c r="E986" s="59" t="str">
        <f t="shared" si="78"/>
        <v/>
      </c>
      <c r="F986" s="59" t="str">
        <f t="shared" si="79"/>
        <v/>
      </c>
      <c r="G986" s="59" t="str">
        <f>IF($A986="","",
   SUMIFS(Transactions!$P:$P,
          Transactions!$G:$G,$A986,
          Transactions!$C:$C,"IN",
          Transactions!$Q:$Q,"Paid"))</f>
        <v/>
      </c>
      <c r="H986" s="59" t="str">
        <f>IF($A986="","",
   SUMIFS(Transactions!$P:$P,
          Transactions!$G:$G,$A986,
          Transactions!$C:$C,"OUT"))</f>
        <v/>
      </c>
      <c r="I986" s="65" t="str">
        <f t="shared" si="77"/>
        <v/>
      </c>
      <c r="J986" s="59" t="str">
        <f t="shared" si="80"/>
        <v/>
      </c>
    </row>
    <row r="987" spans="4:10" ht="22.5" customHeight="1" x14ac:dyDescent="0.25">
      <c r="D987" s="59" t="str">
        <f t="shared" si="76"/>
        <v/>
      </c>
      <c r="E987" s="59" t="str">
        <f t="shared" si="78"/>
        <v/>
      </c>
      <c r="F987" s="59" t="str">
        <f t="shared" si="79"/>
        <v/>
      </c>
      <c r="G987" s="59" t="str">
        <f>IF($A987="","",
   SUMIFS(Transactions!$P:$P,
          Transactions!$G:$G,$A987,
          Transactions!$C:$C,"IN",
          Transactions!$Q:$Q,"Paid"))</f>
        <v/>
      </c>
      <c r="H987" s="59" t="str">
        <f>IF($A987="","",
   SUMIFS(Transactions!$P:$P,
          Transactions!$G:$G,$A987,
          Transactions!$C:$C,"OUT"))</f>
        <v/>
      </c>
      <c r="I987" s="65" t="str">
        <f t="shared" si="77"/>
        <v/>
      </c>
      <c r="J987" s="59" t="str">
        <f t="shared" si="80"/>
        <v/>
      </c>
    </row>
    <row r="988" spans="4:10" ht="22.5" customHeight="1" x14ac:dyDescent="0.25">
      <c r="D988" s="59" t="str">
        <f t="shared" si="76"/>
        <v/>
      </c>
      <c r="E988" s="59" t="str">
        <f t="shared" si="78"/>
        <v/>
      </c>
      <c r="F988" s="59" t="str">
        <f t="shared" si="79"/>
        <v/>
      </c>
      <c r="G988" s="59" t="str">
        <f>IF($A988="","",
   SUMIFS(Transactions!$P:$P,
          Transactions!$G:$G,$A988,
          Transactions!$C:$C,"IN",
          Transactions!$Q:$Q,"Paid"))</f>
        <v/>
      </c>
      <c r="H988" s="59" t="str">
        <f>IF($A988="","",
   SUMIFS(Transactions!$P:$P,
          Transactions!$G:$G,$A988,
          Transactions!$C:$C,"OUT"))</f>
        <v/>
      </c>
      <c r="I988" s="65" t="str">
        <f t="shared" si="77"/>
        <v/>
      </c>
      <c r="J988" s="59" t="str">
        <f t="shared" si="80"/>
        <v/>
      </c>
    </row>
    <row r="989" spans="4:10" ht="22.5" customHeight="1" x14ac:dyDescent="0.25">
      <c r="D989" s="59" t="str">
        <f t="shared" si="76"/>
        <v/>
      </c>
      <c r="E989" s="59" t="str">
        <f t="shared" si="78"/>
        <v/>
      </c>
      <c r="F989" s="59" t="str">
        <f t="shared" si="79"/>
        <v/>
      </c>
      <c r="G989" s="59" t="str">
        <f>IF($A989="","",
   SUMIFS(Transactions!$P:$P,
          Transactions!$G:$G,$A989,
          Transactions!$C:$C,"IN",
          Transactions!$Q:$Q,"Paid"))</f>
        <v/>
      </c>
      <c r="H989" s="59" t="str">
        <f>IF($A989="","",
   SUMIFS(Transactions!$P:$P,
          Transactions!$G:$G,$A989,
          Transactions!$C:$C,"OUT"))</f>
        <v/>
      </c>
      <c r="I989" s="65" t="str">
        <f t="shared" si="77"/>
        <v/>
      </c>
      <c r="J989" s="59" t="str">
        <f t="shared" si="80"/>
        <v/>
      </c>
    </row>
    <row r="990" spans="4:10" ht="22.5" customHeight="1" x14ac:dyDescent="0.25">
      <c r="D990" s="59" t="str">
        <f t="shared" si="76"/>
        <v/>
      </c>
      <c r="E990" s="59" t="str">
        <f t="shared" si="78"/>
        <v/>
      </c>
      <c r="F990" s="59" t="str">
        <f t="shared" si="79"/>
        <v/>
      </c>
      <c r="G990" s="59" t="str">
        <f>IF($A990="","",
   SUMIFS(Transactions!$P:$P,
          Transactions!$G:$G,$A990,
          Transactions!$C:$C,"IN",
          Transactions!$Q:$Q,"Paid"))</f>
        <v/>
      </c>
      <c r="H990" s="59" t="str">
        <f>IF($A990="","",
   SUMIFS(Transactions!$P:$P,
          Transactions!$G:$G,$A990,
          Transactions!$C:$C,"OUT"))</f>
        <v/>
      </c>
      <c r="I990" s="65" t="str">
        <f t="shared" si="77"/>
        <v/>
      </c>
      <c r="J990" s="59" t="str">
        <f t="shared" si="80"/>
        <v/>
      </c>
    </row>
    <row r="991" spans="4:10" ht="22.5" customHeight="1" x14ac:dyDescent="0.25">
      <c r="D991" s="59" t="str">
        <f t="shared" si="76"/>
        <v/>
      </c>
      <c r="E991" s="59" t="str">
        <f t="shared" si="78"/>
        <v/>
      </c>
      <c r="F991" s="59" t="str">
        <f t="shared" si="79"/>
        <v/>
      </c>
      <c r="G991" s="59" t="str">
        <f>IF($A991="","",
   SUMIFS(Transactions!$P:$P,
          Transactions!$G:$G,$A991,
          Transactions!$C:$C,"IN",
          Transactions!$Q:$Q,"Paid"))</f>
        <v/>
      </c>
      <c r="H991" s="59" t="str">
        <f>IF($A991="","",
   SUMIFS(Transactions!$P:$P,
          Transactions!$G:$G,$A991,
          Transactions!$C:$C,"OUT"))</f>
        <v/>
      </c>
      <c r="I991" s="65" t="str">
        <f t="shared" si="77"/>
        <v/>
      </c>
      <c r="J991" s="59" t="str">
        <f t="shared" si="80"/>
        <v/>
      </c>
    </row>
    <row r="992" spans="4:10" ht="22.5" customHeight="1" x14ac:dyDescent="0.25">
      <c r="D992" s="59" t="str">
        <f t="shared" si="76"/>
        <v/>
      </c>
      <c r="E992" s="59" t="str">
        <f t="shared" si="78"/>
        <v/>
      </c>
      <c r="F992" s="59" t="str">
        <f t="shared" si="79"/>
        <v/>
      </c>
      <c r="G992" s="59" t="str">
        <f>IF($A992="","",
   SUMIFS(Transactions!$P:$P,
          Transactions!$G:$G,$A992,
          Transactions!$C:$C,"IN",
          Transactions!$Q:$Q,"Paid"))</f>
        <v/>
      </c>
      <c r="H992" s="59" t="str">
        <f>IF($A992="","",
   SUMIFS(Transactions!$P:$P,
          Transactions!$G:$G,$A992,
          Transactions!$C:$C,"OUT"))</f>
        <v/>
      </c>
      <c r="I992" s="65" t="str">
        <f t="shared" si="77"/>
        <v/>
      </c>
      <c r="J992" s="59" t="str">
        <f t="shared" si="80"/>
        <v/>
      </c>
    </row>
    <row r="993" spans="4:10" ht="22.5" customHeight="1" x14ac:dyDescent="0.25">
      <c r="D993" s="59" t="str">
        <f t="shared" si="76"/>
        <v/>
      </c>
      <c r="E993" s="59" t="str">
        <f t="shared" si="78"/>
        <v/>
      </c>
      <c r="F993" s="59" t="str">
        <f t="shared" si="79"/>
        <v/>
      </c>
      <c r="G993" s="59" t="str">
        <f>IF($A993="","",
   SUMIFS(Transactions!$P:$P,
          Transactions!$G:$G,$A993,
          Transactions!$C:$C,"IN",
          Transactions!$Q:$Q,"Paid"))</f>
        <v/>
      </c>
      <c r="H993" s="59" t="str">
        <f>IF($A993="","",
   SUMIFS(Transactions!$P:$P,
          Transactions!$G:$G,$A993,
          Transactions!$C:$C,"OUT"))</f>
        <v/>
      </c>
      <c r="I993" s="65" t="str">
        <f t="shared" si="77"/>
        <v/>
      </c>
      <c r="J993" s="59" t="str">
        <f t="shared" si="80"/>
        <v/>
      </c>
    </row>
    <row r="994" spans="4:10" ht="22.5" customHeight="1" x14ac:dyDescent="0.25">
      <c r="D994" s="59" t="str">
        <f t="shared" si="76"/>
        <v/>
      </c>
      <c r="E994" s="59" t="str">
        <f t="shared" si="78"/>
        <v/>
      </c>
      <c r="F994" s="59" t="str">
        <f t="shared" si="79"/>
        <v/>
      </c>
      <c r="G994" s="59" t="str">
        <f>IF($A994="","",
   SUMIFS(Transactions!$P:$P,
          Transactions!$G:$G,$A994,
          Transactions!$C:$C,"IN",
          Transactions!$Q:$Q,"Paid"))</f>
        <v/>
      </c>
      <c r="H994" s="59" t="str">
        <f>IF($A994="","",
   SUMIFS(Transactions!$P:$P,
          Transactions!$G:$G,$A994,
          Transactions!$C:$C,"OUT"))</f>
        <v/>
      </c>
      <c r="I994" s="65" t="str">
        <f t="shared" si="77"/>
        <v/>
      </c>
      <c r="J994" s="59" t="str">
        <f t="shared" si="80"/>
        <v/>
      </c>
    </row>
    <row r="995" spans="4:10" ht="22.5" customHeight="1" x14ac:dyDescent="0.25">
      <c r="D995" s="59" t="str">
        <f t="shared" si="76"/>
        <v/>
      </c>
      <c r="E995" s="59" t="str">
        <f t="shared" si="78"/>
        <v/>
      </c>
      <c r="F995" s="59" t="str">
        <f t="shared" si="79"/>
        <v/>
      </c>
      <c r="G995" s="59" t="str">
        <f>IF($A995="","",
   SUMIFS(Transactions!$P:$P,
          Transactions!$G:$G,$A995,
          Transactions!$C:$C,"IN",
          Transactions!$Q:$Q,"Paid"))</f>
        <v/>
      </c>
      <c r="H995" s="59" t="str">
        <f>IF($A995="","",
   SUMIFS(Transactions!$P:$P,
          Transactions!$G:$G,$A995,
          Transactions!$C:$C,"OUT"))</f>
        <v/>
      </c>
      <c r="I995" s="65" t="str">
        <f t="shared" si="77"/>
        <v/>
      </c>
      <c r="J995" s="59" t="str">
        <f t="shared" si="80"/>
        <v/>
      </c>
    </row>
    <row r="996" spans="4:10" ht="22.5" customHeight="1" x14ac:dyDescent="0.25">
      <c r="D996" s="59" t="str">
        <f t="shared" si="76"/>
        <v/>
      </c>
      <c r="E996" s="59" t="str">
        <f t="shared" si="78"/>
        <v/>
      </c>
      <c r="F996" s="59" t="str">
        <f t="shared" si="79"/>
        <v/>
      </c>
      <c r="G996" s="59" t="str">
        <f>IF($A996="","",
   SUMIFS(Transactions!$P:$P,
          Transactions!$G:$G,$A996,
          Transactions!$C:$C,"IN",
          Transactions!$Q:$Q,"Paid"))</f>
        <v/>
      </c>
      <c r="H996" s="59" t="str">
        <f>IF($A996="","",
   SUMIFS(Transactions!$P:$P,
          Transactions!$G:$G,$A996,
          Transactions!$C:$C,"OUT"))</f>
        <v/>
      </c>
      <c r="I996" s="65" t="str">
        <f t="shared" si="77"/>
        <v/>
      </c>
      <c r="J996" s="59" t="str">
        <f t="shared" si="80"/>
        <v/>
      </c>
    </row>
    <row r="997" spans="4:10" ht="22.5" customHeight="1" x14ac:dyDescent="0.25">
      <c r="D997" s="59" t="str">
        <f t="shared" si="76"/>
        <v/>
      </c>
      <c r="E997" s="59" t="str">
        <f t="shared" si="78"/>
        <v/>
      </c>
      <c r="F997" s="59" t="str">
        <f t="shared" si="79"/>
        <v/>
      </c>
      <c r="G997" s="59" t="str">
        <f>IF($A997="","",
   SUMIFS(Transactions!$P:$P,
          Transactions!$G:$G,$A997,
          Transactions!$C:$C,"IN",
          Transactions!$Q:$Q,"Paid"))</f>
        <v/>
      </c>
      <c r="H997" s="59" t="str">
        <f>IF($A997="","",
   SUMIFS(Transactions!$P:$P,
          Transactions!$G:$G,$A997,
          Transactions!$C:$C,"OUT"))</f>
        <v/>
      </c>
      <c r="I997" s="65" t="str">
        <f t="shared" si="77"/>
        <v/>
      </c>
      <c r="J997" s="59" t="str">
        <f t="shared" si="80"/>
        <v/>
      </c>
    </row>
    <row r="998" spans="4:10" ht="22.5" customHeight="1" x14ac:dyDescent="0.25">
      <c r="D998" s="59" t="str">
        <f t="shared" si="76"/>
        <v/>
      </c>
      <c r="E998" s="59" t="str">
        <f t="shared" si="78"/>
        <v/>
      </c>
      <c r="F998" s="59" t="str">
        <f t="shared" si="79"/>
        <v/>
      </c>
      <c r="G998" s="59" t="str">
        <f>IF($A998="","",
   SUMIFS(Transactions!$P:$P,
          Transactions!$G:$G,$A998,
          Transactions!$C:$C,"IN",
          Transactions!$Q:$Q,"Paid"))</f>
        <v/>
      </c>
      <c r="H998" s="59" t="str">
        <f>IF($A998="","",
   SUMIFS(Transactions!$P:$P,
          Transactions!$G:$G,$A998,
          Transactions!$C:$C,"OUT"))</f>
        <v/>
      </c>
      <c r="I998" s="65" t="str">
        <f t="shared" si="77"/>
        <v/>
      </c>
      <c r="J998" s="59" t="str">
        <f t="shared" si="80"/>
        <v/>
      </c>
    </row>
    <row r="999" spans="4:10" ht="22.5" customHeight="1" x14ac:dyDescent="0.25">
      <c r="D999" s="59" t="str">
        <f t="shared" si="76"/>
        <v/>
      </c>
      <c r="E999" s="59" t="str">
        <f t="shared" si="78"/>
        <v/>
      </c>
      <c r="F999" s="59" t="str">
        <f t="shared" si="79"/>
        <v/>
      </c>
      <c r="G999" s="59" t="str">
        <f>IF($A999="","",
   SUMIFS(Transactions!$P:$P,
          Transactions!$G:$G,$A999,
          Transactions!$C:$C,"IN",
          Transactions!$Q:$Q,"Paid"))</f>
        <v/>
      </c>
      <c r="H999" s="59" t="str">
        <f>IF($A999="","",
   SUMIFS(Transactions!$P:$P,
          Transactions!$G:$G,$A999,
          Transactions!$C:$C,"OUT"))</f>
        <v/>
      </c>
      <c r="I999" s="65" t="str">
        <f t="shared" si="77"/>
        <v/>
      </c>
      <c r="J999" s="59" t="str">
        <f t="shared" si="80"/>
        <v/>
      </c>
    </row>
    <row r="1000" spans="4:10" ht="22.5" customHeight="1" x14ac:dyDescent="0.25">
      <c r="D1000" s="59" t="str">
        <f t="shared" si="76"/>
        <v/>
      </c>
      <c r="E1000" s="59" t="str">
        <f t="shared" si="78"/>
        <v/>
      </c>
      <c r="F1000" s="59" t="str">
        <f t="shared" si="79"/>
        <v/>
      </c>
      <c r="G1000" s="59" t="str">
        <f>IF($A1000="","",
   SUMIFS(Transactions!$P:$P,
          Transactions!$G:$G,$A1000,
          Transactions!$C:$C,"IN",
          Transactions!$Q:$Q,"Paid"))</f>
        <v/>
      </c>
      <c r="H1000" s="59" t="str">
        <f>IF($A1000="","",
   SUMIFS(Transactions!$P:$P,
          Transactions!$G:$G,$A1000,
          Transactions!$C:$C,"OUT"))</f>
        <v/>
      </c>
      <c r="I1000" s="65" t="str">
        <f t="shared" si="77"/>
        <v/>
      </c>
      <c r="J1000" s="59" t="str">
        <f t="shared" si="80"/>
        <v/>
      </c>
    </row>
    <row r="1001" spans="4:10" ht="22.5" customHeight="1" x14ac:dyDescent="0.25">
      <c r="D1001" s="59" t="str">
        <f t="shared" si="76"/>
        <v/>
      </c>
      <c r="E1001" s="59" t="str">
        <f t="shared" si="78"/>
        <v/>
      </c>
      <c r="F1001" s="59" t="str">
        <f t="shared" si="79"/>
        <v/>
      </c>
      <c r="G1001" s="59" t="str">
        <f>IF($A1001="","",
   SUMIFS(Transactions!$P:$P,
          Transactions!$G:$G,$A1001,
          Transactions!$C:$C,"IN",
          Transactions!$Q:$Q,"Paid"))</f>
        <v/>
      </c>
      <c r="H1001" s="59" t="str">
        <f>IF($A1001="","",
   SUMIFS(Transactions!$P:$P,
          Transactions!$G:$G,$A1001,
          Transactions!$C:$C,"OUT"))</f>
        <v/>
      </c>
      <c r="I1001" s="65" t="str">
        <f t="shared" si="77"/>
        <v/>
      </c>
      <c r="J1001" s="59" t="str">
        <f t="shared" si="80"/>
        <v/>
      </c>
    </row>
    <row r="1002" spans="4:10" ht="22.5" customHeight="1" x14ac:dyDescent="0.25">
      <c r="D1002" s="59" t="str">
        <f t="shared" si="76"/>
        <v/>
      </c>
      <c r="E1002" s="59" t="str">
        <f t="shared" si="78"/>
        <v/>
      </c>
      <c r="F1002" s="59" t="str">
        <f t="shared" si="79"/>
        <v/>
      </c>
      <c r="G1002" s="59" t="str">
        <f>IF($A1002="","",
   SUMIFS(Transactions!$P:$P,
          Transactions!$G:$G,$A1002,
          Transactions!$C:$C,"IN",
          Transactions!$Q:$Q,"Paid"))</f>
        <v/>
      </c>
      <c r="H1002" s="59" t="str">
        <f>IF($A1002="","",
   SUMIFS(Transactions!$P:$P,
          Transactions!$G:$G,$A1002,
          Transactions!$C:$C,"OUT"))</f>
        <v/>
      </c>
      <c r="I1002" s="65" t="str">
        <f t="shared" si="77"/>
        <v/>
      </c>
      <c r="J1002" s="59" t="str">
        <f t="shared" si="80"/>
        <v/>
      </c>
    </row>
    <row r="1003" spans="4:10" ht="22.5" customHeight="1" x14ac:dyDescent="0.25">
      <c r="D1003" s="59" t="str">
        <f t="shared" si="76"/>
        <v/>
      </c>
      <c r="E1003" s="59" t="str">
        <f t="shared" si="78"/>
        <v/>
      </c>
      <c r="F1003" s="59" t="str">
        <f t="shared" si="79"/>
        <v/>
      </c>
      <c r="G1003" s="59" t="str">
        <f>IF($A1003="","",
   SUMIFS(Transactions!$P:$P,
          Transactions!$G:$G,$A1003,
          Transactions!$C:$C,"IN",
          Transactions!$Q:$Q,"Paid"))</f>
        <v/>
      </c>
      <c r="H1003" s="59" t="str">
        <f>IF($A1003="","",
   SUMIFS(Transactions!$P:$P,
          Transactions!$G:$G,$A1003,
          Transactions!$C:$C,"OUT"))</f>
        <v/>
      </c>
      <c r="I1003" s="65" t="str">
        <f t="shared" si="77"/>
        <v/>
      </c>
      <c r="J1003" s="59" t="str">
        <f t="shared" si="80"/>
        <v/>
      </c>
    </row>
    <row r="1004" spans="4:10" ht="22.5" customHeight="1" x14ac:dyDescent="0.25">
      <c r="D1004" s="59" t="str">
        <f t="shared" si="76"/>
        <v/>
      </c>
      <c r="E1004" s="59" t="str">
        <f t="shared" si="78"/>
        <v/>
      </c>
      <c r="F1004" s="59" t="str">
        <f t="shared" si="79"/>
        <v/>
      </c>
      <c r="G1004" s="59" t="str">
        <f>IF($A1004="","",
   SUMIFS(Transactions!$P:$P,
          Transactions!$G:$G,$A1004,
          Transactions!$C:$C,"IN",
          Transactions!$Q:$Q,"Paid"))</f>
        <v/>
      </c>
      <c r="H1004" s="59" t="str">
        <f>IF($A1004="","",
   SUMIFS(Transactions!$P:$P,
          Transactions!$G:$G,$A1004,
          Transactions!$C:$C,"OUT"))</f>
        <v/>
      </c>
      <c r="I1004" s="65" t="str">
        <f t="shared" si="77"/>
        <v/>
      </c>
      <c r="J1004" s="59" t="str">
        <f t="shared" si="80"/>
        <v/>
      </c>
    </row>
    <row r="1005" spans="4:10" ht="22.5" customHeight="1" x14ac:dyDescent="0.25">
      <c r="D1005" s="59" t="str">
        <f t="shared" si="76"/>
        <v/>
      </c>
      <c r="E1005" s="59" t="str">
        <f t="shared" si="78"/>
        <v/>
      </c>
      <c r="F1005" s="59" t="str">
        <f t="shared" si="79"/>
        <v/>
      </c>
      <c r="G1005" s="59" t="str">
        <f>IF($A1005="","",
   SUMIFS(Transactions!$P:$P,
          Transactions!$G:$G,$A1005,
          Transactions!$C:$C,"IN",
          Transactions!$Q:$Q,"Paid"))</f>
        <v/>
      </c>
      <c r="H1005" s="59" t="str">
        <f>IF($A1005="","",
   SUMIFS(Transactions!$P:$P,
          Transactions!$G:$G,$A1005,
          Transactions!$C:$C,"OUT"))</f>
        <v/>
      </c>
      <c r="I1005" s="65" t="str">
        <f t="shared" si="77"/>
        <v/>
      </c>
      <c r="J1005" s="59" t="str">
        <f t="shared" si="80"/>
        <v/>
      </c>
    </row>
    <row r="1006" spans="4:10" ht="22.5" customHeight="1" x14ac:dyDescent="0.25">
      <c r="D1006" s="59" t="str">
        <f t="shared" si="76"/>
        <v/>
      </c>
      <c r="E1006" s="59" t="str">
        <f t="shared" si="78"/>
        <v/>
      </c>
      <c r="F1006" s="59" t="str">
        <f t="shared" si="79"/>
        <v/>
      </c>
      <c r="G1006" s="59" t="str">
        <f>IF($A1006="","",
   SUMIFS(Transactions!$P:$P,
          Transactions!$G:$G,$A1006,
          Transactions!$C:$C,"IN",
          Transactions!$Q:$Q,"Paid"))</f>
        <v/>
      </c>
      <c r="H1006" s="59" t="str">
        <f>IF($A1006="","",
   SUMIFS(Transactions!$P:$P,
          Transactions!$G:$G,$A1006,
          Transactions!$C:$C,"OUT"))</f>
        <v/>
      </c>
      <c r="I1006" s="65" t="str">
        <f t="shared" si="77"/>
        <v/>
      </c>
      <c r="J1006" s="59" t="str">
        <f t="shared" si="80"/>
        <v/>
      </c>
    </row>
    <row r="1007" spans="4:10" ht="22.5" customHeight="1" x14ac:dyDescent="0.25">
      <c r="D1007" s="59" t="str">
        <f t="shared" si="76"/>
        <v/>
      </c>
      <c r="E1007" s="59" t="str">
        <f t="shared" si="78"/>
        <v/>
      </c>
      <c r="F1007" s="59" t="str">
        <f t="shared" si="79"/>
        <v/>
      </c>
      <c r="G1007" s="59" t="str">
        <f>IF($A1007="","",
   SUMIFS(Transactions!$P:$P,
          Transactions!$G:$G,$A1007,
          Transactions!$C:$C,"IN",
          Transactions!$Q:$Q,"Paid"))</f>
        <v/>
      </c>
      <c r="H1007" s="59" t="str">
        <f>IF($A1007="","",
   SUMIFS(Transactions!$P:$P,
          Transactions!$G:$G,$A1007,
          Transactions!$C:$C,"OUT"))</f>
        <v/>
      </c>
      <c r="I1007" s="65" t="str">
        <f t="shared" si="77"/>
        <v/>
      </c>
      <c r="J1007" s="59" t="str">
        <f t="shared" si="80"/>
        <v/>
      </c>
    </row>
    <row r="1008" spans="4:10" ht="22.5" customHeight="1" x14ac:dyDescent="0.25">
      <c r="D1008" s="59" t="str">
        <f t="shared" si="76"/>
        <v/>
      </c>
      <c r="E1008" s="59" t="str">
        <f t="shared" si="78"/>
        <v/>
      </c>
      <c r="F1008" s="59" t="str">
        <f t="shared" si="79"/>
        <v/>
      </c>
      <c r="G1008" s="59" t="str">
        <f>IF($A1008="","",
   SUMIFS(Transactions!$P:$P,
          Transactions!$G:$G,$A1008,
          Transactions!$C:$C,"IN",
          Transactions!$Q:$Q,"Paid"))</f>
        <v/>
      </c>
      <c r="H1008" s="59" t="str">
        <f>IF($A1008="","",
   SUMIFS(Transactions!$P:$P,
          Transactions!$G:$G,$A1008,
          Transactions!$C:$C,"OUT"))</f>
        <v/>
      </c>
      <c r="I1008" s="65" t="str">
        <f t="shared" si="77"/>
        <v/>
      </c>
      <c r="J1008" s="59" t="str">
        <f t="shared" si="80"/>
        <v/>
      </c>
    </row>
    <row r="1009" spans="4:10" ht="22.5" customHeight="1" x14ac:dyDescent="0.25">
      <c r="D1009" s="59" t="str">
        <f t="shared" si="76"/>
        <v/>
      </c>
      <c r="E1009" s="59" t="str">
        <f t="shared" si="78"/>
        <v/>
      </c>
      <c r="F1009" s="59" t="str">
        <f t="shared" si="79"/>
        <v/>
      </c>
      <c r="G1009" s="59" t="str">
        <f>IF($A1009="","",
   SUMIFS(Transactions!$P:$P,
          Transactions!$G:$G,$A1009,
          Transactions!$C:$C,"IN",
          Transactions!$Q:$Q,"Paid"))</f>
        <v/>
      </c>
      <c r="H1009" s="59" t="str">
        <f>IF($A1009="","",
   SUMIFS(Transactions!$P:$P,
          Transactions!$G:$G,$A1009,
          Transactions!$C:$C,"OUT"))</f>
        <v/>
      </c>
      <c r="I1009" s="65" t="str">
        <f t="shared" si="77"/>
        <v/>
      </c>
      <c r="J1009" s="59" t="str">
        <f t="shared" si="80"/>
        <v/>
      </c>
    </row>
    <row r="1010" spans="4:10" ht="22.5" customHeight="1" x14ac:dyDescent="0.25">
      <c r="D1010" s="59" t="str">
        <f t="shared" si="76"/>
        <v/>
      </c>
      <c r="E1010" s="59" t="str">
        <f t="shared" si="78"/>
        <v/>
      </c>
      <c r="F1010" s="59" t="str">
        <f t="shared" si="79"/>
        <v/>
      </c>
      <c r="G1010" s="59" t="str">
        <f>IF($A1010="","",
   SUMIFS(Transactions!$P:$P,
          Transactions!$G:$G,$A1010,
          Transactions!$C:$C,"IN",
          Transactions!$Q:$Q,"Paid"))</f>
        <v/>
      </c>
      <c r="H1010" s="59" t="str">
        <f>IF($A1010="","",
   SUMIFS(Transactions!$P:$P,
          Transactions!$G:$G,$A1010,
          Transactions!$C:$C,"OUT"))</f>
        <v/>
      </c>
      <c r="I1010" s="65" t="str">
        <f t="shared" si="77"/>
        <v/>
      </c>
      <c r="J1010" s="59" t="str">
        <f t="shared" si="80"/>
        <v/>
      </c>
    </row>
    <row r="1011" spans="4:10" ht="22.5" customHeight="1" x14ac:dyDescent="0.25">
      <c r="D1011" s="59" t="str">
        <f t="shared" si="76"/>
        <v/>
      </c>
      <c r="E1011" s="59" t="str">
        <f t="shared" si="78"/>
        <v/>
      </c>
      <c r="F1011" s="59" t="str">
        <f t="shared" si="79"/>
        <v/>
      </c>
      <c r="G1011" s="59" t="str">
        <f>IF($A1011="","",
   SUMIFS(Transactions!$P:$P,
          Transactions!$G:$G,$A1011,
          Transactions!$C:$C,"IN",
          Transactions!$Q:$Q,"Paid"))</f>
        <v/>
      </c>
      <c r="H1011" s="59" t="str">
        <f>IF($A1011="","",
   SUMIFS(Transactions!$P:$P,
          Transactions!$G:$G,$A1011,
          Transactions!$C:$C,"OUT"))</f>
        <v/>
      </c>
      <c r="I1011" s="65" t="str">
        <f t="shared" si="77"/>
        <v/>
      </c>
      <c r="J1011" s="59" t="str">
        <f t="shared" si="80"/>
        <v/>
      </c>
    </row>
    <row r="1012" spans="4:10" ht="22.5" customHeight="1" x14ac:dyDescent="0.25">
      <c r="D1012" s="59" t="str">
        <f t="shared" si="76"/>
        <v/>
      </c>
      <c r="E1012" s="59" t="str">
        <f t="shared" si="78"/>
        <v/>
      </c>
      <c r="F1012" s="59" t="str">
        <f t="shared" si="79"/>
        <v/>
      </c>
      <c r="G1012" s="59" t="str">
        <f>IF($A1012="","",
   SUMIFS(Transactions!$P:$P,
          Transactions!$G:$G,$A1012,
          Transactions!$C:$C,"IN",
          Transactions!$Q:$Q,"Paid"))</f>
        <v/>
      </c>
      <c r="H1012" s="59" t="str">
        <f>IF($A1012="","",
   SUMIFS(Transactions!$P:$P,
          Transactions!$G:$G,$A1012,
          Transactions!$C:$C,"OUT"))</f>
        <v/>
      </c>
      <c r="I1012" s="65" t="str">
        <f t="shared" si="77"/>
        <v/>
      </c>
      <c r="J1012" s="59" t="str">
        <f t="shared" si="80"/>
        <v/>
      </c>
    </row>
    <row r="1013" spans="4:10" ht="22.5" customHeight="1" x14ac:dyDescent="0.25">
      <c r="D1013" s="59" t="str">
        <f t="shared" si="76"/>
        <v/>
      </c>
      <c r="E1013" s="59" t="str">
        <f t="shared" si="78"/>
        <v/>
      </c>
      <c r="F1013" s="59" t="str">
        <f t="shared" si="79"/>
        <v/>
      </c>
      <c r="G1013" s="59" t="str">
        <f>IF($A1013="","",
   SUMIFS(Transactions!$P:$P,
          Transactions!$G:$G,$A1013,
          Transactions!$C:$C,"IN",
          Transactions!$Q:$Q,"Paid"))</f>
        <v/>
      </c>
      <c r="H1013" s="59" t="str">
        <f>IF($A1013="","",
   SUMIFS(Transactions!$P:$P,
          Transactions!$G:$G,$A1013,
          Transactions!$C:$C,"OUT"))</f>
        <v/>
      </c>
      <c r="I1013" s="65" t="str">
        <f t="shared" si="77"/>
        <v/>
      </c>
      <c r="J1013" s="59" t="str">
        <f t="shared" si="80"/>
        <v/>
      </c>
    </row>
    <row r="1014" spans="4:10" ht="22.5" customHeight="1" x14ac:dyDescent="0.25">
      <c r="D1014" s="59" t="str">
        <f t="shared" si="76"/>
        <v/>
      </c>
      <c r="E1014" s="59" t="str">
        <f t="shared" si="78"/>
        <v/>
      </c>
      <c r="F1014" s="59" t="str">
        <f t="shared" si="79"/>
        <v/>
      </c>
      <c r="G1014" s="59" t="str">
        <f>IF($A1014="","",
   SUMIFS(Transactions!$P:$P,
          Transactions!$G:$G,$A1014,
          Transactions!$C:$C,"IN",
          Transactions!$Q:$Q,"Paid"))</f>
        <v/>
      </c>
      <c r="H1014" s="59" t="str">
        <f>IF($A1014="","",
   SUMIFS(Transactions!$P:$P,
          Transactions!$G:$G,$A1014,
          Transactions!$C:$C,"OUT"))</f>
        <v/>
      </c>
      <c r="I1014" s="65" t="str">
        <f t="shared" si="77"/>
        <v/>
      </c>
      <c r="J1014" s="59" t="str">
        <f t="shared" si="80"/>
        <v/>
      </c>
    </row>
    <row r="1015" spans="4:10" ht="22.5" customHeight="1" x14ac:dyDescent="0.25">
      <c r="D1015" s="59" t="str">
        <f t="shared" si="76"/>
        <v/>
      </c>
      <c r="E1015" s="59" t="str">
        <f t="shared" si="78"/>
        <v/>
      </c>
      <c r="F1015" s="59" t="str">
        <f t="shared" si="79"/>
        <v/>
      </c>
      <c r="G1015" s="59" t="str">
        <f>IF($A1015="","",
   SUMIFS(Transactions!$P:$P,
          Transactions!$G:$G,$A1015,
          Transactions!$C:$C,"IN",
          Transactions!$Q:$Q,"Paid"))</f>
        <v/>
      </c>
      <c r="H1015" s="59" t="str">
        <f>IF($A1015="","",
   SUMIFS(Transactions!$P:$P,
          Transactions!$G:$G,$A1015,
          Transactions!$C:$C,"OUT"))</f>
        <v/>
      </c>
      <c r="I1015" s="65" t="str">
        <f t="shared" si="77"/>
        <v/>
      </c>
      <c r="J1015" s="59" t="str">
        <f t="shared" si="80"/>
        <v/>
      </c>
    </row>
    <row r="1016" spans="4:10" ht="22.5" customHeight="1" x14ac:dyDescent="0.25">
      <c r="D1016" s="59" t="str">
        <f t="shared" si="76"/>
        <v/>
      </c>
      <c r="E1016" s="59" t="str">
        <f t="shared" si="78"/>
        <v/>
      </c>
      <c r="F1016" s="59" t="str">
        <f t="shared" si="79"/>
        <v/>
      </c>
      <c r="G1016" s="59" t="str">
        <f>IF($A1016="","",
   SUMIFS(Transactions!$P:$P,
          Transactions!$G:$G,$A1016,
          Transactions!$C:$C,"IN",
          Transactions!$Q:$Q,"Paid"))</f>
        <v/>
      </c>
      <c r="H1016" s="59" t="str">
        <f>IF($A1016="","",
   SUMIFS(Transactions!$P:$P,
          Transactions!$G:$G,$A1016,
          Transactions!$C:$C,"OUT"))</f>
        <v/>
      </c>
      <c r="I1016" s="65" t="str">
        <f t="shared" si="77"/>
        <v/>
      </c>
      <c r="J1016" s="59" t="str">
        <f t="shared" si="80"/>
        <v/>
      </c>
    </row>
    <row r="1017" spans="4:10" ht="22.5" customHeight="1" x14ac:dyDescent="0.25">
      <c r="D1017" s="59" t="str">
        <f t="shared" si="76"/>
        <v/>
      </c>
      <c r="E1017" s="59" t="str">
        <f t="shared" si="78"/>
        <v/>
      </c>
      <c r="F1017" s="59" t="str">
        <f t="shared" si="79"/>
        <v/>
      </c>
      <c r="G1017" s="59" t="str">
        <f>IF($A1017="","",
   SUMIFS(Transactions!$P:$P,
          Transactions!$G:$G,$A1017,
          Transactions!$C:$C,"IN",
          Transactions!$Q:$Q,"Paid"))</f>
        <v/>
      </c>
      <c r="H1017" s="59" t="str">
        <f>IF($A1017="","",
   SUMIFS(Transactions!$P:$P,
          Transactions!$G:$G,$A1017,
          Transactions!$C:$C,"OUT"))</f>
        <v/>
      </c>
      <c r="I1017" s="65" t="str">
        <f t="shared" si="77"/>
        <v/>
      </c>
      <c r="J1017" s="59" t="str">
        <f t="shared" si="80"/>
        <v/>
      </c>
    </row>
    <row r="1018" spans="4:10" ht="22.5" customHeight="1" x14ac:dyDescent="0.25">
      <c r="D1018" s="59" t="str">
        <f t="shared" si="76"/>
        <v/>
      </c>
      <c r="E1018" s="59" t="str">
        <f t="shared" si="78"/>
        <v/>
      </c>
      <c r="F1018" s="59" t="str">
        <f t="shared" si="79"/>
        <v/>
      </c>
      <c r="G1018" s="59" t="str">
        <f>IF($A1018="","",
   SUMIFS(Transactions!$P:$P,
          Transactions!$G:$G,$A1018,
          Transactions!$C:$C,"IN",
          Transactions!$Q:$Q,"Paid"))</f>
        <v/>
      </c>
      <c r="H1018" s="59" t="str">
        <f>IF($A1018="","",
   SUMIFS(Transactions!$P:$P,
          Transactions!$G:$G,$A1018,
          Transactions!$C:$C,"OUT"))</f>
        <v/>
      </c>
      <c r="I1018" s="65" t="str">
        <f t="shared" si="77"/>
        <v/>
      </c>
      <c r="J1018" s="59" t="str">
        <f t="shared" si="80"/>
        <v/>
      </c>
    </row>
    <row r="1019" spans="4:10" ht="22.5" customHeight="1" x14ac:dyDescent="0.25">
      <c r="D1019" s="59" t="str">
        <f t="shared" si="76"/>
        <v/>
      </c>
      <c r="E1019" s="59" t="str">
        <f t="shared" si="78"/>
        <v/>
      </c>
      <c r="F1019" s="59" t="str">
        <f t="shared" si="79"/>
        <v/>
      </c>
      <c r="G1019" s="59" t="str">
        <f>IF($A1019="","",
   SUMIFS(Transactions!$P:$P,
          Transactions!$G:$G,$A1019,
          Transactions!$C:$C,"IN",
          Transactions!$Q:$Q,"Paid"))</f>
        <v/>
      </c>
      <c r="H1019" s="59" t="str">
        <f>IF($A1019="","",
   SUMIFS(Transactions!$P:$P,
          Transactions!$G:$G,$A1019,
          Transactions!$C:$C,"OUT"))</f>
        <v/>
      </c>
      <c r="I1019" s="65" t="str">
        <f t="shared" si="77"/>
        <v/>
      </c>
      <c r="J1019" s="59" t="str">
        <f t="shared" si="80"/>
        <v/>
      </c>
    </row>
    <row r="1020" spans="4:10" ht="22.5" customHeight="1" x14ac:dyDescent="0.25">
      <c r="D1020" s="59" t="str">
        <f t="shared" si="76"/>
        <v/>
      </c>
      <c r="E1020" s="59" t="str">
        <f t="shared" si="78"/>
        <v/>
      </c>
      <c r="F1020" s="59" t="str">
        <f t="shared" si="79"/>
        <v/>
      </c>
      <c r="G1020" s="59" t="str">
        <f>IF($A1020="","",
   SUMIFS(Transactions!$P:$P,
          Transactions!$G:$G,$A1020,
          Transactions!$C:$C,"IN",
          Transactions!$Q:$Q,"Paid"))</f>
        <v/>
      </c>
      <c r="H1020" s="59" t="str">
        <f>IF($A1020="","",
   SUMIFS(Transactions!$P:$P,
          Transactions!$G:$G,$A1020,
          Transactions!$C:$C,"OUT"))</f>
        <v/>
      </c>
      <c r="I1020" s="65" t="str">
        <f t="shared" si="77"/>
        <v/>
      </c>
      <c r="J1020" s="59" t="str">
        <f t="shared" si="80"/>
        <v/>
      </c>
    </row>
    <row r="1021" spans="4:10" ht="22.5" customHeight="1" x14ac:dyDescent="0.25">
      <c r="D1021" s="59" t="str">
        <f t="shared" si="76"/>
        <v/>
      </c>
      <c r="E1021" s="59" t="str">
        <f t="shared" si="78"/>
        <v/>
      </c>
      <c r="F1021" s="59" t="str">
        <f t="shared" si="79"/>
        <v/>
      </c>
      <c r="G1021" s="59" t="str">
        <f>IF($A1021="","",
   SUMIFS(Transactions!$P:$P,
          Transactions!$G:$G,$A1021,
          Transactions!$C:$C,"IN",
          Transactions!$Q:$Q,"Paid"))</f>
        <v/>
      </c>
      <c r="H1021" s="59" t="str">
        <f>IF($A1021="","",
   SUMIFS(Transactions!$P:$P,
          Transactions!$G:$G,$A1021,
          Transactions!$C:$C,"OUT"))</f>
        <v/>
      </c>
      <c r="I1021" s="65" t="str">
        <f t="shared" si="77"/>
        <v/>
      </c>
      <c r="J1021" s="59" t="str">
        <f t="shared" si="80"/>
        <v/>
      </c>
    </row>
    <row r="1022" spans="4:10" ht="22.5" customHeight="1" x14ac:dyDescent="0.25">
      <c r="D1022" s="59" t="str">
        <f t="shared" si="76"/>
        <v/>
      </c>
      <c r="E1022" s="59" t="str">
        <f t="shared" si="78"/>
        <v/>
      </c>
      <c r="F1022" s="59" t="str">
        <f t="shared" si="79"/>
        <v/>
      </c>
      <c r="G1022" s="59" t="str">
        <f>IF($A1022="","",
   SUMIFS(Transactions!$P:$P,
          Transactions!$G:$G,$A1022,
          Transactions!$C:$C,"IN",
          Transactions!$Q:$Q,"Paid"))</f>
        <v/>
      </c>
      <c r="H1022" s="59" t="str">
        <f>IF($A1022="","",
   SUMIFS(Transactions!$P:$P,
          Transactions!$G:$G,$A1022,
          Transactions!$C:$C,"OUT"))</f>
        <v/>
      </c>
      <c r="I1022" s="65" t="str">
        <f t="shared" si="77"/>
        <v/>
      </c>
      <c r="J1022" s="59" t="str">
        <f t="shared" si="80"/>
        <v/>
      </c>
    </row>
    <row r="1023" spans="4:10" ht="22.5" customHeight="1" x14ac:dyDescent="0.25">
      <c r="D1023" s="59" t="str">
        <f t="shared" si="76"/>
        <v/>
      </c>
      <c r="E1023" s="59" t="str">
        <f t="shared" si="78"/>
        <v/>
      </c>
      <c r="F1023" s="59" t="str">
        <f t="shared" si="79"/>
        <v/>
      </c>
      <c r="G1023" s="59" t="str">
        <f>IF($A1023="","",
   SUMIFS(Transactions!$P:$P,
          Transactions!$G:$G,$A1023,
          Transactions!$C:$C,"IN",
          Transactions!$Q:$Q,"Paid"))</f>
        <v/>
      </c>
      <c r="H1023" s="59" t="str">
        <f>IF($A1023="","",
   SUMIFS(Transactions!$P:$P,
          Transactions!$G:$G,$A1023,
          Transactions!$C:$C,"OUT"))</f>
        <v/>
      </c>
      <c r="I1023" s="65" t="str">
        <f t="shared" si="77"/>
        <v/>
      </c>
      <c r="J1023" s="59" t="str">
        <f t="shared" si="80"/>
        <v/>
      </c>
    </row>
    <row r="1024" spans="4:10" ht="22.5" customHeight="1" x14ac:dyDescent="0.25">
      <c r="D1024" s="59" t="str">
        <f t="shared" si="76"/>
        <v/>
      </c>
      <c r="E1024" s="59" t="str">
        <f t="shared" si="78"/>
        <v/>
      </c>
      <c r="F1024" s="59" t="str">
        <f t="shared" si="79"/>
        <v/>
      </c>
      <c r="G1024" s="59" t="str">
        <f>IF($A1024="","",
   SUMIFS(Transactions!$P:$P,
          Transactions!$G:$G,$A1024,
          Transactions!$C:$C,"IN",
          Transactions!$Q:$Q,"Paid"))</f>
        <v/>
      </c>
      <c r="H1024" s="59" t="str">
        <f>IF($A1024="","",
   SUMIFS(Transactions!$P:$P,
          Transactions!$G:$G,$A1024,
          Transactions!$C:$C,"OUT"))</f>
        <v/>
      </c>
      <c r="I1024" s="65" t="str">
        <f t="shared" si="77"/>
        <v/>
      </c>
      <c r="J1024" s="59" t="str">
        <f t="shared" si="80"/>
        <v/>
      </c>
    </row>
    <row r="1025" spans="4:10" ht="22.5" customHeight="1" x14ac:dyDescent="0.25">
      <c r="D1025" s="59" t="str">
        <f t="shared" si="76"/>
        <v/>
      </c>
      <c r="E1025" s="59" t="str">
        <f t="shared" si="78"/>
        <v/>
      </c>
      <c r="F1025" s="59" t="str">
        <f t="shared" si="79"/>
        <v/>
      </c>
      <c r="G1025" s="59" t="str">
        <f>IF($A1025="","",
   SUMIFS(Transactions!$P:$P,
          Transactions!$G:$G,$A1025,
          Transactions!$C:$C,"IN",
          Transactions!$Q:$Q,"Paid"))</f>
        <v/>
      </c>
      <c r="H1025" s="59" t="str">
        <f>IF($A1025="","",
   SUMIFS(Transactions!$P:$P,
          Transactions!$G:$G,$A1025,
          Transactions!$C:$C,"OUT"))</f>
        <v/>
      </c>
      <c r="I1025" s="65" t="str">
        <f t="shared" si="77"/>
        <v/>
      </c>
      <c r="J1025" s="59" t="str">
        <f t="shared" si="80"/>
        <v/>
      </c>
    </row>
    <row r="1026" spans="4:10" ht="22.5" customHeight="1" x14ac:dyDescent="0.25">
      <c r="D1026" s="59" t="str">
        <f t="shared" si="76"/>
        <v/>
      </c>
      <c r="E1026" s="59" t="str">
        <f t="shared" si="78"/>
        <v/>
      </c>
      <c r="F1026" s="59" t="str">
        <f t="shared" si="79"/>
        <v/>
      </c>
      <c r="G1026" s="59" t="str">
        <f>IF($A1026="","",
   SUMIFS(Transactions!$P:$P,
          Transactions!$G:$G,$A1026,
          Transactions!$C:$C,"IN",
          Transactions!$Q:$Q,"Paid"))</f>
        <v/>
      </c>
      <c r="H1026" s="59" t="str">
        <f>IF($A1026="","",
   SUMIFS(Transactions!$P:$P,
          Transactions!$G:$G,$A1026,
          Transactions!$C:$C,"OUT"))</f>
        <v/>
      </c>
      <c r="I1026" s="65" t="str">
        <f t="shared" si="77"/>
        <v/>
      </c>
      <c r="J1026" s="59" t="str">
        <f t="shared" si="80"/>
        <v/>
      </c>
    </row>
    <row r="1027" spans="4:10" ht="22.5" customHeight="1" x14ac:dyDescent="0.25">
      <c r="D1027" s="59" t="str">
        <f t="shared" ref="D1027:D1090" si="81">IF(C1027="","",ROUND(C1027*0.15,2))</f>
        <v/>
      </c>
      <c r="E1027" s="59" t="str">
        <f t="shared" si="78"/>
        <v/>
      </c>
      <c r="F1027" s="59" t="str">
        <f t="shared" si="79"/>
        <v/>
      </c>
      <c r="G1027" s="59" t="str">
        <f>IF($A1027="","",
   SUMIFS(Transactions!$P:$P,
          Transactions!$G:$G,$A1027,
          Transactions!$C:$C,"IN",
          Transactions!$Q:$Q,"Paid"))</f>
        <v/>
      </c>
      <c r="H1027" s="59" t="str">
        <f>IF($A1027="","",
   SUMIFS(Transactions!$P:$P,
          Transactions!$G:$G,$A1027,
          Transactions!$C:$C,"OUT"))</f>
        <v/>
      </c>
      <c r="I1027" s="65" t="str">
        <f t="shared" ref="I1027:I1090" si="82">IF(C1027="","",C1027-H1027)</f>
        <v/>
      </c>
      <c r="J1027" s="59" t="str">
        <f t="shared" si="80"/>
        <v/>
      </c>
    </row>
    <row r="1028" spans="4:10" ht="22.5" customHeight="1" x14ac:dyDescent="0.25">
      <c r="D1028" s="59" t="str">
        <f t="shared" si="81"/>
        <v/>
      </c>
      <c r="E1028" s="59" t="str">
        <f t="shared" ref="E1028:E1091" si="83">IF(C1028="","",C1028+D1028)</f>
        <v/>
      </c>
      <c r="F1028" s="59" t="str">
        <f t="shared" ref="F1028:F1091" si="84">IF(E1028="","",E1028*0.5)</f>
        <v/>
      </c>
      <c r="G1028" s="59" t="str">
        <f>IF($A1028="","",
   SUMIFS(Transactions!$P:$P,
          Transactions!$G:$G,$A1028,
          Transactions!$C:$C,"IN",
          Transactions!$Q:$Q,"Paid"))</f>
        <v/>
      </c>
      <c r="H1028" s="59" t="str">
        <f>IF($A1028="","",
   SUMIFS(Transactions!$P:$P,
          Transactions!$G:$G,$A1028,
          Transactions!$C:$C,"OUT"))</f>
        <v/>
      </c>
      <c r="I1028" s="65" t="str">
        <f t="shared" si="82"/>
        <v/>
      </c>
      <c r="J1028" s="59" t="str">
        <f t="shared" ref="J1028:J1091" si="85">IF(E1028="","",E1028-G1028)</f>
        <v/>
      </c>
    </row>
    <row r="1029" spans="4:10" ht="22.5" customHeight="1" x14ac:dyDescent="0.25">
      <c r="D1029" s="59" t="str">
        <f t="shared" si="81"/>
        <v/>
      </c>
      <c r="E1029" s="59" t="str">
        <f t="shared" si="83"/>
        <v/>
      </c>
      <c r="F1029" s="59" t="str">
        <f t="shared" si="84"/>
        <v/>
      </c>
      <c r="G1029" s="59" t="str">
        <f>IF($A1029="","",
   SUMIFS(Transactions!$P:$P,
          Transactions!$G:$G,$A1029,
          Transactions!$C:$C,"IN",
          Transactions!$Q:$Q,"Paid"))</f>
        <v/>
      </c>
      <c r="H1029" s="59" t="str">
        <f>IF($A1029="","",
   SUMIFS(Transactions!$P:$P,
          Transactions!$G:$G,$A1029,
          Transactions!$C:$C,"OUT"))</f>
        <v/>
      </c>
      <c r="I1029" s="65" t="str">
        <f t="shared" si="82"/>
        <v/>
      </c>
      <c r="J1029" s="59" t="str">
        <f t="shared" si="85"/>
        <v/>
      </c>
    </row>
    <row r="1030" spans="4:10" ht="22.5" customHeight="1" x14ac:dyDescent="0.25">
      <c r="D1030" s="59" t="str">
        <f t="shared" si="81"/>
        <v/>
      </c>
      <c r="E1030" s="59" t="str">
        <f t="shared" si="83"/>
        <v/>
      </c>
      <c r="F1030" s="59" t="str">
        <f t="shared" si="84"/>
        <v/>
      </c>
      <c r="G1030" s="59" t="str">
        <f>IF($A1030="","",
   SUMIFS(Transactions!$P:$P,
          Transactions!$G:$G,$A1030,
          Transactions!$C:$C,"IN",
          Transactions!$Q:$Q,"Paid"))</f>
        <v/>
      </c>
      <c r="H1030" s="59" t="str">
        <f>IF($A1030="","",
   SUMIFS(Transactions!$P:$P,
          Transactions!$G:$G,$A1030,
          Transactions!$C:$C,"OUT"))</f>
        <v/>
      </c>
      <c r="I1030" s="65" t="str">
        <f t="shared" si="82"/>
        <v/>
      </c>
      <c r="J1030" s="59" t="str">
        <f t="shared" si="85"/>
        <v/>
      </c>
    </row>
    <row r="1031" spans="4:10" ht="22.5" customHeight="1" x14ac:dyDescent="0.25">
      <c r="D1031" s="59" t="str">
        <f t="shared" si="81"/>
        <v/>
      </c>
      <c r="E1031" s="59" t="str">
        <f t="shared" si="83"/>
        <v/>
      </c>
      <c r="F1031" s="59" t="str">
        <f t="shared" si="84"/>
        <v/>
      </c>
      <c r="G1031" s="59" t="str">
        <f>IF($A1031="","",
   SUMIFS(Transactions!$P:$P,
          Transactions!$G:$G,$A1031,
          Transactions!$C:$C,"IN",
          Transactions!$Q:$Q,"Paid"))</f>
        <v/>
      </c>
      <c r="H1031" s="59" t="str">
        <f>IF($A1031="","",
   SUMIFS(Transactions!$P:$P,
          Transactions!$G:$G,$A1031,
          Transactions!$C:$C,"OUT"))</f>
        <v/>
      </c>
      <c r="I1031" s="65" t="str">
        <f t="shared" si="82"/>
        <v/>
      </c>
      <c r="J1031" s="59" t="str">
        <f t="shared" si="85"/>
        <v/>
      </c>
    </row>
    <row r="1032" spans="4:10" ht="22.5" customHeight="1" x14ac:dyDescent="0.25">
      <c r="D1032" s="59" t="str">
        <f t="shared" si="81"/>
        <v/>
      </c>
      <c r="E1032" s="59" t="str">
        <f t="shared" si="83"/>
        <v/>
      </c>
      <c r="F1032" s="59" t="str">
        <f t="shared" si="84"/>
        <v/>
      </c>
      <c r="G1032" s="59" t="str">
        <f>IF($A1032="","",
   SUMIFS(Transactions!$P:$P,
          Transactions!$G:$G,$A1032,
          Transactions!$C:$C,"IN",
          Transactions!$Q:$Q,"Paid"))</f>
        <v/>
      </c>
      <c r="H1032" s="59" t="str">
        <f>IF($A1032="","",
   SUMIFS(Transactions!$P:$P,
          Transactions!$G:$G,$A1032,
          Transactions!$C:$C,"OUT"))</f>
        <v/>
      </c>
      <c r="I1032" s="65" t="str">
        <f t="shared" si="82"/>
        <v/>
      </c>
      <c r="J1032" s="59" t="str">
        <f t="shared" si="85"/>
        <v/>
      </c>
    </row>
    <row r="1033" spans="4:10" ht="22.5" customHeight="1" x14ac:dyDescent="0.25">
      <c r="D1033" s="59" t="str">
        <f t="shared" si="81"/>
        <v/>
      </c>
      <c r="E1033" s="59" t="str">
        <f t="shared" si="83"/>
        <v/>
      </c>
      <c r="F1033" s="59" t="str">
        <f t="shared" si="84"/>
        <v/>
      </c>
      <c r="G1033" s="59" t="str">
        <f>IF($A1033="","",
   SUMIFS(Transactions!$P:$P,
          Transactions!$G:$G,$A1033,
          Transactions!$C:$C,"IN",
          Transactions!$Q:$Q,"Paid"))</f>
        <v/>
      </c>
      <c r="H1033" s="59" t="str">
        <f>IF($A1033="","",
   SUMIFS(Transactions!$P:$P,
          Transactions!$G:$G,$A1033,
          Transactions!$C:$C,"OUT"))</f>
        <v/>
      </c>
      <c r="I1033" s="65" t="str">
        <f t="shared" si="82"/>
        <v/>
      </c>
      <c r="J1033" s="59" t="str">
        <f t="shared" si="85"/>
        <v/>
      </c>
    </row>
    <row r="1034" spans="4:10" ht="22.5" customHeight="1" x14ac:dyDescent="0.25">
      <c r="D1034" s="59" t="str">
        <f t="shared" si="81"/>
        <v/>
      </c>
      <c r="E1034" s="59" t="str">
        <f t="shared" si="83"/>
        <v/>
      </c>
      <c r="F1034" s="59" t="str">
        <f t="shared" si="84"/>
        <v/>
      </c>
      <c r="G1034" s="59" t="str">
        <f>IF($A1034="","",
   SUMIFS(Transactions!$P:$P,
          Transactions!$G:$G,$A1034,
          Transactions!$C:$C,"IN",
          Transactions!$Q:$Q,"Paid"))</f>
        <v/>
      </c>
      <c r="H1034" s="59" t="str">
        <f>IF($A1034="","",
   SUMIFS(Transactions!$P:$P,
          Transactions!$G:$G,$A1034,
          Transactions!$C:$C,"OUT"))</f>
        <v/>
      </c>
      <c r="I1034" s="65" t="str">
        <f t="shared" si="82"/>
        <v/>
      </c>
      <c r="J1034" s="59" t="str">
        <f t="shared" si="85"/>
        <v/>
      </c>
    </row>
    <row r="1035" spans="4:10" ht="22.5" customHeight="1" x14ac:dyDescent="0.25">
      <c r="D1035" s="59" t="str">
        <f t="shared" si="81"/>
        <v/>
      </c>
      <c r="E1035" s="59" t="str">
        <f t="shared" si="83"/>
        <v/>
      </c>
      <c r="F1035" s="59" t="str">
        <f t="shared" si="84"/>
        <v/>
      </c>
      <c r="G1035" s="59" t="str">
        <f>IF($A1035="","",
   SUMIFS(Transactions!$P:$P,
          Transactions!$G:$G,$A1035,
          Transactions!$C:$C,"IN",
          Transactions!$Q:$Q,"Paid"))</f>
        <v/>
      </c>
      <c r="H1035" s="59" t="str">
        <f>IF($A1035="","",
   SUMIFS(Transactions!$P:$P,
          Transactions!$G:$G,$A1035,
          Transactions!$C:$C,"OUT"))</f>
        <v/>
      </c>
      <c r="I1035" s="65" t="str">
        <f t="shared" si="82"/>
        <v/>
      </c>
      <c r="J1035" s="59" t="str">
        <f t="shared" si="85"/>
        <v/>
      </c>
    </row>
    <row r="1036" spans="4:10" ht="22.5" customHeight="1" x14ac:dyDescent="0.25">
      <c r="D1036" s="59" t="str">
        <f t="shared" si="81"/>
        <v/>
      </c>
      <c r="E1036" s="59" t="str">
        <f t="shared" si="83"/>
        <v/>
      </c>
      <c r="F1036" s="59" t="str">
        <f t="shared" si="84"/>
        <v/>
      </c>
      <c r="G1036" s="59" t="str">
        <f>IF($A1036="","",
   SUMIFS(Transactions!$P:$P,
          Transactions!$G:$G,$A1036,
          Transactions!$C:$C,"IN",
          Transactions!$Q:$Q,"Paid"))</f>
        <v/>
      </c>
      <c r="H1036" s="59" t="str">
        <f>IF($A1036="","",
   SUMIFS(Transactions!$P:$P,
          Transactions!$G:$G,$A1036,
          Transactions!$C:$C,"OUT"))</f>
        <v/>
      </c>
      <c r="I1036" s="65" t="str">
        <f t="shared" si="82"/>
        <v/>
      </c>
      <c r="J1036" s="59" t="str">
        <f t="shared" si="85"/>
        <v/>
      </c>
    </row>
    <row r="1037" spans="4:10" ht="22.5" customHeight="1" x14ac:dyDescent="0.25">
      <c r="D1037" s="59" t="str">
        <f t="shared" si="81"/>
        <v/>
      </c>
      <c r="E1037" s="59" t="str">
        <f t="shared" si="83"/>
        <v/>
      </c>
      <c r="F1037" s="59" t="str">
        <f t="shared" si="84"/>
        <v/>
      </c>
      <c r="G1037" s="59" t="str">
        <f>IF($A1037="","",
   SUMIFS(Transactions!$P:$P,
          Transactions!$G:$G,$A1037,
          Transactions!$C:$C,"IN",
          Transactions!$Q:$Q,"Paid"))</f>
        <v/>
      </c>
      <c r="H1037" s="59" t="str">
        <f>IF($A1037="","",
   SUMIFS(Transactions!$P:$P,
          Transactions!$G:$G,$A1037,
          Transactions!$C:$C,"OUT"))</f>
        <v/>
      </c>
      <c r="I1037" s="65" t="str">
        <f t="shared" si="82"/>
        <v/>
      </c>
      <c r="J1037" s="59" t="str">
        <f t="shared" si="85"/>
        <v/>
      </c>
    </row>
    <row r="1038" spans="4:10" ht="22.5" customHeight="1" x14ac:dyDescent="0.25">
      <c r="D1038" s="59" t="str">
        <f t="shared" si="81"/>
        <v/>
      </c>
      <c r="E1038" s="59" t="str">
        <f t="shared" si="83"/>
        <v/>
      </c>
      <c r="F1038" s="59" t="str">
        <f t="shared" si="84"/>
        <v/>
      </c>
      <c r="G1038" s="59" t="str">
        <f>IF($A1038="","",
   SUMIFS(Transactions!$P:$P,
          Transactions!$G:$G,$A1038,
          Transactions!$C:$C,"IN",
          Transactions!$Q:$Q,"Paid"))</f>
        <v/>
      </c>
      <c r="H1038" s="59" t="str">
        <f>IF($A1038="","",
   SUMIFS(Transactions!$P:$P,
          Transactions!$G:$G,$A1038,
          Transactions!$C:$C,"OUT"))</f>
        <v/>
      </c>
      <c r="I1038" s="65" t="str">
        <f t="shared" si="82"/>
        <v/>
      </c>
      <c r="J1038" s="59" t="str">
        <f t="shared" si="85"/>
        <v/>
      </c>
    </row>
    <row r="1039" spans="4:10" ht="22.5" customHeight="1" x14ac:dyDescent="0.25">
      <c r="D1039" s="59" t="str">
        <f t="shared" si="81"/>
        <v/>
      </c>
      <c r="E1039" s="59" t="str">
        <f t="shared" si="83"/>
        <v/>
      </c>
      <c r="F1039" s="59" t="str">
        <f t="shared" si="84"/>
        <v/>
      </c>
      <c r="G1039" s="59" t="str">
        <f>IF($A1039="","",
   SUMIFS(Transactions!$P:$P,
          Transactions!$G:$G,$A1039,
          Transactions!$C:$C,"IN",
          Transactions!$Q:$Q,"Paid"))</f>
        <v/>
      </c>
      <c r="H1039" s="59" t="str">
        <f>IF($A1039="","",
   SUMIFS(Transactions!$P:$P,
          Transactions!$G:$G,$A1039,
          Transactions!$C:$C,"OUT"))</f>
        <v/>
      </c>
      <c r="I1039" s="65" t="str">
        <f t="shared" si="82"/>
        <v/>
      </c>
      <c r="J1039" s="59" t="str">
        <f t="shared" si="85"/>
        <v/>
      </c>
    </row>
    <row r="1040" spans="4:10" ht="22.5" customHeight="1" x14ac:dyDescent="0.25">
      <c r="D1040" s="59" t="str">
        <f t="shared" si="81"/>
        <v/>
      </c>
      <c r="E1040" s="59" t="str">
        <f t="shared" si="83"/>
        <v/>
      </c>
      <c r="F1040" s="59" t="str">
        <f t="shared" si="84"/>
        <v/>
      </c>
      <c r="G1040" s="59" t="str">
        <f>IF($A1040="","",
   SUMIFS(Transactions!$P:$P,
          Transactions!$G:$G,$A1040,
          Transactions!$C:$C,"IN",
          Transactions!$Q:$Q,"Paid"))</f>
        <v/>
      </c>
      <c r="H1040" s="59" t="str">
        <f>IF($A1040="","",
   SUMIFS(Transactions!$P:$P,
          Transactions!$G:$G,$A1040,
          Transactions!$C:$C,"OUT"))</f>
        <v/>
      </c>
      <c r="I1040" s="65" t="str">
        <f t="shared" si="82"/>
        <v/>
      </c>
      <c r="J1040" s="59" t="str">
        <f t="shared" si="85"/>
        <v/>
      </c>
    </row>
    <row r="1041" spans="4:10" ht="22.5" customHeight="1" x14ac:dyDescent="0.25">
      <c r="D1041" s="59" t="str">
        <f t="shared" si="81"/>
        <v/>
      </c>
      <c r="E1041" s="59" t="str">
        <f t="shared" si="83"/>
        <v/>
      </c>
      <c r="F1041" s="59" t="str">
        <f t="shared" si="84"/>
        <v/>
      </c>
      <c r="G1041" s="59" t="str">
        <f>IF($A1041="","",
   SUMIFS(Transactions!$P:$P,
          Transactions!$G:$G,$A1041,
          Transactions!$C:$C,"IN",
          Transactions!$Q:$Q,"Paid"))</f>
        <v/>
      </c>
      <c r="H1041" s="59" t="str">
        <f>IF($A1041="","",
   SUMIFS(Transactions!$P:$P,
          Transactions!$G:$G,$A1041,
          Transactions!$C:$C,"OUT"))</f>
        <v/>
      </c>
      <c r="I1041" s="65" t="str">
        <f t="shared" si="82"/>
        <v/>
      </c>
      <c r="J1041" s="59" t="str">
        <f t="shared" si="85"/>
        <v/>
      </c>
    </row>
    <row r="1042" spans="4:10" ht="22.5" customHeight="1" x14ac:dyDescent="0.25">
      <c r="D1042" s="59" t="str">
        <f t="shared" si="81"/>
        <v/>
      </c>
      <c r="E1042" s="59" t="str">
        <f t="shared" si="83"/>
        <v/>
      </c>
      <c r="F1042" s="59" t="str">
        <f t="shared" si="84"/>
        <v/>
      </c>
      <c r="G1042" s="59" t="str">
        <f>IF($A1042="","",
   SUMIFS(Transactions!$P:$P,
          Transactions!$G:$G,$A1042,
          Transactions!$C:$C,"IN",
          Transactions!$Q:$Q,"Paid"))</f>
        <v/>
      </c>
      <c r="H1042" s="59" t="str">
        <f>IF($A1042="","",
   SUMIFS(Transactions!$P:$P,
          Transactions!$G:$G,$A1042,
          Transactions!$C:$C,"OUT"))</f>
        <v/>
      </c>
      <c r="I1042" s="65" t="str">
        <f t="shared" si="82"/>
        <v/>
      </c>
      <c r="J1042" s="59" t="str">
        <f t="shared" si="85"/>
        <v/>
      </c>
    </row>
    <row r="1043" spans="4:10" ht="22.5" customHeight="1" x14ac:dyDescent="0.25">
      <c r="D1043" s="59" t="str">
        <f t="shared" si="81"/>
        <v/>
      </c>
      <c r="E1043" s="59" t="str">
        <f t="shared" si="83"/>
        <v/>
      </c>
      <c r="F1043" s="59" t="str">
        <f t="shared" si="84"/>
        <v/>
      </c>
      <c r="G1043" s="59" t="str">
        <f>IF($A1043="","",
   SUMIFS(Transactions!$P:$P,
          Transactions!$G:$G,$A1043,
          Transactions!$C:$C,"IN",
          Transactions!$Q:$Q,"Paid"))</f>
        <v/>
      </c>
      <c r="H1043" s="59" t="str">
        <f>IF($A1043="","",
   SUMIFS(Transactions!$P:$P,
          Transactions!$G:$G,$A1043,
          Transactions!$C:$C,"OUT"))</f>
        <v/>
      </c>
      <c r="I1043" s="65" t="str">
        <f t="shared" si="82"/>
        <v/>
      </c>
      <c r="J1043" s="59" t="str">
        <f t="shared" si="85"/>
        <v/>
      </c>
    </row>
    <row r="1044" spans="4:10" ht="22.5" customHeight="1" x14ac:dyDescent="0.25">
      <c r="D1044" s="59" t="str">
        <f t="shared" si="81"/>
        <v/>
      </c>
      <c r="E1044" s="59" t="str">
        <f t="shared" si="83"/>
        <v/>
      </c>
      <c r="F1044" s="59" t="str">
        <f t="shared" si="84"/>
        <v/>
      </c>
      <c r="G1044" s="59" t="str">
        <f>IF($A1044="","",
   SUMIFS(Transactions!$P:$P,
          Transactions!$G:$G,$A1044,
          Transactions!$C:$C,"IN",
          Transactions!$Q:$Q,"Paid"))</f>
        <v/>
      </c>
      <c r="H1044" s="59" t="str">
        <f>IF($A1044="","",
   SUMIFS(Transactions!$P:$P,
          Transactions!$G:$G,$A1044,
          Transactions!$C:$C,"OUT"))</f>
        <v/>
      </c>
      <c r="I1044" s="65" t="str">
        <f t="shared" si="82"/>
        <v/>
      </c>
      <c r="J1044" s="59" t="str">
        <f t="shared" si="85"/>
        <v/>
      </c>
    </row>
    <row r="1045" spans="4:10" ht="22.5" customHeight="1" x14ac:dyDescent="0.25">
      <c r="D1045" s="59" t="str">
        <f t="shared" si="81"/>
        <v/>
      </c>
      <c r="E1045" s="59" t="str">
        <f t="shared" si="83"/>
        <v/>
      </c>
      <c r="F1045" s="59" t="str">
        <f t="shared" si="84"/>
        <v/>
      </c>
      <c r="G1045" s="59" t="str">
        <f>IF($A1045="","",
   SUMIFS(Transactions!$P:$P,
          Transactions!$G:$G,$A1045,
          Transactions!$C:$C,"IN",
          Transactions!$Q:$Q,"Paid"))</f>
        <v/>
      </c>
      <c r="H1045" s="59" t="str">
        <f>IF($A1045="","",
   SUMIFS(Transactions!$P:$P,
          Transactions!$G:$G,$A1045,
          Transactions!$C:$C,"OUT"))</f>
        <v/>
      </c>
      <c r="I1045" s="65" t="str">
        <f t="shared" si="82"/>
        <v/>
      </c>
      <c r="J1045" s="59" t="str">
        <f t="shared" si="85"/>
        <v/>
      </c>
    </row>
    <row r="1046" spans="4:10" ht="22.5" customHeight="1" x14ac:dyDescent="0.25">
      <c r="D1046" s="59" t="str">
        <f t="shared" si="81"/>
        <v/>
      </c>
      <c r="E1046" s="59" t="str">
        <f t="shared" si="83"/>
        <v/>
      </c>
      <c r="F1046" s="59" t="str">
        <f t="shared" si="84"/>
        <v/>
      </c>
      <c r="G1046" s="59" t="str">
        <f>IF($A1046="","",
   SUMIFS(Transactions!$P:$P,
          Transactions!$G:$G,$A1046,
          Transactions!$C:$C,"IN",
          Transactions!$Q:$Q,"Paid"))</f>
        <v/>
      </c>
      <c r="H1046" s="59" t="str">
        <f>IF($A1046="","",
   SUMIFS(Transactions!$P:$P,
          Transactions!$G:$G,$A1046,
          Transactions!$C:$C,"OUT"))</f>
        <v/>
      </c>
      <c r="I1046" s="65" t="str">
        <f t="shared" si="82"/>
        <v/>
      </c>
      <c r="J1046" s="59" t="str">
        <f t="shared" si="85"/>
        <v/>
      </c>
    </row>
    <row r="1047" spans="4:10" ht="22.5" customHeight="1" x14ac:dyDescent="0.25">
      <c r="D1047" s="59" t="str">
        <f t="shared" si="81"/>
        <v/>
      </c>
      <c r="E1047" s="59" t="str">
        <f t="shared" si="83"/>
        <v/>
      </c>
      <c r="F1047" s="59" t="str">
        <f t="shared" si="84"/>
        <v/>
      </c>
      <c r="G1047" s="59" t="str">
        <f>IF($A1047="","",
   SUMIFS(Transactions!$P:$P,
          Transactions!$G:$G,$A1047,
          Transactions!$C:$C,"IN",
          Transactions!$Q:$Q,"Paid"))</f>
        <v/>
      </c>
      <c r="H1047" s="59" t="str">
        <f>IF($A1047="","",
   SUMIFS(Transactions!$P:$P,
          Transactions!$G:$G,$A1047,
          Transactions!$C:$C,"OUT"))</f>
        <v/>
      </c>
      <c r="I1047" s="65" t="str">
        <f t="shared" si="82"/>
        <v/>
      </c>
      <c r="J1047" s="59" t="str">
        <f t="shared" si="85"/>
        <v/>
      </c>
    </row>
    <row r="1048" spans="4:10" ht="22.5" customHeight="1" x14ac:dyDescent="0.25">
      <c r="D1048" s="59" t="str">
        <f t="shared" si="81"/>
        <v/>
      </c>
      <c r="E1048" s="59" t="str">
        <f t="shared" si="83"/>
        <v/>
      </c>
      <c r="F1048" s="59" t="str">
        <f t="shared" si="84"/>
        <v/>
      </c>
      <c r="G1048" s="59" t="str">
        <f>IF($A1048="","",
   SUMIFS(Transactions!$P:$P,
          Transactions!$G:$G,$A1048,
          Transactions!$C:$C,"IN",
          Transactions!$Q:$Q,"Paid"))</f>
        <v/>
      </c>
      <c r="H1048" s="59" t="str">
        <f>IF($A1048="","",
   SUMIFS(Transactions!$P:$P,
          Transactions!$G:$G,$A1048,
          Transactions!$C:$C,"OUT"))</f>
        <v/>
      </c>
      <c r="I1048" s="65" t="str">
        <f t="shared" si="82"/>
        <v/>
      </c>
      <c r="J1048" s="59" t="str">
        <f t="shared" si="85"/>
        <v/>
      </c>
    </row>
    <row r="1049" spans="4:10" ht="22.5" customHeight="1" x14ac:dyDescent="0.25">
      <c r="D1049" s="59" t="str">
        <f t="shared" si="81"/>
        <v/>
      </c>
      <c r="E1049" s="59" t="str">
        <f t="shared" si="83"/>
        <v/>
      </c>
      <c r="F1049" s="59" t="str">
        <f t="shared" si="84"/>
        <v/>
      </c>
      <c r="G1049" s="59" t="str">
        <f>IF($A1049="","",
   SUMIFS(Transactions!$P:$P,
          Transactions!$G:$G,$A1049,
          Transactions!$C:$C,"IN",
          Transactions!$Q:$Q,"Paid"))</f>
        <v/>
      </c>
      <c r="H1049" s="59" t="str">
        <f>IF($A1049="","",
   SUMIFS(Transactions!$P:$P,
          Transactions!$G:$G,$A1049,
          Transactions!$C:$C,"OUT"))</f>
        <v/>
      </c>
      <c r="I1049" s="65" t="str">
        <f t="shared" si="82"/>
        <v/>
      </c>
      <c r="J1049" s="59" t="str">
        <f t="shared" si="85"/>
        <v/>
      </c>
    </row>
    <row r="1050" spans="4:10" ht="22.5" customHeight="1" x14ac:dyDescent="0.25">
      <c r="D1050" s="59" t="str">
        <f t="shared" si="81"/>
        <v/>
      </c>
      <c r="E1050" s="59" t="str">
        <f t="shared" si="83"/>
        <v/>
      </c>
      <c r="F1050" s="59" t="str">
        <f t="shared" si="84"/>
        <v/>
      </c>
      <c r="G1050" s="59" t="str">
        <f>IF($A1050="","",
   SUMIFS(Transactions!$P:$P,
          Transactions!$G:$G,$A1050,
          Transactions!$C:$C,"IN",
          Transactions!$Q:$Q,"Paid"))</f>
        <v/>
      </c>
      <c r="H1050" s="59" t="str">
        <f>IF($A1050="","",
   SUMIFS(Transactions!$P:$P,
          Transactions!$G:$G,$A1050,
          Transactions!$C:$C,"OUT"))</f>
        <v/>
      </c>
      <c r="I1050" s="65" t="str">
        <f t="shared" si="82"/>
        <v/>
      </c>
      <c r="J1050" s="59" t="str">
        <f t="shared" si="85"/>
        <v/>
      </c>
    </row>
    <row r="1051" spans="4:10" ht="22.5" customHeight="1" x14ac:dyDescent="0.25">
      <c r="D1051" s="59" t="str">
        <f t="shared" si="81"/>
        <v/>
      </c>
      <c r="E1051" s="59" t="str">
        <f t="shared" si="83"/>
        <v/>
      </c>
      <c r="F1051" s="59" t="str">
        <f t="shared" si="84"/>
        <v/>
      </c>
      <c r="G1051" s="59" t="str">
        <f>IF($A1051="","",
   SUMIFS(Transactions!$P:$P,
          Transactions!$G:$G,$A1051,
          Transactions!$C:$C,"IN",
          Transactions!$Q:$Q,"Paid"))</f>
        <v/>
      </c>
      <c r="H1051" s="59" t="str">
        <f>IF($A1051="","",
   SUMIFS(Transactions!$P:$P,
          Transactions!$G:$G,$A1051,
          Transactions!$C:$C,"OUT"))</f>
        <v/>
      </c>
      <c r="I1051" s="65" t="str">
        <f t="shared" si="82"/>
        <v/>
      </c>
      <c r="J1051" s="59" t="str">
        <f t="shared" si="85"/>
        <v/>
      </c>
    </row>
    <row r="1052" spans="4:10" ht="22.5" customHeight="1" x14ac:dyDescent="0.25">
      <c r="D1052" s="59" t="str">
        <f t="shared" si="81"/>
        <v/>
      </c>
      <c r="E1052" s="59" t="str">
        <f t="shared" si="83"/>
        <v/>
      </c>
      <c r="F1052" s="59" t="str">
        <f t="shared" si="84"/>
        <v/>
      </c>
      <c r="G1052" s="59" t="str">
        <f>IF($A1052="","",
   SUMIFS(Transactions!$P:$P,
          Transactions!$G:$G,$A1052,
          Transactions!$C:$C,"IN",
          Transactions!$Q:$Q,"Paid"))</f>
        <v/>
      </c>
      <c r="H1052" s="59" t="str">
        <f>IF($A1052="","",
   SUMIFS(Transactions!$P:$P,
          Transactions!$G:$G,$A1052,
          Transactions!$C:$C,"OUT"))</f>
        <v/>
      </c>
      <c r="I1052" s="65" t="str">
        <f t="shared" si="82"/>
        <v/>
      </c>
      <c r="J1052" s="59" t="str">
        <f t="shared" si="85"/>
        <v/>
      </c>
    </row>
    <row r="1053" spans="4:10" ht="22.5" customHeight="1" x14ac:dyDescent="0.25">
      <c r="D1053" s="59" t="str">
        <f t="shared" si="81"/>
        <v/>
      </c>
      <c r="E1053" s="59" t="str">
        <f t="shared" si="83"/>
        <v/>
      </c>
      <c r="F1053" s="59" t="str">
        <f t="shared" si="84"/>
        <v/>
      </c>
      <c r="G1053" s="59" t="str">
        <f>IF($A1053="","",
   SUMIFS(Transactions!$P:$P,
          Transactions!$G:$G,$A1053,
          Transactions!$C:$C,"IN",
          Transactions!$Q:$Q,"Paid"))</f>
        <v/>
      </c>
      <c r="H1053" s="59" t="str">
        <f>IF($A1053="","",
   SUMIFS(Transactions!$P:$P,
          Transactions!$G:$G,$A1053,
          Transactions!$C:$C,"OUT"))</f>
        <v/>
      </c>
      <c r="I1053" s="65" t="str">
        <f t="shared" si="82"/>
        <v/>
      </c>
      <c r="J1053" s="59" t="str">
        <f t="shared" si="85"/>
        <v/>
      </c>
    </row>
    <row r="1054" spans="4:10" ht="22.5" customHeight="1" x14ac:dyDescent="0.25">
      <c r="D1054" s="59" t="str">
        <f t="shared" si="81"/>
        <v/>
      </c>
      <c r="E1054" s="59" t="str">
        <f t="shared" si="83"/>
        <v/>
      </c>
      <c r="F1054" s="59" t="str">
        <f t="shared" si="84"/>
        <v/>
      </c>
      <c r="G1054" s="59" t="str">
        <f>IF($A1054="","",
   SUMIFS(Transactions!$P:$P,
          Transactions!$G:$G,$A1054,
          Transactions!$C:$C,"IN",
          Transactions!$Q:$Q,"Paid"))</f>
        <v/>
      </c>
      <c r="H1054" s="59" t="str">
        <f>IF($A1054="","",
   SUMIFS(Transactions!$P:$P,
          Transactions!$G:$G,$A1054,
          Transactions!$C:$C,"OUT"))</f>
        <v/>
      </c>
      <c r="I1054" s="65" t="str">
        <f t="shared" si="82"/>
        <v/>
      </c>
      <c r="J1054" s="59" t="str">
        <f t="shared" si="85"/>
        <v/>
      </c>
    </row>
    <row r="1055" spans="4:10" ht="22.5" customHeight="1" x14ac:dyDescent="0.25">
      <c r="D1055" s="59" t="str">
        <f t="shared" si="81"/>
        <v/>
      </c>
      <c r="E1055" s="59" t="str">
        <f t="shared" si="83"/>
        <v/>
      </c>
      <c r="F1055" s="59" t="str">
        <f t="shared" si="84"/>
        <v/>
      </c>
      <c r="G1055" s="59" t="str">
        <f>IF($A1055="","",
   SUMIFS(Transactions!$P:$P,
          Transactions!$G:$G,$A1055,
          Transactions!$C:$C,"IN",
          Transactions!$Q:$Q,"Paid"))</f>
        <v/>
      </c>
      <c r="H1055" s="59" t="str">
        <f>IF($A1055="","",
   SUMIFS(Transactions!$P:$P,
          Transactions!$G:$G,$A1055,
          Transactions!$C:$C,"OUT"))</f>
        <v/>
      </c>
      <c r="I1055" s="65" t="str">
        <f t="shared" si="82"/>
        <v/>
      </c>
      <c r="J1055" s="59" t="str">
        <f t="shared" si="85"/>
        <v/>
      </c>
    </row>
    <row r="1056" spans="4:10" ht="22.5" customHeight="1" x14ac:dyDescent="0.25">
      <c r="D1056" s="59" t="str">
        <f t="shared" si="81"/>
        <v/>
      </c>
      <c r="E1056" s="59" t="str">
        <f t="shared" si="83"/>
        <v/>
      </c>
      <c r="F1056" s="59" t="str">
        <f t="shared" si="84"/>
        <v/>
      </c>
      <c r="G1056" s="59" t="str">
        <f>IF($A1056="","",
   SUMIFS(Transactions!$P:$P,
          Transactions!$G:$G,$A1056,
          Transactions!$C:$C,"IN",
          Transactions!$Q:$Q,"Paid"))</f>
        <v/>
      </c>
      <c r="H1056" s="59" t="str">
        <f>IF($A1056="","",
   SUMIFS(Transactions!$P:$P,
          Transactions!$G:$G,$A1056,
          Transactions!$C:$C,"OUT"))</f>
        <v/>
      </c>
      <c r="I1056" s="65" t="str">
        <f t="shared" si="82"/>
        <v/>
      </c>
      <c r="J1056" s="59" t="str">
        <f t="shared" si="85"/>
        <v/>
      </c>
    </row>
    <row r="1057" spans="4:10" ht="22.5" customHeight="1" x14ac:dyDescent="0.25">
      <c r="D1057" s="59" t="str">
        <f t="shared" si="81"/>
        <v/>
      </c>
      <c r="E1057" s="59" t="str">
        <f t="shared" si="83"/>
        <v/>
      </c>
      <c r="F1057" s="59" t="str">
        <f t="shared" si="84"/>
        <v/>
      </c>
      <c r="G1057" s="59" t="str">
        <f>IF($A1057="","",
   SUMIFS(Transactions!$P:$P,
          Transactions!$G:$G,$A1057,
          Transactions!$C:$C,"IN",
          Transactions!$Q:$Q,"Paid"))</f>
        <v/>
      </c>
      <c r="H1057" s="59" t="str">
        <f>IF($A1057="","",
   SUMIFS(Transactions!$P:$P,
          Transactions!$G:$G,$A1057,
          Transactions!$C:$C,"OUT"))</f>
        <v/>
      </c>
      <c r="I1057" s="65" t="str">
        <f t="shared" si="82"/>
        <v/>
      </c>
      <c r="J1057" s="59" t="str">
        <f t="shared" si="85"/>
        <v/>
      </c>
    </row>
    <row r="1058" spans="4:10" ht="22.5" customHeight="1" x14ac:dyDescent="0.25">
      <c r="D1058" s="59" t="str">
        <f t="shared" si="81"/>
        <v/>
      </c>
      <c r="E1058" s="59" t="str">
        <f t="shared" si="83"/>
        <v/>
      </c>
      <c r="F1058" s="59" t="str">
        <f t="shared" si="84"/>
        <v/>
      </c>
      <c r="G1058" s="59" t="str">
        <f>IF($A1058="","",
   SUMIFS(Transactions!$P:$P,
          Transactions!$G:$G,$A1058,
          Transactions!$C:$C,"IN",
          Transactions!$Q:$Q,"Paid"))</f>
        <v/>
      </c>
      <c r="H1058" s="59" t="str">
        <f>IF($A1058="","",
   SUMIFS(Transactions!$P:$P,
          Transactions!$G:$G,$A1058,
          Transactions!$C:$C,"OUT"))</f>
        <v/>
      </c>
      <c r="I1058" s="65" t="str">
        <f t="shared" si="82"/>
        <v/>
      </c>
      <c r="J1058" s="59" t="str">
        <f t="shared" si="85"/>
        <v/>
      </c>
    </row>
    <row r="1059" spans="4:10" ht="22.5" customHeight="1" x14ac:dyDescent="0.25">
      <c r="D1059" s="59" t="str">
        <f t="shared" si="81"/>
        <v/>
      </c>
      <c r="E1059" s="59" t="str">
        <f t="shared" si="83"/>
        <v/>
      </c>
      <c r="F1059" s="59" t="str">
        <f t="shared" si="84"/>
        <v/>
      </c>
      <c r="G1059" s="59" t="str">
        <f>IF($A1059="","",
   SUMIFS(Transactions!$P:$P,
          Transactions!$G:$G,$A1059,
          Transactions!$C:$C,"IN",
          Transactions!$Q:$Q,"Paid"))</f>
        <v/>
      </c>
      <c r="H1059" s="59" t="str">
        <f>IF($A1059="","",
   SUMIFS(Transactions!$P:$P,
          Transactions!$G:$G,$A1059,
          Transactions!$C:$C,"OUT"))</f>
        <v/>
      </c>
      <c r="I1059" s="65" t="str">
        <f t="shared" si="82"/>
        <v/>
      </c>
      <c r="J1059" s="59" t="str">
        <f t="shared" si="85"/>
        <v/>
      </c>
    </row>
    <row r="1060" spans="4:10" ht="22.5" customHeight="1" x14ac:dyDescent="0.25">
      <c r="D1060" s="59" t="str">
        <f t="shared" si="81"/>
        <v/>
      </c>
      <c r="E1060" s="59" t="str">
        <f t="shared" si="83"/>
        <v/>
      </c>
      <c r="F1060" s="59" t="str">
        <f t="shared" si="84"/>
        <v/>
      </c>
      <c r="G1060" s="59" t="str">
        <f>IF($A1060="","",
   SUMIFS(Transactions!$P:$P,
          Transactions!$G:$G,$A1060,
          Transactions!$C:$C,"IN",
          Transactions!$Q:$Q,"Paid"))</f>
        <v/>
      </c>
      <c r="H1060" s="59" t="str">
        <f>IF($A1060="","",
   SUMIFS(Transactions!$P:$P,
          Transactions!$G:$G,$A1060,
          Transactions!$C:$C,"OUT"))</f>
        <v/>
      </c>
      <c r="I1060" s="65" t="str">
        <f t="shared" si="82"/>
        <v/>
      </c>
      <c r="J1060" s="59" t="str">
        <f t="shared" si="85"/>
        <v/>
      </c>
    </row>
    <row r="1061" spans="4:10" ht="22.5" customHeight="1" x14ac:dyDescent="0.25">
      <c r="D1061" s="59" t="str">
        <f t="shared" si="81"/>
        <v/>
      </c>
      <c r="E1061" s="59" t="str">
        <f t="shared" si="83"/>
        <v/>
      </c>
      <c r="F1061" s="59" t="str">
        <f t="shared" si="84"/>
        <v/>
      </c>
      <c r="G1061" s="59" t="str">
        <f>IF($A1061="","",
   SUMIFS(Transactions!$P:$P,
          Transactions!$G:$G,$A1061,
          Transactions!$C:$C,"IN",
          Transactions!$Q:$Q,"Paid"))</f>
        <v/>
      </c>
      <c r="H1061" s="59" t="str">
        <f>IF($A1061="","",
   SUMIFS(Transactions!$P:$P,
          Transactions!$G:$G,$A1061,
          Transactions!$C:$C,"OUT"))</f>
        <v/>
      </c>
      <c r="I1061" s="65" t="str">
        <f t="shared" si="82"/>
        <v/>
      </c>
      <c r="J1061" s="59" t="str">
        <f t="shared" si="85"/>
        <v/>
      </c>
    </row>
    <row r="1062" spans="4:10" ht="22.5" customHeight="1" x14ac:dyDescent="0.25">
      <c r="D1062" s="59" t="str">
        <f t="shared" si="81"/>
        <v/>
      </c>
      <c r="E1062" s="59" t="str">
        <f t="shared" si="83"/>
        <v/>
      </c>
      <c r="F1062" s="59" t="str">
        <f t="shared" si="84"/>
        <v/>
      </c>
      <c r="G1062" s="59" t="str">
        <f>IF($A1062="","",
   SUMIFS(Transactions!$P:$P,
          Transactions!$G:$G,$A1062,
          Transactions!$C:$C,"IN",
          Transactions!$Q:$Q,"Paid"))</f>
        <v/>
      </c>
      <c r="H1062" s="59" t="str">
        <f>IF($A1062="","",
   SUMIFS(Transactions!$P:$P,
          Transactions!$G:$G,$A1062,
          Transactions!$C:$C,"OUT"))</f>
        <v/>
      </c>
      <c r="I1062" s="65" t="str">
        <f t="shared" si="82"/>
        <v/>
      </c>
      <c r="J1062" s="59" t="str">
        <f t="shared" si="85"/>
        <v/>
      </c>
    </row>
    <row r="1063" spans="4:10" ht="22.5" customHeight="1" x14ac:dyDescent="0.25">
      <c r="D1063" s="59" t="str">
        <f t="shared" si="81"/>
        <v/>
      </c>
      <c r="E1063" s="59" t="str">
        <f t="shared" si="83"/>
        <v/>
      </c>
      <c r="F1063" s="59" t="str">
        <f t="shared" si="84"/>
        <v/>
      </c>
      <c r="G1063" s="59" t="str">
        <f>IF($A1063="","",
   SUMIFS(Transactions!$P:$P,
          Transactions!$G:$G,$A1063,
          Transactions!$C:$C,"IN",
          Transactions!$Q:$Q,"Paid"))</f>
        <v/>
      </c>
      <c r="H1063" s="59" t="str">
        <f>IF($A1063="","",
   SUMIFS(Transactions!$P:$P,
          Transactions!$G:$G,$A1063,
          Transactions!$C:$C,"OUT"))</f>
        <v/>
      </c>
      <c r="I1063" s="65" t="str">
        <f t="shared" si="82"/>
        <v/>
      </c>
      <c r="J1063" s="59" t="str">
        <f t="shared" si="85"/>
        <v/>
      </c>
    </row>
    <row r="1064" spans="4:10" ht="22.5" customHeight="1" x14ac:dyDescent="0.25">
      <c r="D1064" s="59" t="str">
        <f t="shared" si="81"/>
        <v/>
      </c>
      <c r="E1064" s="59" t="str">
        <f t="shared" si="83"/>
        <v/>
      </c>
      <c r="F1064" s="59" t="str">
        <f t="shared" si="84"/>
        <v/>
      </c>
      <c r="G1064" s="59" t="str">
        <f>IF($A1064="","",
   SUMIFS(Transactions!$P:$P,
          Transactions!$G:$G,$A1064,
          Transactions!$C:$C,"IN",
          Transactions!$Q:$Q,"Paid"))</f>
        <v/>
      </c>
      <c r="H1064" s="59" t="str">
        <f>IF($A1064="","",
   SUMIFS(Transactions!$P:$P,
          Transactions!$G:$G,$A1064,
          Transactions!$C:$C,"OUT"))</f>
        <v/>
      </c>
      <c r="I1064" s="65" t="str">
        <f t="shared" si="82"/>
        <v/>
      </c>
      <c r="J1064" s="59" t="str">
        <f t="shared" si="85"/>
        <v/>
      </c>
    </row>
    <row r="1065" spans="4:10" ht="22.5" customHeight="1" x14ac:dyDescent="0.25">
      <c r="D1065" s="59" t="str">
        <f t="shared" si="81"/>
        <v/>
      </c>
      <c r="E1065" s="59" t="str">
        <f t="shared" si="83"/>
        <v/>
      </c>
      <c r="F1065" s="59" t="str">
        <f t="shared" si="84"/>
        <v/>
      </c>
      <c r="G1065" s="59" t="str">
        <f>IF($A1065="","",
   SUMIFS(Transactions!$P:$P,
          Transactions!$G:$G,$A1065,
          Transactions!$C:$C,"IN",
          Transactions!$Q:$Q,"Paid"))</f>
        <v/>
      </c>
      <c r="H1065" s="59" t="str">
        <f>IF($A1065="","",
   SUMIFS(Transactions!$P:$P,
          Transactions!$G:$G,$A1065,
          Transactions!$C:$C,"OUT"))</f>
        <v/>
      </c>
      <c r="I1065" s="65" t="str">
        <f t="shared" si="82"/>
        <v/>
      </c>
      <c r="J1065" s="59" t="str">
        <f t="shared" si="85"/>
        <v/>
      </c>
    </row>
    <row r="1066" spans="4:10" ht="22.5" customHeight="1" x14ac:dyDescent="0.25">
      <c r="D1066" s="59" t="str">
        <f t="shared" si="81"/>
        <v/>
      </c>
      <c r="E1066" s="59" t="str">
        <f t="shared" si="83"/>
        <v/>
      </c>
      <c r="F1066" s="59" t="str">
        <f t="shared" si="84"/>
        <v/>
      </c>
      <c r="G1066" s="59" t="str">
        <f>IF($A1066="","",
   SUMIFS(Transactions!$P:$P,
          Transactions!$G:$G,$A1066,
          Transactions!$C:$C,"IN",
          Transactions!$Q:$Q,"Paid"))</f>
        <v/>
      </c>
      <c r="H1066" s="59" t="str">
        <f>IF($A1066="","",
   SUMIFS(Transactions!$P:$P,
          Transactions!$G:$G,$A1066,
          Transactions!$C:$C,"OUT"))</f>
        <v/>
      </c>
      <c r="I1066" s="65" t="str">
        <f t="shared" si="82"/>
        <v/>
      </c>
      <c r="J1066" s="59" t="str">
        <f t="shared" si="85"/>
        <v/>
      </c>
    </row>
    <row r="1067" spans="4:10" ht="22.5" customHeight="1" x14ac:dyDescent="0.25">
      <c r="D1067" s="59" t="str">
        <f t="shared" si="81"/>
        <v/>
      </c>
      <c r="E1067" s="59" t="str">
        <f t="shared" si="83"/>
        <v/>
      </c>
      <c r="F1067" s="59" t="str">
        <f t="shared" si="84"/>
        <v/>
      </c>
      <c r="G1067" s="59" t="str">
        <f>IF($A1067="","",
   SUMIFS(Transactions!$P:$P,
          Transactions!$G:$G,$A1067,
          Transactions!$C:$C,"IN",
          Transactions!$Q:$Q,"Paid"))</f>
        <v/>
      </c>
      <c r="H1067" s="59" t="str">
        <f>IF($A1067="","",
   SUMIFS(Transactions!$P:$P,
          Transactions!$G:$G,$A1067,
          Transactions!$C:$C,"OUT"))</f>
        <v/>
      </c>
      <c r="I1067" s="65" t="str">
        <f t="shared" si="82"/>
        <v/>
      </c>
      <c r="J1067" s="59" t="str">
        <f t="shared" si="85"/>
        <v/>
      </c>
    </row>
    <row r="1068" spans="4:10" ht="22.5" customHeight="1" x14ac:dyDescent="0.25">
      <c r="D1068" s="59" t="str">
        <f t="shared" si="81"/>
        <v/>
      </c>
      <c r="E1068" s="59" t="str">
        <f t="shared" si="83"/>
        <v/>
      </c>
      <c r="F1068" s="59" t="str">
        <f t="shared" si="84"/>
        <v/>
      </c>
      <c r="G1068" s="59" t="str">
        <f>IF($A1068="","",
   SUMIFS(Transactions!$P:$P,
          Transactions!$G:$G,$A1068,
          Transactions!$C:$C,"IN",
          Transactions!$Q:$Q,"Paid"))</f>
        <v/>
      </c>
      <c r="H1068" s="59" t="str">
        <f>IF($A1068="","",
   SUMIFS(Transactions!$P:$P,
          Transactions!$G:$G,$A1068,
          Transactions!$C:$C,"OUT"))</f>
        <v/>
      </c>
      <c r="I1068" s="65" t="str">
        <f t="shared" si="82"/>
        <v/>
      </c>
      <c r="J1068" s="59" t="str">
        <f t="shared" si="85"/>
        <v/>
      </c>
    </row>
    <row r="1069" spans="4:10" ht="22.5" customHeight="1" x14ac:dyDescent="0.25">
      <c r="D1069" s="59" t="str">
        <f t="shared" si="81"/>
        <v/>
      </c>
      <c r="E1069" s="59" t="str">
        <f t="shared" si="83"/>
        <v/>
      </c>
      <c r="F1069" s="59" t="str">
        <f t="shared" si="84"/>
        <v/>
      </c>
      <c r="G1069" s="59" t="str">
        <f>IF($A1069="","",
   SUMIFS(Transactions!$P:$P,
          Transactions!$G:$G,$A1069,
          Transactions!$C:$C,"IN",
          Transactions!$Q:$Q,"Paid"))</f>
        <v/>
      </c>
      <c r="H1069" s="59" t="str">
        <f>IF($A1069="","",
   SUMIFS(Transactions!$P:$P,
          Transactions!$G:$G,$A1069,
          Transactions!$C:$C,"OUT"))</f>
        <v/>
      </c>
      <c r="I1069" s="65" t="str">
        <f t="shared" si="82"/>
        <v/>
      </c>
      <c r="J1069" s="59" t="str">
        <f t="shared" si="85"/>
        <v/>
      </c>
    </row>
    <row r="1070" spans="4:10" ht="22.5" customHeight="1" x14ac:dyDescent="0.25">
      <c r="D1070" s="59" t="str">
        <f t="shared" si="81"/>
        <v/>
      </c>
      <c r="E1070" s="59" t="str">
        <f t="shared" si="83"/>
        <v/>
      </c>
      <c r="F1070" s="59" t="str">
        <f t="shared" si="84"/>
        <v/>
      </c>
      <c r="G1070" s="59" t="str">
        <f>IF($A1070="","",
   SUMIFS(Transactions!$P:$P,
          Transactions!$G:$G,$A1070,
          Transactions!$C:$C,"IN",
          Transactions!$Q:$Q,"Paid"))</f>
        <v/>
      </c>
      <c r="H1070" s="59" t="str">
        <f>IF($A1070="","",
   SUMIFS(Transactions!$P:$P,
          Transactions!$G:$G,$A1070,
          Transactions!$C:$C,"OUT"))</f>
        <v/>
      </c>
      <c r="I1070" s="65" t="str">
        <f t="shared" si="82"/>
        <v/>
      </c>
      <c r="J1070" s="59" t="str">
        <f t="shared" si="85"/>
        <v/>
      </c>
    </row>
    <row r="1071" spans="4:10" ht="22.5" customHeight="1" x14ac:dyDescent="0.25">
      <c r="D1071" s="59" t="str">
        <f t="shared" si="81"/>
        <v/>
      </c>
      <c r="E1071" s="59" t="str">
        <f t="shared" si="83"/>
        <v/>
      </c>
      <c r="F1071" s="59" t="str">
        <f t="shared" si="84"/>
        <v/>
      </c>
      <c r="G1071" s="59" t="str">
        <f>IF($A1071="","",
   SUMIFS(Transactions!$P:$P,
          Transactions!$G:$G,$A1071,
          Transactions!$C:$C,"IN",
          Transactions!$Q:$Q,"Paid"))</f>
        <v/>
      </c>
      <c r="H1071" s="59" t="str">
        <f>IF($A1071="","",
   SUMIFS(Transactions!$P:$P,
          Transactions!$G:$G,$A1071,
          Transactions!$C:$C,"OUT"))</f>
        <v/>
      </c>
      <c r="I1071" s="65" t="str">
        <f t="shared" si="82"/>
        <v/>
      </c>
      <c r="J1071" s="59" t="str">
        <f t="shared" si="85"/>
        <v/>
      </c>
    </row>
    <row r="1072" spans="4:10" ht="22.5" customHeight="1" x14ac:dyDescent="0.25">
      <c r="D1072" s="59" t="str">
        <f t="shared" si="81"/>
        <v/>
      </c>
      <c r="E1072" s="59" t="str">
        <f t="shared" si="83"/>
        <v/>
      </c>
      <c r="F1072" s="59" t="str">
        <f t="shared" si="84"/>
        <v/>
      </c>
      <c r="G1072" s="59" t="str">
        <f>IF($A1072="","",
   SUMIFS(Transactions!$P:$P,
          Transactions!$G:$G,$A1072,
          Transactions!$C:$C,"IN",
          Transactions!$Q:$Q,"Paid"))</f>
        <v/>
      </c>
      <c r="H1072" s="59" t="str">
        <f>IF($A1072="","",
   SUMIFS(Transactions!$P:$P,
          Transactions!$G:$G,$A1072,
          Transactions!$C:$C,"OUT"))</f>
        <v/>
      </c>
      <c r="I1072" s="65" t="str">
        <f t="shared" si="82"/>
        <v/>
      </c>
      <c r="J1072" s="59" t="str">
        <f t="shared" si="85"/>
        <v/>
      </c>
    </row>
    <row r="1073" spans="4:10" ht="22.5" customHeight="1" x14ac:dyDescent="0.25">
      <c r="D1073" s="59" t="str">
        <f t="shared" si="81"/>
        <v/>
      </c>
      <c r="E1073" s="59" t="str">
        <f t="shared" si="83"/>
        <v/>
      </c>
      <c r="F1073" s="59" t="str">
        <f t="shared" si="84"/>
        <v/>
      </c>
      <c r="G1073" s="59" t="str">
        <f>IF($A1073="","",
   SUMIFS(Transactions!$P:$P,
          Transactions!$G:$G,$A1073,
          Transactions!$C:$C,"IN",
          Transactions!$Q:$Q,"Paid"))</f>
        <v/>
      </c>
      <c r="H1073" s="59" t="str">
        <f>IF($A1073="","",
   SUMIFS(Transactions!$P:$P,
          Transactions!$G:$G,$A1073,
          Transactions!$C:$C,"OUT"))</f>
        <v/>
      </c>
      <c r="I1073" s="65" t="str">
        <f t="shared" si="82"/>
        <v/>
      </c>
      <c r="J1073" s="59" t="str">
        <f t="shared" si="85"/>
        <v/>
      </c>
    </row>
    <row r="1074" spans="4:10" ht="22.5" customHeight="1" x14ac:dyDescent="0.25">
      <c r="D1074" s="59" t="str">
        <f t="shared" si="81"/>
        <v/>
      </c>
      <c r="E1074" s="59" t="str">
        <f t="shared" si="83"/>
        <v/>
      </c>
      <c r="F1074" s="59" t="str">
        <f t="shared" si="84"/>
        <v/>
      </c>
      <c r="G1074" s="59" t="str">
        <f>IF($A1074="","",
   SUMIFS(Transactions!$P:$P,
          Transactions!$G:$G,$A1074,
          Transactions!$C:$C,"IN",
          Transactions!$Q:$Q,"Paid"))</f>
        <v/>
      </c>
      <c r="H1074" s="59" t="str">
        <f>IF($A1074="","",
   SUMIFS(Transactions!$P:$P,
          Transactions!$G:$G,$A1074,
          Transactions!$C:$C,"OUT"))</f>
        <v/>
      </c>
      <c r="I1074" s="65" t="str">
        <f t="shared" si="82"/>
        <v/>
      </c>
      <c r="J1074" s="59" t="str">
        <f t="shared" si="85"/>
        <v/>
      </c>
    </row>
    <row r="1075" spans="4:10" ht="22.5" customHeight="1" x14ac:dyDescent="0.25">
      <c r="D1075" s="59" t="str">
        <f t="shared" si="81"/>
        <v/>
      </c>
      <c r="E1075" s="59" t="str">
        <f t="shared" si="83"/>
        <v/>
      </c>
      <c r="F1075" s="59" t="str">
        <f t="shared" si="84"/>
        <v/>
      </c>
      <c r="G1075" s="59" t="str">
        <f>IF($A1075="","",
   SUMIFS(Transactions!$P:$P,
          Transactions!$G:$G,$A1075,
          Transactions!$C:$C,"IN",
          Transactions!$Q:$Q,"Paid"))</f>
        <v/>
      </c>
      <c r="H1075" s="59" t="str">
        <f>IF($A1075="","",
   SUMIFS(Transactions!$P:$P,
          Transactions!$G:$G,$A1075,
          Transactions!$C:$C,"OUT"))</f>
        <v/>
      </c>
      <c r="I1075" s="65" t="str">
        <f t="shared" si="82"/>
        <v/>
      </c>
      <c r="J1075" s="59" t="str">
        <f t="shared" si="85"/>
        <v/>
      </c>
    </row>
    <row r="1076" spans="4:10" ht="22.5" customHeight="1" x14ac:dyDescent="0.25">
      <c r="D1076" s="59" t="str">
        <f t="shared" si="81"/>
        <v/>
      </c>
      <c r="E1076" s="59" t="str">
        <f t="shared" si="83"/>
        <v/>
      </c>
      <c r="F1076" s="59" t="str">
        <f t="shared" si="84"/>
        <v/>
      </c>
      <c r="G1076" s="59" t="str">
        <f>IF($A1076="","",
   SUMIFS(Transactions!$P:$P,
          Transactions!$G:$G,$A1076,
          Transactions!$C:$C,"IN",
          Transactions!$Q:$Q,"Paid"))</f>
        <v/>
      </c>
      <c r="H1076" s="59" t="str">
        <f>IF($A1076="","",
   SUMIFS(Transactions!$P:$P,
          Transactions!$G:$G,$A1076,
          Transactions!$C:$C,"OUT"))</f>
        <v/>
      </c>
      <c r="I1076" s="65" t="str">
        <f t="shared" si="82"/>
        <v/>
      </c>
      <c r="J1076" s="59" t="str">
        <f t="shared" si="85"/>
        <v/>
      </c>
    </row>
    <row r="1077" spans="4:10" ht="22.5" customHeight="1" x14ac:dyDescent="0.25">
      <c r="D1077" s="59" t="str">
        <f t="shared" si="81"/>
        <v/>
      </c>
      <c r="E1077" s="59" t="str">
        <f t="shared" si="83"/>
        <v/>
      </c>
      <c r="F1077" s="59" t="str">
        <f t="shared" si="84"/>
        <v/>
      </c>
      <c r="G1077" s="59" t="str">
        <f>IF($A1077="","",
   SUMIFS(Transactions!$P:$P,
          Transactions!$G:$G,$A1077,
          Transactions!$C:$C,"IN",
          Transactions!$Q:$Q,"Paid"))</f>
        <v/>
      </c>
      <c r="H1077" s="59" t="str">
        <f>IF($A1077="","",
   SUMIFS(Transactions!$P:$P,
          Transactions!$G:$G,$A1077,
          Transactions!$C:$C,"OUT"))</f>
        <v/>
      </c>
      <c r="I1077" s="65" t="str">
        <f t="shared" si="82"/>
        <v/>
      </c>
      <c r="J1077" s="59" t="str">
        <f t="shared" si="85"/>
        <v/>
      </c>
    </row>
    <row r="1078" spans="4:10" ht="22.5" customHeight="1" x14ac:dyDescent="0.25">
      <c r="D1078" s="59" t="str">
        <f t="shared" si="81"/>
        <v/>
      </c>
      <c r="E1078" s="59" t="str">
        <f t="shared" si="83"/>
        <v/>
      </c>
      <c r="F1078" s="59" t="str">
        <f t="shared" si="84"/>
        <v/>
      </c>
      <c r="G1078" s="59" t="str">
        <f>IF($A1078="","",
   SUMIFS(Transactions!$P:$P,
          Transactions!$G:$G,$A1078,
          Transactions!$C:$C,"IN",
          Transactions!$Q:$Q,"Paid"))</f>
        <v/>
      </c>
      <c r="H1078" s="59" t="str">
        <f>IF($A1078="","",
   SUMIFS(Transactions!$P:$P,
          Transactions!$G:$G,$A1078,
          Transactions!$C:$C,"OUT"))</f>
        <v/>
      </c>
      <c r="I1078" s="65" t="str">
        <f t="shared" si="82"/>
        <v/>
      </c>
      <c r="J1078" s="59" t="str">
        <f t="shared" si="85"/>
        <v/>
      </c>
    </row>
    <row r="1079" spans="4:10" ht="22.5" customHeight="1" x14ac:dyDescent="0.25">
      <c r="D1079" s="59" t="str">
        <f t="shared" si="81"/>
        <v/>
      </c>
      <c r="E1079" s="59" t="str">
        <f t="shared" si="83"/>
        <v/>
      </c>
      <c r="F1079" s="59" t="str">
        <f t="shared" si="84"/>
        <v/>
      </c>
      <c r="G1079" s="59" t="str">
        <f>IF($A1079="","",
   SUMIFS(Transactions!$P:$P,
          Transactions!$G:$G,$A1079,
          Transactions!$C:$C,"IN",
          Transactions!$Q:$Q,"Paid"))</f>
        <v/>
      </c>
      <c r="H1079" s="59" t="str">
        <f>IF($A1079="","",
   SUMIFS(Transactions!$P:$P,
          Transactions!$G:$G,$A1079,
          Transactions!$C:$C,"OUT"))</f>
        <v/>
      </c>
      <c r="I1079" s="65" t="str">
        <f t="shared" si="82"/>
        <v/>
      </c>
      <c r="J1079" s="59" t="str">
        <f t="shared" si="85"/>
        <v/>
      </c>
    </row>
    <row r="1080" spans="4:10" ht="22.5" customHeight="1" x14ac:dyDescent="0.25">
      <c r="D1080" s="59" t="str">
        <f t="shared" si="81"/>
        <v/>
      </c>
      <c r="E1080" s="59" t="str">
        <f t="shared" si="83"/>
        <v/>
      </c>
      <c r="F1080" s="59" t="str">
        <f t="shared" si="84"/>
        <v/>
      </c>
      <c r="G1080" s="59" t="str">
        <f>IF($A1080="","",
   SUMIFS(Transactions!$P:$P,
          Transactions!$G:$G,$A1080,
          Transactions!$C:$C,"IN",
          Transactions!$Q:$Q,"Paid"))</f>
        <v/>
      </c>
      <c r="H1080" s="59" t="str">
        <f>IF($A1080="","",
   SUMIFS(Transactions!$P:$P,
          Transactions!$G:$G,$A1080,
          Transactions!$C:$C,"OUT"))</f>
        <v/>
      </c>
      <c r="I1080" s="65" t="str">
        <f t="shared" si="82"/>
        <v/>
      </c>
      <c r="J1080" s="59" t="str">
        <f t="shared" si="85"/>
        <v/>
      </c>
    </row>
    <row r="1081" spans="4:10" ht="22.5" customHeight="1" x14ac:dyDescent="0.25">
      <c r="D1081" s="59" t="str">
        <f t="shared" si="81"/>
        <v/>
      </c>
      <c r="E1081" s="59" t="str">
        <f t="shared" si="83"/>
        <v/>
      </c>
      <c r="F1081" s="59" t="str">
        <f t="shared" si="84"/>
        <v/>
      </c>
      <c r="G1081" s="59" t="str">
        <f>IF($A1081="","",
   SUMIFS(Transactions!$P:$P,
          Transactions!$G:$G,$A1081,
          Transactions!$C:$C,"IN",
          Transactions!$Q:$Q,"Paid"))</f>
        <v/>
      </c>
      <c r="H1081" s="59" t="str">
        <f>IF($A1081="","",
   SUMIFS(Transactions!$P:$P,
          Transactions!$G:$G,$A1081,
          Transactions!$C:$C,"OUT"))</f>
        <v/>
      </c>
      <c r="I1081" s="65" t="str">
        <f t="shared" si="82"/>
        <v/>
      </c>
      <c r="J1081" s="59" t="str">
        <f t="shared" si="85"/>
        <v/>
      </c>
    </row>
    <row r="1082" spans="4:10" ht="22.5" customHeight="1" x14ac:dyDescent="0.25">
      <c r="D1082" s="59" t="str">
        <f t="shared" si="81"/>
        <v/>
      </c>
      <c r="E1082" s="59" t="str">
        <f t="shared" si="83"/>
        <v/>
      </c>
      <c r="F1082" s="59" t="str">
        <f t="shared" si="84"/>
        <v/>
      </c>
      <c r="G1082" s="59" t="str">
        <f>IF($A1082="","",
   SUMIFS(Transactions!$P:$P,
          Transactions!$G:$G,$A1082,
          Transactions!$C:$C,"IN",
          Transactions!$Q:$Q,"Paid"))</f>
        <v/>
      </c>
      <c r="H1082" s="59" t="str">
        <f>IF($A1082="","",
   SUMIFS(Transactions!$P:$P,
          Transactions!$G:$G,$A1082,
          Transactions!$C:$C,"OUT"))</f>
        <v/>
      </c>
      <c r="I1082" s="65" t="str">
        <f t="shared" si="82"/>
        <v/>
      </c>
      <c r="J1082" s="59" t="str">
        <f t="shared" si="85"/>
        <v/>
      </c>
    </row>
    <row r="1083" spans="4:10" ht="22.5" customHeight="1" x14ac:dyDescent="0.25">
      <c r="D1083" s="59" t="str">
        <f t="shared" si="81"/>
        <v/>
      </c>
      <c r="E1083" s="59" t="str">
        <f t="shared" si="83"/>
        <v/>
      </c>
      <c r="F1083" s="59" t="str">
        <f t="shared" si="84"/>
        <v/>
      </c>
      <c r="G1083" s="59" t="str">
        <f>IF($A1083="","",
   SUMIFS(Transactions!$P:$P,
          Transactions!$G:$G,$A1083,
          Transactions!$C:$C,"IN",
          Transactions!$Q:$Q,"Paid"))</f>
        <v/>
      </c>
      <c r="H1083" s="59" t="str">
        <f>IF($A1083="","",
   SUMIFS(Transactions!$P:$P,
          Transactions!$G:$G,$A1083,
          Transactions!$C:$C,"OUT"))</f>
        <v/>
      </c>
      <c r="I1083" s="65" t="str">
        <f t="shared" si="82"/>
        <v/>
      </c>
      <c r="J1083" s="59" t="str">
        <f t="shared" si="85"/>
        <v/>
      </c>
    </row>
    <row r="1084" spans="4:10" ht="22.5" customHeight="1" x14ac:dyDescent="0.25">
      <c r="D1084" s="59" t="str">
        <f t="shared" si="81"/>
        <v/>
      </c>
      <c r="E1084" s="59" t="str">
        <f t="shared" si="83"/>
        <v/>
      </c>
      <c r="F1084" s="59" t="str">
        <f t="shared" si="84"/>
        <v/>
      </c>
      <c r="G1084" s="59" t="str">
        <f>IF($A1084="","",
   SUMIFS(Transactions!$P:$P,
          Transactions!$G:$G,$A1084,
          Transactions!$C:$C,"IN",
          Transactions!$Q:$Q,"Paid"))</f>
        <v/>
      </c>
      <c r="H1084" s="59" t="str">
        <f>IF($A1084="","",
   SUMIFS(Transactions!$P:$P,
          Transactions!$G:$G,$A1084,
          Transactions!$C:$C,"OUT"))</f>
        <v/>
      </c>
      <c r="I1084" s="65" t="str">
        <f t="shared" si="82"/>
        <v/>
      </c>
      <c r="J1084" s="59" t="str">
        <f t="shared" si="85"/>
        <v/>
      </c>
    </row>
    <row r="1085" spans="4:10" ht="22.5" customHeight="1" x14ac:dyDescent="0.25">
      <c r="D1085" s="59" t="str">
        <f t="shared" si="81"/>
        <v/>
      </c>
      <c r="E1085" s="59" t="str">
        <f t="shared" si="83"/>
        <v/>
      </c>
      <c r="F1085" s="59" t="str">
        <f t="shared" si="84"/>
        <v/>
      </c>
      <c r="G1085" s="59" t="str">
        <f>IF($A1085="","",
   SUMIFS(Transactions!$P:$P,
          Transactions!$G:$G,$A1085,
          Transactions!$C:$C,"IN",
          Transactions!$Q:$Q,"Paid"))</f>
        <v/>
      </c>
      <c r="H1085" s="59" t="str">
        <f>IF($A1085="","",
   SUMIFS(Transactions!$P:$P,
          Transactions!$G:$G,$A1085,
          Transactions!$C:$C,"OUT"))</f>
        <v/>
      </c>
      <c r="I1085" s="65" t="str">
        <f t="shared" si="82"/>
        <v/>
      </c>
      <c r="J1085" s="59" t="str">
        <f t="shared" si="85"/>
        <v/>
      </c>
    </row>
    <row r="1086" spans="4:10" ht="22.5" customHeight="1" x14ac:dyDescent="0.25">
      <c r="D1086" s="59" t="str">
        <f t="shared" si="81"/>
        <v/>
      </c>
      <c r="E1086" s="59" t="str">
        <f t="shared" si="83"/>
        <v/>
      </c>
      <c r="F1086" s="59" t="str">
        <f t="shared" si="84"/>
        <v/>
      </c>
      <c r="G1086" s="59" t="str">
        <f>IF($A1086="","",
   SUMIFS(Transactions!$P:$P,
          Transactions!$G:$G,$A1086,
          Transactions!$C:$C,"IN",
          Transactions!$Q:$Q,"Paid"))</f>
        <v/>
      </c>
      <c r="H1086" s="59" t="str">
        <f>IF($A1086="","",
   SUMIFS(Transactions!$P:$P,
          Transactions!$G:$G,$A1086,
          Transactions!$C:$C,"OUT"))</f>
        <v/>
      </c>
      <c r="I1086" s="65" t="str">
        <f t="shared" si="82"/>
        <v/>
      </c>
      <c r="J1086" s="59" t="str">
        <f t="shared" si="85"/>
        <v/>
      </c>
    </row>
    <row r="1087" spans="4:10" ht="22.5" customHeight="1" x14ac:dyDescent="0.25">
      <c r="D1087" s="59" t="str">
        <f t="shared" si="81"/>
        <v/>
      </c>
      <c r="E1087" s="59" t="str">
        <f t="shared" si="83"/>
        <v/>
      </c>
      <c r="F1087" s="59" t="str">
        <f t="shared" si="84"/>
        <v/>
      </c>
      <c r="G1087" s="59" t="str">
        <f>IF($A1087="","",
   SUMIFS(Transactions!$P:$P,
          Transactions!$G:$G,$A1087,
          Transactions!$C:$C,"IN",
          Transactions!$Q:$Q,"Paid"))</f>
        <v/>
      </c>
      <c r="H1087" s="59" t="str">
        <f>IF($A1087="","",
   SUMIFS(Transactions!$P:$P,
          Transactions!$G:$G,$A1087,
          Transactions!$C:$C,"OUT"))</f>
        <v/>
      </c>
      <c r="I1087" s="65" t="str">
        <f t="shared" si="82"/>
        <v/>
      </c>
      <c r="J1087" s="59" t="str">
        <f t="shared" si="85"/>
        <v/>
      </c>
    </row>
    <row r="1088" spans="4:10" ht="22.5" customHeight="1" x14ac:dyDescent="0.25">
      <c r="D1088" s="59" t="str">
        <f t="shared" si="81"/>
        <v/>
      </c>
      <c r="E1088" s="59" t="str">
        <f t="shared" si="83"/>
        <v/>
      </c>
      <c r="F1088" s="59" t="str">
        <f t="shared" si="84"/>
        <v/>
      </c>
      <c r="G1088" s="59" t="str">
        <f>IF($A1088="","",
   SUMIFS(Transactions!$P:$P,
          Transactions!$G:$G,$A1088,
          Transactions!$C:$C,"IN",
          Transactions!$Q:$Q,"Paid"))</f>
        <v/>
      </c>
      <c r="H1088" s="59" t="str">
        <f>IF($A1088="","",
   SUMIFS(Transactions!$P:$P,
          Transactions!$G:$G,$A1088,
          Transactions!$C:$C,"OUT"))</f>
        <v/>
      </c>
      <c r="I1088" s="65" t="str">
        <f t="shared" si="82"/>
        <v/>
      </c>
      <c r="J1088" s="59" t="str">
        <f t="shared" si="85"/>
        <v/>
      </c>
    </row>
    <row r="1089" spans="4:10" ht="22.5" customHeight="1" x14ac:dyDescent="0.25">
      <c r="D1089" s="59" t="str">
        <f t="shared" si="81"/>
        <v/>
      </c>
      <c r="E1089" s="59" t="str">
        <f t="shared" si="83"/>
        <v/>
      </c>
      <c r="F1089" s="59" t="str">
        <f t="shared" si="84"/>
        <v/>
      </c>
      <c r="G1089" s="59" t="str">
        <f>IF($A1089="","",
   SUMIFS(Transactions!$P:$P,
          Transactions!$G:$G,$A1089,
          Transactions!$C:$C,"IN",
          Transactions!$Q:$Q,"Paid"))</f>
        <v/>
      </c>
      <c r="H1089" s="59" t="str">
        <f>IF($A1089="","",
   SUMIFS(Transactions!$P:$P,
          Transactions!$G:$G,$A1089,
          Transactions!$C:$C,"OUT"))</f>
        <v/>
      </c>
      <c r="I1089" s="65" t="str">
        <f t="shared" si="82"/>
        <v/>
      </c>
      <c r="J1089" s="59" t="str">
        <f t="shared" si="85"/>
        <v/>
      </c>
    </row>
    <row r="1090" spans="4:10" ht="22.5" customHeight="1" x14ac:dyDescent="0.25">
      <c r="D1090" s="59" t="str">
        <f t="shared" si="81"/>
        <v/>
      </c>
      <c r="E1090" s="59" t="str">
        <f t="shared" si="83"/>
        <v/>
      </c>
      <c r="F1090" s="59" t="str">
        <f t="shared" si="84"/>
        <v/>
      </c>
      <c r="G1090" s="59" t="str">
        <f>IF($A1090="","",
   SUMIFS(Transactions!$P:$P,
          Transactions!$G:$G,$A1090,
          Transactions!$C:$C,"IN",
          Transactions!$Q:$Q,"Paid"))</f>
        <v/>
      </c>
      <c r="H1090" s="59" t="str">
        <f>IF($A1090="","",
   SUMIFS(Transactions!$P:$P,
          Transactions!$G:$G,$A1090,
          Transactions!$C:$C,"OUT"))</f>
        <v/>
      </c>
      <c r="I1090" s="65" t="str">
        <f t="shared" si="82"/>
        <v/>
      </c>
      <c r="J1090" s="59" t="str">
        <f t="shared" si="85"/>
        <v/>
      </c>
    </row>
    <row r="1091" spans="4:10" ht="22.5" customHeight="1" x14ac:dyDescent="0.25">
      <c r="D1091" s="59" t="str">
        <f t="shared" ref="D1091:D1154" si="86">IF(C1091="","",ROUND(C1091*0.15,2))</f>
        <v/>
      </c>
      <c r="E1091" s="59" t="str">
        <f t="shared" si="83"/>
        <v/>
      </c>
      <c r="F1091" s="59" t="str">
        <f t="shared" si="84"/>
        <v/>
      </c>
      <c r="G1091" s="59" t="str">
        <f>IF($A1091="","",
   SUMIFS(Transactions!$P:$P,
          Transactions!$G:$G,$A1091,
          Transactions!$C:$C,"IN",
          Transactions!$Q:$Q,"Paid"))</f>
        <v/>
      </c>
      <c r="H1091" s="59" t="str">
        <f>IF($A1091="","",
   SUMIFS(Transactions!$P:$P,
          Transactions!$G:$G,$A1091,
          Transactions!$C:$C,"OUT"))</f>
        <v/>
      </c>
      <c r="I1091" s="65" t="str">
        <f t="shared" ref="I1091:I1154" si="87">IF(C1091="","",C1091-H1091)</f>
        <v/>
      </c>
      <c r="J1091" s="59" t="str">
        <f t="shared" si="85"/>
        <v/>
      </c>
    </row>
    <row r="1092" spans="4:10" ht="22.5" customHeight="1" x14ac:dyDescent="0.25">
      <c r="D1092" s="59" t="str">
        <f t="shared" si="86"/>
        <v/>
      </c>
      <c r="E1092" s="59" t="str">
        <f t="shared" ref="E1092:E1155" si="88">IF(C1092="","",C1092+D1092)</f>
        <v/>
      </c>
      <c r="F1092" s="59" t="str">
        <f t="shared" ref="F1092:F1155" si="89">IF(E1092="","",E1092*0.5)</f>
        <v/>
      </c>
      <c r="G1092" s="59" t="str">
        <f>IF($A1092="","",
   SUMIFS(Transactions!$P:$P,
          Transactions!$G:$G,$A1092,
          Transactions!$C:$C,"IN",
          Transactions!$Q:$Q,"Paid"))</f>
        <v/>
      </c>
      <c r="H1092" s="59" t="str">
        <f>IF($A1092="","",
   SUMIFS(Transactions!$P:$P,
          Transactions!$G:$G,$A1092,
          Transactions!$C:$C,"OUT"))</f>
        <v/>
      </c>
      <c r="I1092" s="65" t="str">
        <f t="shared" si="87"/>
        <v/>
      </c>
      <c r="J1092" s="59" t="str">
        <f t="shared" ref="J1092:J1155" si="90">IF(E1092="","",E1092-G1092)</f>
        <v/>
      </c>
    </row>
    <row r="1093" spans="4:10" ht="22.5" customHeight="1" x14ac:dyDescent="0.25">
      <c r="D1093" s="59" t="str">
        <f t="shared" si="86"/>
        <v/>
      </c>
      <c r="E1093" s="59" t="str">
        <f t="shared" si="88"/>
        <v/>
      </c>
      <c r="F1093" s="59" t="str">
        <f t="shared" si="89"/>
        <v/>
      </c>
      <c r="G1093" s="59" t="str">
        <f>IF($A1093="","",
   SUMIFS(Transactions!$P:$P,
          Transactions!$G:$G,$A1093,
          Transactions!$C:$C,"IN",
          Transactions!$Q:$Q,"Paid"))</f>
        <v/>
      </c>
      <c r="H1093" s="59" t="str">
        <f>IF($A1093="","",
   SUMIFS(Transactions!$P:$P,
          Transactions!$G:$G,$A1093,
          Transactions!$C:$C,"OUT"))</f>
        <v/>
      </c>
      <c r="I1093" s="65" t="str">
        <f t="shared" si="87"/>
        <v/>
      </c>
      <c r="J1093" s="59" t="str">
        <f t="shared" si="90"/>
        <v/>
      </c>
    </row>
    <row r="1094" spans="4:10" ht="22.5" customHeight="1" x14ac:dyDescent="0.25">
      <c r="D1094" s="59" t="str">
        <f t="shared" si="86"/>
        <v/>
      </c>
      <c r="E1094" s="59" t="str">
        <f t="shared" si="88"/>
        <v/>
      </c>
      <c r="F1094" s="59" t="str">
        <f t="shared" si="89"/>
        <v/>
      </c>
      <c r="G1094" s="59" t="str">
        <f>IF($A1094="","",
   SUMIFS(Transactions!$P:$P,
          Transactions!$G:$G,$A1094,
          Transactions!$C:$C,"IN",
          Transactions!$Q:$Q,"Paid"))</f>
        <v/>
      </c>
      <c r="H1094" s="59" t="str">
        <f>IF($A1094="","",
   SUMIFS(Transactions!$P:$P,
          Transactions!$G:$G,$A1094,
          Transactions!$C:$C,"OUT"))</f>
        <v/>
      </c>
      <c r="I1094" s="65" t="str">
        <f t="shared" si="87"/>
        <v/>
      </c>
      <c r="J1094" s="59" t="str">
        <f t="shared" si="90"/>
        <v/>
      </c>
    </row>
    <row r="1095" spans="4:10" ht="22.5" customHeight="1" x14ac:dyDescent="0.25">
      <c r="D1095" s="59" t="str">
        <f t="shared" si="86"/>
        <v/>
      </c>
      <c r="E1095" s="59" t="str">
        <f t="shared" si="88"/>
        <v/>
      </c>
      <c r="F1095" s="59" t="str">
        <f t="shared" si="89"/>
        <v/>
      </c>
      <c r="G1095" s="59" t="str">
        <f>IF($A1095="","",
   SUMIFS(Transactions!$P:$P,
          Transactions!$G:$G,$A1095,
          Transactions!$C:$C,"IN",
          Transactions!$Q:$Q,"Paid"))</f>
        <v/>
      </c>
      <c r="H1095" s="59" t="str">
        <f>IF($A1095="","",
   SUMIFS(Transactions!$P:$P,
          Transactions!$G:$G,$A1095,
          Transactions!$C:$C,"OUT"))</f>
        <v/>
      </c>
      <c r="I1095" s="65" t="str">
        <f t="shared" si="87"/>
        <v/>
      </c>
      <c r="J1095" s="59" t="str">
        <f t="shared" si="90"/>
        <v/>
      </c>
    </row>
    <row r="1096" spans="4:10" ht="22.5" customHeight="1" x14ac:dyDescent="0.25">
      <c r="D1096" s="59" t="str">
        <f t="shared" si="86"/>
        <v/>
      </c>
      <c r="E1096" s="59" t="str">
        <f t="shared" si="88"/>
        <v/>
      </c>
      <c r="F1096" s="59" t="str">
        <f t="shared" si="89"/>
        <v/>
      </c>
      <c r="G1096" s="59" t="str">
        <f>IF($A1096="","",
   SUMIFS(Transactions!$P:$P,
          Transactions!$G:$G,$A1096,
          Transactions!$C:$C,"IN",
          Transactions!$Q:$Q,"Paid"))</f>
        <v/>
      </c>
      <c r="H1096" s="59" t="str">
        <f>IF($A1096="","",
   SUMIFS(Transactions!$P:$P,
          Transactions!$G:$G,$A1096,
          Transactions!$C:$C,"OUT"))</f>
        <v/>
      </c>
      <c r="I1096" s="65" t="str">
        <f t="shared" si="87"/>
        <v/>
      </c>
      <c r="J1096" s="59" t="str">
        <f t="shared" si="90"/>
        <v/>
      </c>
    </row>
    <row r="1097" spans="4:10" ht="22.5" customHeight="1" x14ac:dyDescent="0.25">
      <c r="D1097" s="59" t="str">
        <f t="shared" si="86"/>
        <v/>
      </c>
      <c r="E1097" s="59" t="str">
        <f t="shared" si="88"/>
        <v/>
      </c>
      <c r="F1097" s="59" t="str">
        <f t="shared" si="89"/>
        <v/>
      </c>
      <c r="G1097" s="59" t="str">
        <f>IF($A1097="","",
   SUMIFS(Transactions!$P:$P,
          Transactions!$G:$G,$A1097,
          Transactions!$C:$C,"IN",
          Transactions!$Q:$Q,"Paid"))</f>
        <v/>
      </c>
      <c r="H1097" s="59" t="str">
        <f>IF($A1097="","",
   SUMIFS(Transactions!$P:$P,
          Transactions!$G:$G,$A1097,
          Transactions!$C:$C,"OUT"))</f>
        <v/>
      </c>
      <c r="I1097" s="65" t="str">
        <f t="shared" si="87"/>
        <v/>
      </c>
      <c r="J1097" s="59" t="str">
        <f t="shared" si="90"/>
        <v/>
      </c>
    </row>
    <row r="1098" spans="4:10" ht="22.5" customHeight="1" x14ac:dyDescent="0.25">
      <c r="D1098" s="59" t="str">
        <f t="shared" si="86"/>
        <v/>
      </c>
      <c r="E1098" s="59" t="str">
        <f t="shared" si="88"/>
        <v/>
      </c>
      <c r="F1098" s="59" t="str">
        <f t="shared" si="89"/>
        <v/>
      </c>
      <c r="G1098" s="59" t="str">
        <f>IF($A1098="","",
   SUMIFS(Transactions!$P:$P,
          Transactions!$G:$G,$A1098,
          Transactions!$C:$C,"IN",
          Transactions!$Q:$Q,"Paid"))</f>
        <v/>
      </c>
      <c r="H1098" s="59" t="str">
        <f>IF($A1098="","",
   SUMIFS(Transactions!$P:$P,
          Transactions!$G:$G,$A1098,
          Transactions!$C:$C,"OUT"))</f>
        <v/>
      </c>
      <c r="I1098" s="65" t="str">
        <f t="shared" si="87"/>
        <v/>
      </c>
      <c r="J1098" s="59" t="str">
        <f t="shared" si="90"/>
        <v/>
      </c>
    </row>
    <row r="1099" spans="4:10" ht="22.5" customHeight="1" x14ac:dyDescent="0.25">
      <c r="D1099" s="59" t="str">
        <f t="shared" si="86"/>
        <v/>
      </c>
      <c r="E1099" s="59" t="str">
        <f t="shared" si="88"/>
        <v/>
      </c>
      <c r="F1099" s="59" t="str">
        <f t="shared" si="89"/>
        <v/>
      </c>
      <c r="G1099" s="59" t="str">
        <f>IF($A1099="","",
   SUMIFS(Transactions!$P:$P,
          Transactions!$G:$G,$A1099,
          Transactions!$C:$C,"IN",
          Transactions!$Q:$Q,"Paid"))</f>
        <v/>
      </c>
      <c r="H1099" s="59" t="str">
        <f>IF($A1099="","",
   SUMIFS(Transactions!$P:$P,
          Transactions!$G:$G,$A1099,
          Transactions!$C:$C,"OUT"))</f>
        <v/>
      </c>
      <c r="I1099" s="65" t="str">
        <f t="shared" si="87"/>
        <v/>
      </c>
      <c r="J1099" s="59" t="str">
        <f t="shared" si="90"/>
        <v/>
      </c>
    </row>
    <row r="1100" spans="4:10" ht="22.5" customHeight="1" x14ac:dyDescent="0.25">
      <c r="D1100" s="59" t="str">
        <f t="shared" si="86"/>
        <v/>
      </c>
      <c r="E1100" s="59" t="str">
        <f t="shared" si="88"/>
        <v/>
      </c>
      <c r="F1100" s="59" t="str">
        <f t="shared" si="89"/>
        <v/>
      </c>
      <c r="G1100" s="59" t="str">
        <f>IF($A1100="","",
   SUMIFS(Transactions!$P:$P,
          Transactions!$G:$G,$A1100,
          Transactions!$C:$C,"IN",
          Transactions!$Q:$Q,"Paid"))</f>
        <v/>
      </c>
      <c r="H1100" s="59" t="str">
        <f>IF($A1100="","",
   SUMIFS(Transactions!$P:$P,
          Transactions!$G:$G,$A1100,
          Transactions!$C:$C,"OUT"))</f>
        <v/>
      </c>
      <c r="I1100" s="65" t="str">
        <f t="shared" si="87"/>
        <v/>
      </c>
      <c r="J1100" s="59" t="str">
        <f t="shared" si="90"/>
        <v/>
      </c>
    </row>
    <row r="1101" spans="4:10" ht="22.5" customHeight="1" x14ac:dyDescent="0.25">
      <c r="D1101" s="59" t="str">
        <f t="shared" si="86"/>
        <v/>
      </c>
      <c r="E1101" s="59" t="str">
        <f t="shared" si="88"/>
        <v/>
      </c>
      <c r="F1101" s="59" t="str">
        <f t="shared" si="89"/>
        <v/>
      </c>
      <c r="G1101" s="59" t="str">
        <f>IF($A1101="","",
   SUMIFS(Transactions!$P:$P,
          Transactions!$G:$G,$A1101,
          Transactions!$C:$C,"IN",
          Transactions!$Q:$Q,"Paid"))</f>
        <v/>
      </c>
      <c r="H1101" s="59" t="str">
        <f>IF($A1101="","",
   SUMIFS(Transactions!$P:$P,
          Transactions!$G:$G,$A1101,
          Transactions!$C:$C,"OUT"))</f>
        <v/>
      </c>
      <c r="I1101" s="65" t="str">
        <f t="shared" si="87"/>
        <v/>
      </c>
      <c r="J1101" s="59" t="str">
        <f t="shared" si="90"/>
        <v/>
      </c>
    </row>
    <row r="1102" spans="4:10" ht="22.5" customHeight="1" x14ac:dyDescent="0.25">
      <c r="D1102" s="59" t="str">
        <f t="shared" si="86"/>
        <v/>
      </c>
      <c r="E1102" s="59" t="str">
        <f t="shared" si="88"/>
        <v/>
      </c>
      <c r="F1102" s="59" t="str">
        <f t="shared" si="89"/>
        <v/>
      </c>
      <c r="G1102" s="59" t="str">
        <f>IF($A1102="","",
   SUMIFS(Transactions!$P:$P,
          Transactions!$G:$G,$A1102,
          Transactions!$C:$C,"IN",
          Transactions!$Q:$Q,"Paid"))</f>
        <v/>
      </c>
      <c r="H1102" s="59" t="str">
        <f>IF($A1102="","",
   SUMIFS(Transactions!$P:$P,
          Transactions!$G:$G,$A1102,
          Transactions!$C:$C,"OUT"))</f>
        <v/>
      </c>
      <c r="I1102" s="65" t="str">
        <f t="shared" si="87"/>
        <v/>
      </c>
      <c r="J1102" s="59" t="str">
        <f t="shared" si="90"/>
        <v/>
      </c>
    </row>
    <row r="1103" spans="4:10" ht="22.5" customHeight="1" x14ac:dyDescent="0.25">
      <c r="D1103" s="59" t="str">
        <f t="shared" si="86"/>
        <v/>
      </c>
      <c r="E1103" s="59" t="str">
        <f t="shared" si="88"/>
        <v/>
      </c>
      <c r="F1103" s="59" t="str">
        <f t="shared" si="89"/>
        <v/>
      </c>
      <c r="G1103" s="59" t="str">
        <f>IF($A1103="","",
   SUMIFS(Transactions!$P:$P,
          Transactions!$G:$G,$A1103,
          Transactions!$C:$C,"IN",
          Transactions!$Q:$Q,"Paid"))</f>
        <v/>
      </c>
      <c r="H1103" s="59" t="str">
        <f>IF($A1103="","",
   SUMIFS(Transactions!$P:$P,
          Transactions!$G:$G,$A1103,
          Transactions!$C:$C,"OUT"))</f>
        <v/>
      </c>
      <c r="I1103" s="65" t="str">
        <f t="shared" si="87"/>
        <v/>
      </c>
      <c r="J1103" s="59" t="str">
        <f t="shared" si="90"/>
        <v/>
      </c>
    </row>
    <row r="1104" spans="4:10" ht="22.5" customHeight="1" x14ac:dyDescent="0.25">
      <c r="D1104" s="59" t="str">
        <f t="shared" si="86"/>
        <v/>
      </c>
      <c r="E1104" s="59" t="str">
        <f t="shared" si="88"/>
        <v/>
      </c>
      <c r="F1104" s="59" t="str">
        <f t="shared" si="89"/>
        <v/>
      </c>
      <c r="G1104" s="59" t="str">
        <f>IF($A1104="","",
   SUMIFS(Transactions!$P:$P,
          Transactions!$G:$G,$A1104,
          Transactions!$C:$C,"IN",
          Transactions!$Q:$Q,"Paid"))</f>
        <v/>
      </c>
      <c r="H1104" s="59" t="str">
        <f>IF($A1104="","",
   SUMIFS(Transactions!$P:$P,
          Transactions!$G:$G,$A1104,
          Transactions!$C:$C,"OUT"))</f>
        <v/>
      </c>
      <c r="I1104" s="65" t="str">
        <f t="shared" si="87"/>
        <v/>
      </c>
      <c r="J1104" s="59" t="str">
        <f t="shared" si="90"/>
        <v/>
      </c>
    </row>
    <row r="1105" spans="4:10" ht="22.5" customHeight="1" x14ac:dyDescent="0.25">
      <c r="D1105" s="59" t="str">
        <f t="shared" si="86"/>
        <v/>
      </c>
      <c r="E1105" s="59" t="str">
        <f t="shared" si="88"/>
        <v/>
      </c>
      <c r="F1105" s="59" t="str">
        <f t="shared" si="89"/>
        <v/>
      </c>
      <c r="G1105" s="59" t="str">
        <f>IF($A1105="","",
   SUMIFS(Transactions!$P:$P,
          Transactions!$G:$G,$A1105,
          Transactions!$C:$C,"IN",
          Transactions!$Q:$Q,"Paid"))</f>
        <v/>
      </c>
      <c r="H1105" s="59" t="str">
        <f>IF($A1105="","",
   SUMIFS(Transactions!$P:$P,
          Transactions!$G:$G,$A1105,
          Transactions!$C:$C,"OUT"))</f>
        <v/>
      </c>
      <c r="I1105" s="65" t="str">
        <f t="shared" si="87"/>
        <v/>
      </c>
      <c r="J1105" s="59" t="str">
        <f t="shared" si="90"/>
        <v/>
      </c>
    </row>
    <row r="1106" spans="4:10" ht="22.5" customHeight="1" x14ac:dyDescent="0.25">
      <c r="D1106" s="59" t="str">
        <f t="shared" si="86"/>
        <v/>
      </c>
      <c r="E1106" s="59" t="str">
        <f t="shared" si="88"/>
        <v/>
      </c>
      <c r="F1106" s="59" t="str">
        <f t="shared" si="89"/>
        <v/>
      </c>
      <c r="G1106" s="59" t="str">
        <f>IF($A1106="","",
   SUMIFS(Transactions!$P:$P,
          Transactions!$G:$G,$A1106,
          Transactions!$C:$C,"IN",
          Transactions!$Q:$Q,"Paid"))</f>
        <v/>
      </c>
      <c r="H1106" s="59" t="str">
        <f>IF($A1106="","",
   SUMIFS(Transactions!$P:$P,
          Transactions!$G:$G,$A1106,
          Transactions!$C:$C,"OUT"))</f>
        <v/>
      </c>
      <c r="I1106" s="65" t="str">
        <f t="shared" si="87"/>
        <v/>
      </c>
      <c r="J1106" s="59" t="str">
        <f t="shared" si="90"/>
        <v/>
      </c>
    </row>
    <row r="1107" spans="4:10" ht="22.5" customHeight="1" x14ac:dyDescent="0.25">
      <c r="D1107" s="59" t="str">
        <f t="shared" si="86"/>
        <v/>
      </c>
      <c r="E1107" s="59" t="str">
        <f t="shared" si="88"/>
        <v/>
      </c>
      <c r="F1107" s="59" t="str">
        <f t="shared" si="89"/>
        <v/>
      </c>
      <c r="G1107" s="59" t="str">
        <f>IF($A1107="","",
   SUMIFS(Transactions!$P:$P,
          Transactions!$G:$G,$A1107,
          Transactions!$C:$C,"IN",
          Transactions!$Q:$Q,"Paid"))</f>
        <v/>
      </c>
      <c r="H1107" s="59" t="str">
        <f>IF($A1107="","",
   SUMIFS(Transactions!$P:$P,
          Transactions!$G:$G,$A1107,
          Transactions!$C:$C,"OUT"))</f>
        <v/>
      </c>
      <c r="I1107" s="65" t="str">
        <f t="shared" si="87"/>
        <v/>
      </c>
      <c r="J1107" s="59" t="str">
        <f t="shared" si="90"/>
        <v/>
      </c>
    </row>
    <row r="1108" spans="4:10" ht="22.5" customHeight="1" x14ac:dyDescent="0.25">
      <c r="D1108" s="59" t="str">
        <f t="shared" si="86"/>
        <v/>
      </c>
      <c r="E1108" s="59" t="str">
        <f t="shared" si="88"/>
        <v/>
      </c>
      <c r="F1108" s="59" t="str">
        <f t="shared" si="89"/>
        <v/>
      </c>
      <c r="G1108" s="59" t="str">
        <f>IF($A1108="","",
   SUMIFS(Transactions!$P:$P,
          Transactions!$G:$G,$A1108,
          Transactions!$C:$C,"IN",
          Transactions!$Q:$Q,"Paid"))</f>
        <v/>
      </c>
      <c r="H1108" s="59" t="str">
        <f>IF($A1108="","",
   SUMIFS(Transactions!$P:$P,
          Transactions!$G:$G,$A1108,
          Transactions!$C:$C,"OUT"))</f>
        <v/>
      </c>
      <c r="I1108" s="65" t="str">
        <f t="shared" si="87"/>
        <v/>
      </c>
      <c r="J1108" s="59" t="str">
        <f t="shared" si="90"/>
        <v/>
      </c>
    </row>
    <row r="1109" spans="4:10" ht="22.5" customHeight="1" x14ac:dyDescent="0.25">
      <c r="D1109" s="59" t="str">
        <f t="shared" si="86"/>
        <v/>
      </c>
      <c r="E1109" s="59" t="str">
        <f t="shared" si="88"/>
        <v/>
      </c>
      <c r="F1109" s="59" t="str">
        <f t="shared" si="89"/>
        <v/>
      </c>
      <c r="G1109" s="59" t="str">
        <f>IF($A1109="","",
   SUMIFS(Transactions!$P:$P,
          Transactions!$G:$G,$A1109,
          Transactions!$C:$C,"IN",
          Transactions!$Q:$Q,"Paid"))</f>
        <v/>
      </c>
      <c r="H1109" s="59" t="str">
        <f>IF($A1109="","",
   SUMIFS(Transactions!$P:$P,
          Transactions!$G:$G,$A1109,
          Transactions!$C:$C,"OUT"))</f>
        <v/>
      </c>
      <c r="I1109" s="65" t="str">
        <f t="shared" si="87"/>
        <v/>
      </c>
      <c r="J1109" s="59" t="str">
        <f t="shared" si="90"/>
        <v/>
      </c>
    </row>
    <row r="1110" spans="4:10" ht="22.5" customHeight="1" x14ac:dyDescent="0.25">
      <c r="D1110" s="59" t="str">
        <f t="shared" si="86"/>
        <v/>
      </c>
      <c r="E1110" s="59" t="str">
        <f t="shared" si="88"/>
        <v/>
      </c>
      <c r="F1110" s="59" t="str">
        <f t="shared" si="89"/>
        <v/>
      </c>
      <c r="G1110" s="59" t="str">
        <f>IF($A1110="","",
   SUMIFS(Transactions!$P:$P,
          Transactions!$G:$G,$A1110,
          Transactions!$C:$C,"IN",
          Transactions!$Q:$Q,"Paid"))</f>
        <v/>
      </c>
      <c r="H1110" s="59" t="str">
        <f>IF($A1110="","",
   SUMIFS(Transactions!$P:$P,
          Transactions!$G:$G,$A1110,
          Transactions!$C:$C,"OUT"))</f>
        <v/>
      </c>
      <c r="I1110" s="65" t="str">
        <f t="shared" si="87"/>
        <v/>
      </c>
      <c r="J1110" s="59" t="str">
        <f t="shared" si="90"/>
        <v/>
      </c>
    </row>
    <row r="1111" spans="4:10" ht="22.5" customHeight="1" x14ac:dyDescent="0.25">
      <c r="D1111" s="59" t="str">
        <f t="shared" si="86"/>
        <v/>
      </c>
      <c r="E1111" s="59" t="str">
        <f t="shared" si="88"/>
        <v/>
      </c>
      <c r="F1111" s="59" t="str">
        <f t="shared" si="89"/>
        <v/>
      </c>
      <c r="G1111" s="59" t="str">
        <f>IF($A1111="","",
   SUMIFS(Transactions!$P:$P,
          Transactions!$G:$G,$A1111,
          Transactions!$C:$C,"IN",
          Transactions!$Q:$Q,"Paid"))</f>
        <v/>
      </c>
      <c r="H1111" s="59" t="str">
        <f>IF($A1111="","",
   SUMIFS(Transactions!$P:$P,
          Transactions!$G:$G,$A1111,
          Transactions!$C:$C,"OUT"))</f>
        <v/>
      </c>
      <c r="I1111" s="65" t="str">
        <f t="shared" si="87"/>
        <v/>
      </c>
      <c r="J1111" s="59" t="str">
        <f t="shared" si="90"/>
        <v/>
      </c>
    </row>
    <row r="1112" spans="4:10" ht="22.5" customHeight="1" x14ac:dyDescent="0.25">
      <c r="D1112" s="59" t="str">
        <f t="shared" si="86"/>
        <v/>
      </c>
      <c r="E1112" s="59" t="str">
        <f t="shared" si="88"/>
        <v/>
      </c>
      <c r="F1112" s="59" t="str">
        <f t="shared" si="89"/>
        <v/>
      </c>
      <c r="G1112" s="59" t="str">
        <f>IF($A1112="","",
   SUMIFS(Transactions!$P:$P,
          Transactions!$G:$G,$A1112,
          Transactions!$C:$C,"IN",
          Transactions!$Q:$Q,"Paid"))</f>
        <v/>
      </c>
      <c r="H1112" s="59" t="str">
        <f>IF($A1112="","",
   SUMIFS(Transactions!$P:$P,
          Transactions!$G:$G,$A1112,
          Transactions!$C:$C,"OUT"))</f>
        <v/>
      </c>
      <c r="I1112" s="65" t="str">
        <f t="shared" si="87"/>
        <v/>
      </c>
      <c r="J1112" s="59" t="str">
        <f t="shared" si="90"/>
        <v/>
      </c>
    </row>
    <row r="1113" spans="4:10" ht="22.5" customHeight="1" x14ac:dyDescent="0.25">
      <c r="D1113" s="59" t="str">
        <f t="shared" si="86"/>
        <v/>
      </c>
      <c r="E1113" s="59" t="str">
        <f t="shared" si="88"/>
        <v/>
      </c>
      <c r="F1113" s="59" t="str">
        <f t="shared" si="89"/>
        <v/>
      </c>
      <c r="G1113" s="59" t="str">
        <f>IF($A1113="","",
   SUMIFS(Transactions!$P:$P,
          Transactions!$G:$G,$A1113,
          Transactions!$C:$C,"IN",
          Transactions!$Q:$Q,"Paid"))</f>
        <v/>
      </c>
      <c r="H1113" s="59" t="str">
        <f>IF($A1113="","",
   SUMIFS(Transactions!$P:$P,
          Transactions!$G:$G,$A1113,
          Transactions!$C:$C,"OUT"))</f>
        <v/>
      </c>
      <c r="I1113" s="65" t="str">
        <f t="shared" si="87"/>
        <v/>
      </c>
      <c r="J1113" s="59" t="str">
        <f t="shared" si="90"/>
        <v/>
      </c>
    </row>
    <row r="1114" spans="4:10" ht="22.5" customHeight="1" x14ac:dyDescent="0.25">
      <c r="D1114" s="59" t="str">
        <f t="shared" si="86"/>
        <v/>
      </c>
      <c r="E1114" s="59" t="str">
        <f t="shared" si="88"/>
        <v/>
      </c>
      <c r="F1114" s="59" t="str">
        <f t="shared" si="89"/>
        <v/>
      </c>
      <c r="G1114" s="59" t="str">
        <f>IF($A1114="","",
   SUMIFS(Transactions!$P:$P,
          Transactions!$G:$G,$A1114,
          Transactions!$C:$C,"IN",
          Transactions!$Q:$Q,"Paid"))</f>
        <v/>
      </c>
      <c r="H1114" s="59" t="str">
        <f>IF($A1114="","",
   SUMIFS(Transactions!$P:$P,
          Transactions!$G:$G,$A1114,
          Transactions!$C:$C,"OUT"))</f>
        <v/>
      </c>
      <c r="I1114" s="65" t="str">
        <f t="shared" si="87"/>
        <v/>
      </c>
      <c r="J1114" s="59" t="str">
        <f t="shared" si="90"/>
        <v/>
      </c>
    </row>
    <row r="1115" spans="4:10" ht="22.5" customHeight="1" x14ac:dyDescent="0.25">
      <c r="D1115" s="59" t="str">
        <f t="shared" si="86"/>
        <v/>
      </c>
      <c r="E1115" s="59" t="str">
        <f t="shared" si="88"/>
        <v/>
      </c>
      <c r="F1115" s="59" t="str">
        <f t="shared" si="89"/>
        <v/>
      </c>
      <c r="G1115" s="59" t="str">
        <f>IF($A1115="","",
   SUMIFS(Transactions!$P:$P,
          Transactions!$G:$G,$A1115,
          Transactions!$C:$C,"IN",
          Transactions!$Q:$Q,"Paid"))</f>
        <v/>
      </c>
      <c r="H1115" s="59" t="str">
        <f>IF($A1115="","",
   SUMIFS(Transactions!$P:$P,
          Transactions!$G:$G,$A1115,
          Transactions!$C:$C,"OUT"))</f>
        <v/>
      </c>
      <c r="I1115" s="65" t="str">
        <f t="shared" si="87"/>
        <v/>
      </c>
      <c r="J1115" s="59" t="str">
        <f t="shared" si="90"/>
        <v/>
      </c>
    </row>
    <row r="1116" spans="4:10" ht="22.5" customHeight="1" x14ac:dyDescent="0.25">
      <c r="D1116" s="59" t="str">
        <f t="shared" si="86"/>
        <v/>
      </c>
      <c r="E1116" s="59" t="str">
        <f t="shared" si="88"/>
        <v/>
      </c>
      <c r="F1116" s="59" t="str">
        <f t="shared" si="89"/>
        <v/>
      </c>
      <c r="G1116" s="59" t="str">
        <f>IF($A1116="","",
   SUMIFS(Transactions!$P:$P,
          Transactions!$G:$G,$A1116,
          Transactions!$C:$C,"IN",
          Transactions!$Q:$Q,"Paid"))</f>
        <v/>
      </c>
      <c r="H1116" s="59" t="str">
        <f>IF($A1116="","",
   SUMIFS(Transactions!$P:$P,
          Transactions!$G:$G,$A1116,
          Transactions!$C:$C,"OUT"))</f>
        <v/>
      </c>
      <c r="I1116" s="65" t="str">
        <f t="shared" si="87"/>
        <v/>
      </c>
      <c r="J1116" s="59" t="str">
        <f t="shared" si="90"/>
        <v/>
      </c>
    </row>
    <row r="1117" spans="4:10" ht="22.5" customHeight="1" x14ac:dyDescent="0.25">
      <c r="D1117" s="59" t="str">
        <f t="shared" si="86"/>
        <v/>
      </c>
      <c r="E1117" s="59" t="str">
        <f t="shared" si="88"/>
        <v/>
      </c>
      <c r="F1117" s="59" t="str">
        <f t="shared" si="89"/>
        <v/>
      </c>
      <c r="G1117" s="59" t="str">
        <f>IF($A1117="","",
   SUMIFS(Transactions!$P:$P,
          Transactions!$G:$G,$A1117,
          Transactions!$C:$C,"IN",
          Transactions!$Q:$Q,"Paid"))</f>
        <v/>
      </c>
      <c r="H1117" s="59" t="str">
        <f>IF($A1117="","",
   SUMIFS(Transactions!$P:$P,
          Transactions!$G:$G,$A1117,
          Transactions!$C:$C,"OUT"))</f>
        <v/>
      </c>
      <c r="I1117" s="65" t="str">
        <f t="shared" si="87"/>
        <v/>
      </c>
      <c r="J1117" s="59" t="str">
        <f t="shared" si="90"/>
        <v/>
      </c>
    </row>
    <row r="1118" spans="4:10" ht="22.5" customHeight="1" x14ac:dyDescent="0.25">
      <c r="D1118" s="59" t="str">
        <f t="shared" si="86"/>
        <v/>
      </c>
      <c r="E1118" s="59" t="str">
        <f t="shared" si="88"/>
        <v/>
      </c>
      <c r="F1118" s="59" t="str">
        <f t="shared" si="89"/>
        <v/>
      </c>
      <c r="G1118" s="59" t="str">
        <f>IF($A1118="","",
   SUMIFS(Transactions!$P:$P,
          Transactions!$G:$G,$A1118,
          Transactions!$C:$C,"IN",
          Transactions!$Q:$Q,"Paid"))</f>
        <v/>
      </c>
      <c r="H1118" s="59" t="str">
        <f>IF($A1118="","",
   SUMIFS(Transactions!$P:$P,
          Transactions!$G:$G,$A1118,
          Transactions!$C:$C,"OUT"))</f>
        <v/>
      </c>
      <c r="I1118" s="65" t="str">
        <f t="shared" si="87"/>
        <v/>
      </c>
      <c r="J1118" s="59" t="str">
        <f t="shared" si="90"/>
        <v/>
      </c>
    </row>
    <row r="1119" spans="4:10" ht="22.5" customHeight="1" x14ac:dyDescent="0.25">
      <c r="D1119" s="59" t="str">
        <f t="shared" si="86"/>
        <v/>
      </c>
      <c r="E1119" s="59" t="str">
        <f t="shared" si="88"/>
        <v/>
      </c>
      <c r="F1119" s="59" t="str">
        <f t="shared" si="89"/>
        <v/>
      </c>
      <c r="G1119" s="59" t="str">
        <f>IF($A1119="","",
   SUMIFS(Transactions!$P:$P,
          Transactions!$G:$G,$A1119,
          Transactions!$C:$C,"IN",
          Transactions!$Q:$Q,"Paid"))</f>
        <v/>
      </c>
      <c r="H1119" s="59" t="str">
        <f>IF($A1119="","",
   SUMIFS(Transactions!$P:$P,
          Transactions!$G:$G,$A1119,
          Transactions!$C:$C,"OUT"))</f>
        <v/>
      </c>
      <c r="I1119" s="65" t="str">
        <f t="shared" si="87"/>
        <v/>
      </c>
      <c r="J1119" s="59" t="str">
        <f t="shared" si="90"/>
        <v/>
      </c>
    </row>
    <row r="1120" spans="4:10" ht="22.5" customHeight="1" x14ac:dyDescent="0.25">
      <c r="D1120" s="59" t="str">
        <f t="shared" si="86"/>
        <v/>
      </c>
      <c r="E1120" s="59" t="str">
        <f t="shared" si="88"/>
        <v/>
      </c>
      <c r="F1120" s="59" t="str">
        <f t="shared" si="89"/>
        <v/>
      </c>
      <c r="G1120" s="59" t="str">
        <f>IF($A1120="","",
   SUMIFS(Transactions!$P:$P,
          Transactions!$G:$G,$A1120,
          Transactions!$C:$C,"IN",
          Transactions!$Q:$Q,"Paid"))</f>
        <v/>
      </c>
      <c r="H1120" s="59" t="str">
        <f>IF($A1120="","",
   SUMIFS(Transactions!$P:$P,
          Transactions!$G:$G,$A1120,
          Transactions!$C:$C,"OUT"))</f>
        <v/>
      </c>
      <c r="I1120" s="65" t="str">
        <f t="shared" si="87"/>
        <v/>
      </c>
      <c r="J1120" s="59" t="str">
        <f t="shared" si="90"/>
        <v/>
      </c>
    </row>
    <row r="1121" spans="4:10" ht="22.5" customHeight="1" x14ac:dyDescent="0.25">
      <c r="D1121" s="59" t="str">
        <f t="shared" si="86"/>
        <v/>
      </c>
      <c r="E1121" s="59" t="str">
        <f t="shared" si="88"/>
        <v/>
      </c>
      <c r="F1121" s="59" t="str">
        <f t="shared" si="89"/>
        <v/>
      </c>
      <c r="G1121" s="59" t="str">
        <f>IF($A1121="","",
   SUMIFS(Transactions!$P:$P,
          Transactions!$G:$G,$A1121,
          Transactions!$C:$C,"IN",
          Transactions!$Q:$Q,"Paid"))</f>
        <v/>
      </c>
      <c r="H1121" s="59" t="str">
        <f>IF($A1121="","",
   SUMIFS(Transactions!$P:$P,
          Transactions!$G:$G,$A1121,
          Transactions!$C:$C,"OUT"))</f>
        <v/>
      </c>
      <c r="I1121" s="65" t="str">
        <f t="shared" si="87"/>
        <v/>
      </c>
      <c r="J1121" s="59" t="str">
        <f t="shared" si="90"/>
        <v/>
      </c>
    </row>
    <row r="1122" spans="4:10" ht="22.5" customHeight="1" x14ac:dyDescent="0.25">
      <c r="D1122" s="59" t="str">
        <f t="shared" si="86"/>
        <v/>
      </c>
      <c r="E1122" s="59" t="str">
        <f t="shared" si="88"/>
        <v/>
      </c>
      <c r="F1122" s="59" t="str">
        <f t="shared" si="89"/>
        <v/>
      </c>
      <c r="G1122" s="59" t="str">
        <f>IF($A1122="","",
   SUMIFS(Transactions!$P:$P,
          Transactions!$G:$G,$A1122,
          Transactions!$C:$C,"IN",
          Transactions!$Q:$Q,"Paid"))</f>
        <v/>
      </c>
      <c r="H1122" s="59" t="str">
        <f>IF($A1122="","",
   SUMIFS(Transactions!$P:$P,
          Transactions!$G:$G,$A1122,
          Transactions!$C:$C,"OUT"))</f>
        <v/>
      </c>
      <c r="I1122" s="65" t="str">
        <f t="shared" si="87"/>
        <v/>
      </c>
      <c r="J1122" s="59" t="str">
        <f t="shared" si="90"/>
        <v/>
      </c>
    </row>
    <row r="1123" spans="4:10" ht="22.5" customHeight="1" x14ac:dyDescent="0.25">
      <c r="D1123" s="59" t="str">
        <f t="shared" si="86"/>
        <v/>
      </c>
      <c r="E1123" s="59" t="str">
        <f t="shared" si="88"/>
        <v/>
      </c>
      <c r="F1123" s="59" t="str">
        <f t="shared" si="89"/>
        <v/>
      </c>
      <c r="G1123" s="59" t="str">
        <f>IF($A1123="","",
   SUMIFS(Transactions!$P:$P,
          Transactions!$G:$G,$A1123,
          Transactions!$C:$C,"IN",
          Transactions!$Q:$Q,"Paid"))</f>
        <v/>
      </c>
      <c r="H1123" s="59" t="str">
        <f>IF($A1123="","",
   SUMIFS(Transactions!$P:$P,
          Transactions!$G:$G,$A1123,
          Transactions!$C:$C,"OUT"))</f>
        <v/>
      </c>
      <c r="I1123" s="65" t="str">
        <f t="shared" si="87"/>
        <v/>
      </c>
      <c r="J1123" s="59" t="str">
        <f t="shared" si="90"/>
        <v/>
      </c>
    </row>
    <row r="1124" spans="4:10" ht="22.5" customHeight="1" x14ac:dyDescent="0.25">
      <c r="D1124" s="59" t="str">
        <f t="shared" si="86"/>
        <v/>
      </c>
      <c r="E1124" s="59" t="str">
        <f t="shared" si="88"/>
        <v/>
      </c>
      <c r="F1124" s="59" t="str">
        <f t="shared" si="89"/>
        <v/>
      </c>
      <c r="G1124" s="59" t="str">
        <f>IF($A1124="","",
   SUMIFS(Transactions!$P:$P,
          Transactions!$G:$G,$A1124,
          Transactions!$C:$C,"IN",
          Transactions!$Q:$Q,"Paid"))</f>
        <v/>
      </c>
      <c r="H1124" s="59" t="str">
        <f>IF($A1124="","",
   SUMIFS(Transactions!$P:$P,
          Transactions!$G:$G,$A1124,
          Transactions!$C:$C,"OUT"))</f>
        <v/>
      </c>
      <c r="I1124" s="65" t="str">
        <f t="shared" si="87"/>
        <v/>
      </c>
      <c r="J1124" s="59" t="str">
        <f t="shared" si="90"/>
        <v/>
      </c>
    </row>
    <row r="1125" spans="4:10" ht="22.5" customHeight="1" x14ac:dyDescent="0.25">
      <c r="D1125" s="59" t="str">
        <f t="shared" si="86"/>
        <v/>
      </c>
      <c r="E1125" s="59" t="str">
        <f t="shared" si="88"/>
        <v/>
      </c>
      <c r="F1125" s="59" t="str">
        <f t="shared" si="89"/>
        <v/>
      </c>
      <c r="G1125" s="59" t="str">
        <f>IF($A1125="","",
   SUMIFS(Transactions!$P:$P,
          Transactions!$G:$G,$A1125,
          Transactions!$C:$C,"IN",
          Transactions!$Q:$Q,"Paid"))</f>
        <v/>
      </c>
      <c r="H1125" s="59" t="str">
        <f>IF($A1125="","",
   SUMIFS(Transactions!$P:$P,
          Transactions!$G:$G,$A1125,
          Transactions!$C:$C,"OUT"))</f>
        <v/>
      </c>
      <c r="I1125" s="65" t="str">
        <f t="shared" si="87"/>
        <v/>
      </c>
      <c r="J1125" s="59" t="str">
        <f t="shared" si="90"/>
        <v/>
      </c>
    </row>
    <row r="1126" spans="4:10" ht="22.5" customHeight="1" x14ac:dyDescent="0.25">
      <c r="D1126" s="59" t="str">
        <f t="shared" si="86"/>
        <v/>
      </c>
      <c r="E1126" s="59" t="str">
        <f t="shared" si="88"/>
        <v/>
      </c>
      <c r="F1126" s="59" t="str">
        <f t="shared" si="89"/>
        <v/>
      </c>
      <c r="G1126" s="59" t="str">
        <f>IF($A1126="","",
   SUMIFS(Transactions!$P:$P,
          Transactions!$G:$G,$A1126,
          Transactions!$C:$C,"IN",
          Transactions!$Q:$Q,"Paid"))</f>
        <v/>
      </c>
      <c r="H1126" s="59" t="str">
        <f>IF($A1126="","",
   SUMIFS(Transactions!$P:$P,
          Transactions!$G:$G,$A1126,
          Transactions!$C:$C,"OUT"))</f>
        <v/>
      </c>
      <c r="I1126" s="65" t="str">
        <f t="shared" si="87"/>
        <v/>
      </c>
      <c r="J1126" s="59" t="str">
        <f t="shared" si="90"/>
        <v/>
      </c>
    </row>
    <row r="1127" spans="4:10" ht="22.5" customHeight="1" x14ac:dyDescent="0.25">
      <c r="D1127" s="59" t="str">
        <f t="shared" si="86"/>
        <v/>
      </c>
      <c r="E1127" s="59" t="str">
        <f t="shared" si="88"/>
        <v/>
      </c>
      <c r="F1127" s="59" t="str">
        <f t="shared" si="89"/>
        <v/>
      </c>
      <c r="G1127" s="59" t="str">
        <f>IF($A1127="","",
   SUMIFS(Transactions!$P:$P,
          Transactions!$G:$G,$A1127,
          Transactions!$C:$C,"IN",
          Transactions!$Q:$Q,"Paid"))</f>
        <v/>
      </c>
      <c r="H1127" s="59" t="str">
        <f>IF($A1127="","",
   SUMIFS(Transactions!$P:$P,
          Transactions!$G:$G,$A1127,
          Transactions!$C:$C,"OUT"))</f>
        <v/>
      </c>
      <c r="I1127" s="65" t="str">
        <f t="shared" si="87"/>
        <v/>
      </c>
      <c r="J1127" s="59" t="str">
        <f t="shared" si="90"/>
        <v/>
      </c>
    </row>
    <row r="1128" spans="4:10" ht="22.5" customHeight="1" x14ac:dyDescent="0.25">
      <c r="D1128" s="59" t="str">
        <f t="shared" si="86"/>
        <v/>
      </c>
      <c r="E1128" s="59" t="str">
        <f t="shared" si="88"/>
        <v/>
      </c>
      <c r="F1128" s="59" t="str">
        <f t="shared" si="89"/>
        <v/>
      </c>
      <c r="G1128" s="59" t="str">
        <f>IF($A1128="","",
   SUMIFS(Transactions!$P:$P,
          Transactions!$G:$G,$A1128,
          Transactions!$C:$C,"IN",
          Transactions!$Q:$Q,"Paid"))</f>
        <v/>
      </c>
      <c r="H1128" s="59" t="str">
        <f>IF($A1128="","",
   SUMIFS(Transactions!$P:$P,
          Transactions!$G:$G,$A1128,
          Transactions!$C:$C,"OUT"))</f>
        <v/>
      </c>
      <c r="I1128" s="65" t="str">
        <f t="shared" si="87"/>
        <v/>
      </c>
      <c r="J1128" s="59" t="str">
        <f t="shared" si="90"/>
        <v/>
      </c>
    </row>
    <row r="1129" spans="4:10" ht="22.5" customHeight="1" x14ac:dyDescent="0.25">
      <c r="D1129" s="59" t="str">
        <f t="shared" si="86"/>
        <v/>
      </c>
      <c r="E1129" s="59" t="str">
        <f t="shared" si="88"/>
        <v/>
      </c>
      <c r="F1129" s="59" t="str">
        <f t="shared" si="89"/>
        <v/>
      </c>
      <c r="G1129" s="59" t="str">
        <f>IF($A1129="","",
   SUMIFS(Transactions!$P:$P,
          Transactions!$G:$G,$A1129,
          Transactions!$C:$C,"IN",
          Transactions!$Q:$Q,"Paid"))</f>
        <v/>
      </c>
      <c r="H1129" s="59" t="str">
        <f>IF($A1129="","",
   SUMIFS(Transactions!$P:$P,
          Transactions!$G:$G,$A1129,
          Transactions!$C:$C,"OUT"))</f>
        <v/>
      </c>
      <c r="I1129" s="65" t="str">
        <f t="shared" si="87"/>
        <v/>
      </c>
      <c r="J1129" s="59" t="str">
        <f t="shared" si="90"/>
        <v/>
      </c>
    </row>
    <row r="1130" spans="4:10" ht="22.5" customHeight="1" x14ac:dyDescent="0.25">
      <c r="D1130" s="59" t="str">
        <f t="shared" si="86"/>
        <v/>
      </c>
      <c r="E1130" s="59" t="str">
        <f t="shared" si="88"/>
        <v/>
      </c>
      <c r="F1130" s="59" t="str">
        <f t="shared" si="89"/>
        <v/>
      </c>
      <c r="G1130" s="59" t="str">
        <f>IF($A1130="","",
   SUMIFS(Transactions!$P:$P,
          Transactions!$G:$G,$A1130,
          Transactions!$C:$C,"IN",
          Transactions!$Q:$Q,"Paid"))</f>
        <v/>
      </c>
      <c r="H1130" s="59" t="str">
        <f>IF($A1130="","",
   SUMIFS(Transactions!$P:$P,
          Transactions!$G:$G,$A1130,
          Transactions!$C:$C,"OUT"))</f>
        <v/>
      </c>
      <c r="I1130" s="65" t="str">
        <f t="shared" si="87"/>
        <v/>
      </c>
      <c r="J1130" s="59" t="str">
        <f t="shared" si="90"/>
        <v/>
      </c>
    </row>
    <row r="1131" spans="4:10" ht="22.5" customHeight="1" x14ac:dyDescent="0.25">
      <c r="D1131" s="59" t="str">
        <f t="shared" si="86"/>
        <v/>
      </c>
      <c r="E1131" s="59" t="str">
        <f t="shared" si="88"/>
        <v/>
      </c>
      <c r="F1131" s="59" t="str">
        <f t="shared" si="89"/>
        <v/>
      </c>
      <c r="G1131" s="59" t="str">
        <f>IF($A1131="","",
   SUMIFS(Transactions!$P:$P,
          Transactions!$G:$G,$A1131,
          Transactions!$C:$C,"IN",
          Transactions!$Q:$Q,"Paid"))</f>
        <v/>
      </c>
      <c r="H1131" s="59" t="str">
        <f>IF($A1131="","",
   SUMIFS(Transactions!$P:$P,
          Transactions!$G:$G,$A1131,
          Transactions!$C:$C,"OUT"))</f>
        <v/>
      </c>
      <c r="I1131" s="65" t="str">
        <f t="shared" si="87"/>
        <v/>
      </c>
      <c r="J1131" s="59" t="str">
        <f t="shared" si="90"/>
        <v/>
      </c>
    </row>
    <row r="1132" spans="4:10" ht="22.5" customHeight="1" x14ac:dyDescent="0.25">
      <c r="D1132" s="59" t="str">
        <f t="shared" si="86"/>
        <v/>
      </c>
      <c r="E1132" s="59" t="str">
        <f t="shared" si="88"/>
        <v/>
      </c>
      <c r="F1132" s="59" t="str">
        <f t="shared" si="89"/>
        <v/>
      </c>
      <c r="G1132" s="59" t="str">
        <f>IF($A1132="","",
   SUMIFS(Transactions!$P:$P,
          Transactions!$G:$G,$A1132,
          Transactions!$C:$C,"IN",
          Transactions!$Q:$Q,"Paid"))</f>
        <v/>
      </c>
      <c r="H1132" s="59" t="str">
        <f>IF($A1132="","",
   SUMIFS(Transactions!$P:$P,
          Transactions!$G:$G,$A1132,
          Transactions!$C:$C,"OUT"))</f>
        <v/>
      </c>
      <c r="I1132" s="65" t="str">
        <f t="shared" si="87"/>
        <v/>
      </c>
      <c r="J1132" s="59" t="str">
        <f t="shared" si="90"/>
        <v/>
      </c>
    </row>
    <row r="1133" spans="4:10" ht="22.5" customHeight="1" x14ac:dyDescent="0.25">
      <c r="D1133" s="59" t="str">
        <f t="shared" si="86"/>
        <v/>
      </c>
      <c r="E1133" s="59" t="str">
        <f t="shared" si="88"/>
        <v/>
      </c>
      <c r="F1133" s="59" t="str">
        <f t="shared" si="89"/>
        <v/>
      </c>
      <c r="G1133" s="59" t="str">
        <f>IF($A1133="","",
   SUMIFS(Transactions!$P:$P,
          Transactions!$G:$G,$A1133,
          Transactions!$C:$C,"IN",
          Transactions!$Q:$Q,"Paid"))</f>
        <v/>
      </c>
      <c r="H1133" s="59" t="str">
        <f>IF($A1133="","",
   SUMIFS(Transactions!$P:$P,
          Transactions!$G:$G,$A1133,
          Transactions!$C:$C,"OUT"))</f>
        <v/>
      </c>
      <c r="I1133" s="65" t="str">
        <f t="shared" si="87"/>
        <v/>
      </c>
      <c r="J1133" s="59" t="str">
        <f t="shared" si="90"/>
        <v/>
      </c>
    </row>
    <row r="1134" spans="4:10" ht="22.5" customHeight="1" x14ac:dyDescent="0.25">
      <c r="D1134" s="59" t="str">
        <f t="shared" si="86"/>
        <v/>
      </c>
      <c r="E1134" s="59" t="str">
        <f t="shared" si="88"/>
        <v/>
      </c>
      <c r="F1134" s="59" t="str">
        <f t="shared" si="89"/>
        <v/>
      </c>
      <c r="G1134" s="59" t="str">
        <f>IF($A1134="","",
   SUMIFS(Transactions!$P:$P,
          Transactions!$G:$G,$A1134,
          Transactions!$C:$C,"IN",
          Transactions!$Q:$Q,"Paid"))</f>
        <v/>
      </c>
      <c r="H1134" s="59" t="str">
        <f>IF($A1134="","",
   SUMIFS(Transactions!$P:$P,
          Transactions!$G:$G,$A1134,
          Transactions!$C:$C,"OUT"))</f>
        <v/>
      </c>
      <c r="I1134" s="65" t="str">
        <f t="shared" si="87"/>
        <v/>
      </c>
      <c r="J1134" s="59" t="str">
        <f t="shared" si="90"/>
        <v/>
      </c>
    </row>
    <row r="1135" spans="4:10" ht="22.5" customHeight="1" x14ac:dyDescent="0.25">
      <c r="D1135" s="59" t="str">
        <f t="shared" si="86"/>
        <v/>
      </c>
      <c r="E1135" s="59" t="str">
        <f t="shared" si="88"/>
        <v/>
      </c>
      <c r="F1135" s="59" t="str">
        <f t="shared" si="89"/>
        <v/>
      </c>
      <c r="G1135" s="59" t="str">
        <f>IF($A1135="","",
   SUMIFS(Transactions!$P:$P,
          Transactions!$G:$G,$A1135,
          Transactions!$C:$C,"IN",
          Transactions!$Q:$Q,"Paid"))</f>
        <v/>
      </c>
      <c r="H1135" s="59" t="str">
        <f>IF($A1135="","",
   SUMIFS(Transactions!$P:$P,
          Transactions!$G:$G,$A1135,
          Transactions!$C:$C,"OUT"))</f>
        <v/>
      </c>
      <c r="I1135" s="65" t="str">
        <f t="shared" si="87"/>
        <v/>
      </c>
      <c r="J1135" s="59" t="str">
        <f t="shared" si="90"/>
        <v/>
      </c>
    </row>
    <row r="1136" spans="4:10" ht="22.5" customHeight="1" x14ac:dyDescent="0.25">
      <c r="D1136" s="59" t="str">
        <f t="shared" si="86"/>
        <v/>
      </c>
      <c r="E1136" s="59" t="str">
        <f t="shared" si="88"/>
        <v/>
      </c>
      <c r="F1136" s="59" t="str">
        <f t="shared" si="89"/>
        <v/>
      </c>
      <c r="G1136" s="59" t="str">
        <f>IF($A1136="","",
   SUMIFS(Transactions!$P:$P,
          Transactions!$G:$G,$A1136,
          Transactions!$C:$C,"IN",
          Transactions!$Q:$Q,"Paid"))</f>
        <v/>
      </c>
      <c r="H1136" s="59" t="str">
        <f>IF($A1136="","",
   SUMIFS(Transactions!$P:$P,
          Transactions!$G:$G,$A1136,
          Transactions!$C:$C,"OUT"))</f>
        <v/>
      </c>
      <c r="I1136" s="65" t="str">
        <f t="shared" si="87"/>
        <v/>
      </c>
      <c r="J1136" s="59" t="str">
        <f t="shared" si="90"/>
        <v/>
      </c>
    </row>
    <row r="1137" spans="4:10" ht="22.5" customHeight="1" x14ac:dyDescent="0.25">
      <c r="D1137" s="59" t="str">
        <f t="shared" si="86"/>
        <v/>
      </c>
      <c r="E1137" s="59" t="str">
        <f t="shared" si="88"/>
        <v/>
      </c>
      <c r="F1137" s="59" t="str">
        <f t="shared" si="89"/>
        <v/>
      </c>
      <c r="G1137" s="59" t="str">
        <f>IF($A1137="","",
   SUMIFS(Transactions!$P:$P,
          Transactions!$G:$G,$A1137,
          Transactions!$C:$C,"IN",
          Transactions!$Q:$Q,"Paid"))</f>
        <v/>
      </c>
      <c r="H1137" s="59" t="str">
        <f>IF($A1137="","",
   SUMIFS(Transactions!$P:$P,
          Transactions!$G:$G,$A1137,
          Transactions!$C:$C,"OUT"))</f>
        <v/>
      </c>
      <c r="I1137" s="65" t="str">
        <f t="shared" si="87"/>
        <v/>
      </c>
      <c r="J1137" s="59" t="str">
        <f t="shared" si="90"/>
        <v/>
      </c>
    </row>
    <row r="1138" spans="4:10" ht="22.5" customHeight="1" x14ac:dyDescent="0.25">
      <c r="D1138" s="59" t="str">
        <f t="shared" si="86"/>
        <v/>
      </c>
      <c r="E1138" s="59" t="str">
        <f t="shared" si="88"/>
        <v/>
      </c>
      <c r="F1138" s="59" t="str">
        <f t="shared" si="89"/>
        <v/>
      </c>
      <c r="G1138" s="59" t="str">
        <f>IF($A1138="","",
   SUMIFS(Transactions!$P:$P,
          Transactions!$G:$G,$A1138,
          Transactions!$C:$C,"IN",
          Transactions!$Q:$Q,"Paid"))</f>
        <v/>
      </c>
      <c r="H1138" s="59" t="str">
        <f>IF($A1138="","",
   SUMIFS(Transactions!$P:$P,
          Transactions!$G:$G,$A1138,
          Transactions!$C:$C,"OUT"))</f>
        <v/>
      </c>
      <c r="I1138" s="65" t="str">
        <f t="shared" si="87"/>
        <v/>
      </c>
      <c r="J1138" s="59" t="str">
        <f t="shared" si="90"/>
        <v/>
      </c>
    </row>
    <row r="1139" spans="4:10" ht="22.5" customHeight="1" x14ac:dyDescent="0.25">
      <c r="D1139" s="59" t="str">
        <f t="shared" si="86"/>
        <v/>
      </c>
      <c r="E1139" s="59" t="str">
        <f t="shared" si="88"/>
        <v/>
      </c>
      <c r="F1139" s="59" t="str">
        <f t="shared" si="89"/>
        <v/>
      </c>
      <c r="G1139" s="59" t="str">
        <f>IF($A1139="","",
   SUMIFS(Transactions!$P:$P,
          Transactions!$G:$G,$A1139,
          Transactions!$C:$C,"IN",
          Transactions!$Q:$Q,"Paid"))</f>
        <v/>
      </c>
      <c r="H1139" s="59" t="str">
        <f>IF($A1139="","",
   SUMIFS(Transactions!$P:$P,
          Transactions!$G:$G,$A1139,
          Transactions!$C:$C,"OUT"))</f>
        <v/>
      </c>
      <c r="I1139" s="65" t="str">
        <f t="shared" si="87"/>
        <v/>
      </c>
      <c r="J1139" s="59" t="str">
        <f t="shared" si="90"/>
        <v/>
      </c>
    </row>
    <row r="1140" spans="4:10" ht="22.5" customHeight="1" x14ac:dyDescent="0.25">
      <c r="D1140" s="59" t="str">
        <f t="shared" si="86"/>
        <v/>
      </c>
      <c r="E1140" s="59" t="str">
        <f t="shared" si="88"/>
        <v/>
      </c>
      <c r="F1140" s="59" t="str">
        <f t="shared" si="89"/>
        <v/>
      </c>
      <c r="G1140" s="59" t="str">
        <f>IF($A1140="","",
   SUMIFS(Transactions!$P:$P,
          Transactions!$G:$G,$A1140,
          Transactions!$C:$C,"IN",
          Transactions!$Q:$Q,"Paid"))</f>
        <v/>
      </c>
      <c r="H1140" s="59" t="str">
        <f>IF($A1140="","",
   SUMIFS(Transactions!$P:$P,
          Transactions!$G:$G,$A1140,
          Transactions!$C:$C,"OUT"))</f>
        <v/>
      </c>
      <c r="I1140" s="65" t="str">
        <f t="shared" si="87"/>
        <v/>
      </c>
      <c r="J1140" s="59" t="str">
        <f t="shared" si="90"/>
        <v/>
      </c>
    </row>
    <row r="1141" spans="4:10" ht="22.5" customHeight="1" x14ac:dyDescent="0.25">
      <c r="D1141" s="59" t="str">
        <f t="shared" si="86"/>
        <v/>
      </c>
      <c r="E1141" s="59" t="str">
        <f t="shared" si="88"/>
        <v/>
      </c>
      <c r="F1141" s="59" t="str">
        <f t="shared" si="89"/>
        <v/>
      </c>
      <c r="G1141" s="59" t="str">
        <f>IF($A1141="","",
   SUMIFS(Transactions!$P:$P,
          Transactions!$G:$G,$A1141,
          Transactions!$C:$C,"IN",
          Transactions!$Q:$Q,"Paid"))</f>
        <v/>
      </c>
      <c r="H1141" s="59" t="str">
        <f>IF($A1141="","",
   SUMIFS(Transactions!$P:$P,
          Transactions!$G:$G,$A1141,
          Transactions!$C:$C,"OUT"))</f>
        <v/>
      </c>
      <c r="I1141" s="65" t="str">
        <f t="shared" si="87"/>
        <v/>
      </c>
      <c r="J1141" s="59" t="str">
        <f t="shared" si="90"/>
        <v/>
      </c>
    </row>
    <row r="1142" spans="4:10" ht="22.5" customHeight="1" x14ac:dyDescent="0.25">
      <c r="D1142" s="59" t="str">
        <f t="shared" si="86"/>
        <v/>
      </c>
      <c r="E1142" s="59" t="str">
        <f t="shared" si="88"/>
        <v/>
      </c>
      <c r="F1142" s="59" t="str">
        <f t="shared" si="89"/>
        <v/>
      </c>
      <c r="G1142" s="59" t="str">
        <f>IF($A1142="","",
   SUMIFS(Transactions!$P:$P,
          Transactions!$G:$G,$A1142,
          Transactions!$C:$C,"IN",
          Transactions!$Q:$Q,"Paid"))</f>
        <v/>
      </c>
      <c r="H1142" s="59" t="str">
        <f>IF($A1142="","",
   SUMIFS(Transactions!$P:$P,
          Transactions!$G:$G,$A1142,
          Transactions!$C:$C,"OUT"))</f>
        <v/>
      </c>
      <c r="I1142" s="65" t="str">
        <f t="shared" si="87"/>
        <v/>
      </c>
      <c r="J1142" s="59" t="str">
        <f t="shared" si="90"/>
        <v/>
      </c>
    </row>
    <row r="1143" spans="4:10" ht="22.5" customHeight="1" x14ac:dyDescent="0.25">
      <c r="D1143" s="59" t="str">
        <f t="shared" si="86"/>
        <v/>
      </c>
      <c r="E1143" s="59" t="str">
        <f t="shared" si="88"/>
        <v/>
      </c>
      <c r="F1143" s="59" t="str">
        <f t="shared" si="89"/>
        <v/>
      </c>
      <c r="G1143" s="59" t="str">
        <f>IF($A1143="","",
   SUMIFS(Transactions!$P:$P,
          Transactions!$G:$G,$A1143,
          Transactions!$C:$C,"IN",
          Transactions!$Q:$Q,"Paid"))</f>
        <v/>
      </c>
      <c r="H1143" s="59" t="str">
        <f>IF($A1143="","",
   SUMIFS(Transactions!$P:$P,
          Transactions!$G:$G,$A1143,
          Transactions!$C:$C,"OUT"))</f>
        <v/>
      </c>
      <c r="I1143" s="65" t="str">
        <f t="shared" si="87"/>
        <v/>
      </c>
      <c r="J1143" s="59" t="str">
        <f t="shared" si="90"/>
        <v/>
      </c>
    </row>
    <row r="1144" spans="4:10" ht="22.5" customHeight="1" x14ac:dyDescent="0.25">
      <c r="D1144" s="59" t="str">
        <f t="shared" si="86"/>
        <v/>
      </c>
      <c r="E1144" s="59" t="str">
        <f t="shared" si="88"/>
        <v/>
      </c>
      <c r="F1144" s="59" t="str">
        <f t="shared" si="89"/>
        <v/>
      </c>
      <c r="G1144" s="59" t="str">
        <f>IF($A1144="","",
   SUMIFS(Transactions!$P:$P,
          Transactions!$G:$G,$A1144,
          Transactions!$C:$C,"IN",
          Transactions!$Q:$Q,"Paid"))</f>
        <v/>
      </c>
      <c r="H1144" s="59" t="str">
        <f>IF($A1144="","",
   SUMIFS(Transactions!$P:$P,
          Transactions!$G:$G,$A1144,
          Transactions!$C:$C,"OUT"))</f>
        <v/>
      </c>
      <c r="I1144" s="65" t="str">
        <f t="shared" si="87"/>
        <v/>
      </c>
      <c r="J1144" s="59" t="str">
        <f t="shared" si="90"/>
        <v/>
      </c>
    </row>
    <row r="1145" spans="4:10" ht="22.5" customHeight="1" x14ac:dyDescent="0.25">
      <c r="D1145" s="59" t="str">
        <f t="shared" si="86"/>
        <v/>
      </c>
      <c r="E1145" s="59" t="str">
        <f t="shared" si="88"/>
        <v/>
      </c>
      <c r="F1145" s="59" t="str">
        <f t="shared" si="89"/>
        <v/>
      </c>
      <c r="G1145" s="59" t="str">
        <f>IF($A1145="","",
   SUMIFS(Transactions!$P:$P,
          Transactions!$G:$G,$A1145,
          Transactions!$C:$C,"IN",
          Transactions!$Q:$Q,"Paid"))</f>
        <v/>
      </c>
      <c r="H1145" s="59" t="str">
        <f>IF($A1145="","",
   SUMIFS(Transactions!$P:$P,
          Transactions!$G:$G,$A1145,
          Transactions!$C:$C,"OUT"))</f>
        <v/>
      </c>
      <c r="I1145" s="65" t="str">
        <f t="shared" si="87"/>
        <v/>
      </c>
      <c r="J1145" s="59" t="str">
        <f t="shared" si="90"/>
        <v/>
      </c>
    </row>
    <row r="1146" spans="4:10" ht="22.5" customHeight="1" x14ac:dyDescent="0.25">
      <c r="D1146" s="59" t="str">
        <f t="shared" si="86"/>
        <v/>
      </c>
      <c r="E1146" s="59" t="str">
        <f t="shared" si="88"/>
        <v/>
      </c>
      <c r="F1146" s="59" t="str">
        <f t="shared" si="89"/>
        <v/>
      </c>
      <c r="G1146" s="59" t="str">
        <f>IF($A1146="","",
   SUMIFS(Transactions!$P:$P,
          Transactions!$G:$G,$A1146,
          Transactions!$C:$C,"IN",
          Transactions!$Q:$Q,"Paid"))</f>
        <v/>
      </c>
      <c r="H1146" s="59" t="str">
        <f>IF($A1146="","",
   SUMIFS(Transactions!$P:$P,
          Transactions!$G:$G,$A1146,
          Transactions!$C:$C,"OUT"))</f>
        <v/>
      </c>
      <c r="I1146" s="65" t="str">
        <f t="shared" si="87"/>
        <v/>
      </c>
      <c r="J1146" s="59" t="str">
        <f t="shared" si="90"/>
        <v/>
      </c>
    </row>
    <row r="1147" spans="4:10" ht="22.5" customHeight="1" x14ac:dyDescent="0.25">
      <c r="D1147" s="59" t="str">
        <f t="shared" si="86"/>
        <v/>
      </c>
      <c r="E1147" s="59" t="str">
        <f t="shared" si="88"/>
        <v/>
      </c>
      <c r="F1147" s="59" t="str">
        <f t="shared" si="89"/>
        <v/>
      </c>
      <c r="G1147" s="59" t="str">
        <f>IF($A1147="","",
   SUMIFS(Transactions!$P:$P,
          Transactions!$G:$G,$A1147,
          Transactions!$C:$C,"IN",
          Transactions!$Q:$Q,"Paid"))</f>
        <v/>
      </c>
      <c r="H1147" s="59" t="str">
        <f>IF($A1147="","",
   SUMIFS(Transactions!$P:$P,
          Transactions!$G:$G,$A1147,
          Transactions!$C:$C,"OUT"))</f>
        <v/>
      </c>
      <c r="I1147" s="65" t="str">
        <f t="shared" si="87"/>
        <v/>
      </c>
      <c r="J1147" s="59" t="str">
        <f t="shared" si="90"/>
        <v/>
      </c>
    </row>
    <row r="1148" spans="4:10" ht="22.5" customHeight="1" x14ac:dyDescent="0.25">
      <c r="D1148" s="59" t="str">
        <f t="shared" si="86"/>
        <v/>
      </c>
      <c r="E1148" s="59" t="str">
        <f t="shared" si="88"/>
        <v/>
      </c>
      <c r="F1148" s="59" t="str">
        <f t="shared" si="89"/>
        <v/>
      </c>
      <c r="G1148" s="59" t="str">
        <f>IF($A1148="","",
   SUMIFS(Transactions!$P:$P,
          Transactions!$G:$G,$A1148,
          Transactions!$C:$C,"IN",
          Transactions!$Q:$Q,"Paid"))</f>
        <v/>
      </c>
      <c r="H1148" s="59" t="str">
        <f>IF($A1148="","",
   SUMIFS(Transactions!$P:$P,
          Transactions!$G:$G,$A1148,
          Transactions!$C:$C,"OUT"))</f>
        <v/>
      </c>
      <c r="I1148" s="65" t="str">
        <f t="shared" si="87"/>
        <v/>
      </c>
      <c r="J1148" s="59" t="str">
        <f t="shared" si="90"/>
        <v/>
      </c>
    </row>
    <row r="1149" spans="4:10" ht="22.5" customHeight="1" x14ac:dyDescent="0.25">
      <c r="D1149" s="59" t="str">
        <f t="shared" si="86"/>
        <v/>
      </c>
      <c r="E1149" s="59" t="str">
        <f t="shared" si="88"/>
        <v/>
      </c>
      <c r="F1149" s="59" t="str">
        <f t="shared" si="89"/>
        <v/>
      </c>
      <c r="G1149" s="59" t="str">
        <f>IF($A1149="","",
   SUMIFS(Transactions!$P:$P,
          Transactions!$G:$G,$A1149,
          Transactions!$C:$C,"IN",
          Transactions!$Q:$Q,"Paid"))</f>
        <v/>
      </c>
      <c r="H1149" s="59" t="str">
        <f>IF($A1149="","",
   SUMIFS(Transactions!$P:$P,
          Transactions!$G:$G,$A1149,
          Transactions!$C:$C,"OUT"))</f>
        <v/>
      </c>
      <c r="I1149" s="65" t="str">
        <f t="shared" si="87"/>
        <v/>
      </c>
      <c r="J1149" s="59" t="str">
        <f t="shared" si="90"/>
        <v/>
      </c>
    </row>
    <row r="1150" spans="4:10" ht="22.5" customHeight="1" x14ac:dyDescent="0.25">
      <c r="D1150" s="59" t="str">
        <f t="shared" si="86"/>
        <v/>
      </c>
      <c r="E1150" s="59" t="str">
        <f t="shared" si="88"/>
        <v/>
      </c>
      <c r="F1150" s="59" t="str">
        <f t="shared" si="89"/>
        <v/>
      </c>
      <c r="G1150" s="59" t="str">
        <f>IF($A1150="","",
   SUMIFS(Transactions!$P:$P,
          Transactions!$G:$G,$A1150,
          Transactions!$C:$C,"IN",
          Transactions!$Q:$Q,"Paid"))</f>
        <v/>
      </c>
      <c r="H1150" s="59" t="str">
        <f>IF($A1150="","",
   SUMIFS(Transactions!$P:$P,
          Transactions!$G:$G,$A1150,
          Transactions!$C:$C,"OUT"))</f>
        <v/>
      </c>
      <c r="I1150" s="65" t="str">
        <f t="shared" si="87"/>
        <v/>
      </c>
      <c r="J1150" s="59" t="str">
        <f t="shared" si="90"/>
        <v/>
      </c>
    </row>
    <row r="1151" spans="4:10" ht="22.5" customHeight="1" x14ac:dyDescent="0.25">
      <c r="D1151" s="59" t="str">
        <f t="shared" si="86"/>
        <v/>
      </c>
      <c r="E1151" s="59" t="str">
        <f t="shared" si="88"/>
        <v/>
      </c>
      <c r="F1151" s="59" t="str">
        <f t="shared" si="89"/>
        <v/>
      </c>
      <c r="G1151" s="59" t="str">
        <f>IF($A1151="","",
   SUMIFS(Transactions!$P:$P,
          Transactions!$G:$G,$A1151,
          Transactions!$C:$C,"IN",
          Transactions!$Q:$Q,"Paid"))</f>
        <v/>
      </c>
      <c r="H1151" s="59" t="str">
        <f>IF($A1151="","",
   SUMIFS(Transactions!$P:$P,
          Transactions!$G:$G,$A1151,
          Transactions!$C:$C,"OUT"))</f>
        <v/>
      </c>
      <c r="I1151" s="65" t="str">
        <f t="shared" si="87"/>
        <v/>
      </c>
      <c r="J1151" s="59" t="str">
        <f t="shared" si="90"/>
        <v/>
      </c>
    </row>
    <row r="1152" spans="4:10" ht="22.5" customHeight="1" x14ac:dyDescent="0.25">
      <c r="D1152" s="59" t="str">
        <f t="shared" si="86"/>
        <v/>
      </c>
      <c r="E1152" s="59" t="str">
        <f t="shared" si="88"/>
        <v/>
      </c>
      <c r="F1152" s="59" t="str">
        <f t="shared" si="89"/>
        <v/>
      </c>
      <c r="G1152" s="59" t="str">
        <f>IF($A1152="","",
   SUMIFS(Transactions!$P:$P,
          Transactions!$G:$G,$A1152,
          Transactions!$C:$C,"IN",
          Transactions!$Q:$Q,"Paid"))</f>
        <v/>
      </c>
      <c r="H1152" s="59" t="str">
        <f>IF($A1152="","",
   SUMIFS(Transactions!$P:$P,
          Transactions!$G:$G,$A1152,
          Transactions!$C:$C,"OUT"))</f>
        <v/>
      </c>
      <c r="I1152" s="65" t="str">
        <f t="shared" si="87"/>
        <v/>
      </c>
      <c r="J1152" s="59" t="str">
        <f t="shared" si="90"/>
        <v/>
      </c>
    </row>
    <row r="1153" spans="4:10" ht="22.5" customHeight="1" x14ac:dyDescent="0.25">
      <c r="D1153" s="59" t="str">
        <f t="shared" si="86"/>
        <v/>
      </c>
      <c r="E1153" s="59" t="str">
        <f t="shared" si="88"/>
        <v/>
      </c>
      <c r="F1153" s="59" t="str">
        <f t="shared" si="89"/>
        <v/>
      </c>
      <c r="G1153" s="59" t="str">
        <f>IF($A1153="","",
   SUMIFS(Transactions!$P:$P,
          Transactions!$G:$G,$A1153,
          Transactions!$C:$C,"IN",
          Transactions!$Q:$Q,"Paid"))</f>
        <v/>
      </c>
      <c r="H1153" s="59" t="str">
        <f>IF($A1153="","",
   SUMIFS(Transactions!$P:$P,
          Transactions!$G:$G,$A1153,
          Transactions!$C:$C,"OUT"))</f>
        <v/>
      </c>
      <c r="I1153" s="65" t="str">
        <f t="shared" si="87"/>
        <v/>
      </c>
      <c r="J1153" s="59" t="str">
        <f t="shared" si="90"/>
        <v/>
      </c>
    </row>
    <row r="1154" spans="4:10" ht="22.5" customHeight="1" x14ac:dyDescent="0.25">
      <c r="D1154" s="59" t="str">
        <f t="shared" si="86"/>
        <v/>
      </c>
      <c r="E1154" s="59" t="str">
        <f t="shared" si="88"/>
        <v/>
      </c>
      <c r="F1154" s="59" t="str">
        <f t="shared" si="89"/>
        <v/>
      </c>
      <c r="G1154" s="59" t="str">
        <f>IF($A1154="","",
   SUMIFS(Transactions!$P:$P,
          Transactions!$G:$G,$A1154,
          Transactions!$C:$C,"IN",
          Transactions!$Q:$Q,"Paid"))</f>
        <v/>
      </c>
      <c r="H1154" s="59" t="str">
        <f>IF($A1154="","",
   SUMIFS(Transactions!$P:$P,
          Transactions!$G:$G,$A1154,
          Transactions!$C:$C,"OUT"))</f>
        <v/>
      </c>
      <c r="I1154" s="65" t="str">
        <f t="shared" si="87"/>
        <v/>
      </c>
      <c r="J1154" s="59" t="str">
        <f t="shared" si="90"/>
        <v/>
      </c>
    </row>
    <row r="1155" spans="4:10" ht="22.5" customHeight="1" x14ac:dyDescent="0.25">
      <c r="D1155" s="59" t="str">
        <f t="shared" ref="D1155:D1218" si="91">IF(C1155="","",ROUND(C1155*0.15,2))</f>
        <v/>
      </c>
      <c r="E1155" s="59" t="str">
        <f t="shared" si="88"/>
        <v/>
      </c>
      <c r="F1155" s="59" t="str">
        <f t="shared" si="89"/>
        <v/>
      </c>
      <c r="G1155" s="59" t="str">
        <f>IF($A1155="","",
   SUMIFS(Transactions!$P:$P,
          Transactions!$G:$G,$A1155,
          Transactions!$C:$C,"IN",
          Transactions!$Q:$Q,"Paid"))</f>
        <v/>
      </c>
      <c r="H1155" s="59" t="str">
        <f>IF($A1155="","",
   SUMIFS(Transactions!$P:$P,
          Transactions!$G:$G,$A1155,
          Transactions!$C:$C,"OUT"))</f>
        <v/>
      </c>
      <c r="I1155" s="65" t="str">
        <f t="shared" ref="I1155:I1218" si="92">IF(C1155="","",C1155-H1155)</f>
        <v/>
      </c>
      <c r="J1155" s="59" t="str">
        <f t="shared" si="90"/>
        <v/>
      </c>
    </row>
    <row r="1156" spans="4:10" ht="22.5" customHeight="1" x14ac:dyDescent="0.25">
      <c r="D1156" s="59" t="str">
        <f t="shared" si="91"/>
        <v/>
      </c>
      <c r="E1156" s="59" t="str">
        <f t="shared" ref="E1156:E1219" si="93">IF(C1156="","",C1156+D1156)</f>
        <v/>
      </c>
      <c r="F1156" s="59" t="str">
        <f t="shared" ref="F1156:F1219" si="94">IF(E1156="","",E1156*0.5)</f>
        <v/>
      </c>
      <c r="G1156" s="59" t="str">
        <f>IF($A1156="","",
   SUMIFS(Transactions!$P:$P,
          Transactions!$G:$G,$A1156,
          Transactions!$C:$C,"IN",
          Transactions!$Q:$Q,"Paid"))</f>
        <v/>
      </c>
      <c r="H1156" s="59" t="str">
        <f>IF($A1156="","",
   SUMIFS(Transactions!$P:$P,
          Transactions!$G:$G,$A1156,
          Transactions!$C:$C,"OUT"))</f>
        <v/>
      </c>
      <c r="I1156" s="65" t="str">
        <f t="shared" si="92"/>
        <v/>
      </c>
      <c r="J1156" s="59" t="str">
        <f t="shared" ref="J1156:J1219" si="95">IF(E1156="","",E1156-G1156)</f>
        <v/>
      </c>
    </row>
    <row r="1157" spans="4:10" ht="22.5" customHeight="1" x14ac:dyDescent="0.25">
      <c r="D1157" s="59" t="str">
        <f t="shared" si="91"/>
        <v/>
      </c>
      <c r="E1157" s="59" t="str">
        <f t="shared" si="93"/>
        <v/>
      </c>
      <c r="F1157" s="59" t="str">
        <f t="shared" si="94"/>
        <v/>
      </c>
      <c r="G1157" s="59" t="str">
        <f>IF($A1157="","",
   SUMIFS(Transactions!$P:$P,
          Transactions!$G:$G,$A1157,
          Transactions!$C:$C,"IN",
          Transactions!$Q:$Q,"Paid"))</f>
        <v/>
      </c>
      <c r="H1157" s="59" t="str">
        <f>IF($A1157="","",
   SUMIFS(Transactions!$P:$P,
          Transactions!$G:$G,$A1157,
          Transactions!$C:$C,"OUT"))</f>
        <v/>
      </c>
      <c r="I1157" s="65" t="str">
        <f t="shared" si="92"/>
        <v/>
      </c>
      <c r="J1157" s="59" t="str">
        <f t="shared" si="95"/>
        <v/>
      </c>
    </row>
    <row r="1158" spans="4:10" ht="22.5" customHeight="1" x14ac:dyDescent="0.25">
      <c r="D1158" s="59" t="str">
        <f t="shared" si="91"/>
        <v/>
      </c>
      <c r="E1158" s="59" t="str">
        <f t="shared" si="93"/>
        <v/>
      </c>
      <c r="F1158" s="59" t="str">
        <f t="shared" si="94"/>
        <v/>
      </c>
      <c r="G1158" s="59" t="str">
        <f>IF($A1158="","",
   SUMIFS(Transactions!$P:$P,
          Transactions!$G:$G,$A1158,
          Transactions!$C:$C,"IN",
          Transactions!$Q:$Q,"Paid"))</f>
        <v/>
      </c>
      <c r="H1158" s="59" t="str">
        <f>IF($A1158="","",
   SUMIFS(Transactions!$P:$P,
          Transactions!$G:$G,$A1158,
          Transactions!$C:$C,"OUT"))</f>
        <v/>
      </c>
      <c r="I1158" s="65" t="str">
        <f t="shared" si="92"/>
        <v/>
      </c>
      <c r="J1158" s="59" t="str">
        <f t="shared" si="95"/>
        <v/>
      </c>
    </row>
    <row r="1159" spans="4:10" ht="22.5" customHeight="1" x14ac:dyDescent="0.25">
      <c r="D1159" s="59" t="str">
        <f t="shared" si="91"/>
        <v/>
      </c>
      <c r="E1159" s="59" t="str">
        <f t="shared" si="93"/>
        <v/>
      </c>
      <c r="F1159" s="59" t="str">
        <f t="shared" si="94"/>
        <v/>
      </c>
      <c r="G1159" s="59" t="str">
        <f>IF($A1159="","",
   SUMIFS(Transactions!$P:$P,
          Transactions!$G:$G,$A1159,
          Transactions!$C:$C,"IN",
          Transactions!$Q:$Q,"Paid"))</f>
        <v/>
      </c>
      <c r="H1159" s="59" t="str">
        <f>IF($A1159="","",
   SUMIFS(Transactions!$P:$P,
          Transactions!$G:$G,$A1159,
          Transactions!$C:$C,"OUT"))</f>
        <v/>
      </c>
      <c r="I1159" s="65" t="str">
        <f t="shared" si="92"/>
        <v/>
      </c>
      <c r="J1159" s="59" t="str">
        <f t="shared" si="95"/>
        <v/>
      </c>
    </row>
    <row r="1160" spans="4:10" ht="22.5" customHeight="1" x14ac:dyDescent="0.25">
      <c r="D1160" s="59" t="str">
        <f t="shared" si="91"/>
        <v/>
      </c>
      <c r="E1160" s="59" t="str">
        <f t="shared" si="93"/>
        <v/>
      </c>
      <c r="F1160" s="59" t="str">
        <f t="shared" si="94"/>
        <v/>
      </c>
      <c r="G1160" s="59" t="str">
        <f>IF($A1160="","",
   SUMIFS(Transactions!$P:$P,
          Transactions!$G:$G,$A1160,
          Transactions!$C:$C,"IN",
          Transactions!$Q:$Q,"Paid"))</f>
        <v/>
      </c>
      <c r="H1160" s="59" t="str">
        <f>IF($A1160="","",
   SUMIFS(Transactions!$P:$P,
          Transactions!$G:$G,$A1160,
          Transactions!$C:$C,"OUT"))</f>
        <v/>
      </c>
      <c r="I1160" s="65" t="str">
        <f t="shared" si="92"/>
        <v/>
      </c>
      <c r="J1160" s="59" t="str">
        <f t="shared" si="95"/>
        <v/>
      </c>
    </row>
    <row r="1161" spans="4:10" ht="22.5" customHeight="1" x14ac:dyDescent="0.25">
      <c r="D1161" s="59" t="str">
        <f t="shared" si="91"/>
        <v/>
      </c>
      <c r="E1161" s="59" t="str">
        <f t="shared" si="93"/>
        <v/>
      </c>
      <c r="F1161" s="59" t="str">
        <f t="shared" si="94"/>
        <v/>
      </c>
      <c r="G1161" s="59" t="str">
        <f>IF($A1161="","",
   SUMIFS(Transactions!$P:$P,
          Transactions!$G:$G,$A1161,
          Transactions!$C:$C,"IN",
          Transactions!$Q:$Q,"Paid"))</f>
        <v/>
      </c>
      <c r="H1161" s="59" t="str">
        <f>IF($A1161="","",
   SUMIFS(Transactions!$P:$P,
          Transactions!$G:$G,$A1161,
          Transactions!$C:$C,"OUT"))</f>
        <v/>
      </c>
      <c r="I1161" s="65" t="str">
        <f t="shared" si="92"/>
        <v/>
      </c>
      <c r="J1161" s="59" t="str">
        <f t="shared" si="95"/>
        <v/>
      </c>
    </row>
    <row r="1162" spans="4:10" ht="22.5" customHeight="1" x14ac:dyDescent="0.25">
      <c r="D1162" s="59" t="str">
        <f t="shared" si="91"/>
        <v/>
      </c>
      <c r="E1162" s="59" t="str">
        <f t="shared" si="93"/>
        <v/>
      </c>
      <c r="F1162" s="59" t="str">
        <f t="shared" si="94"/>
        <v/>
      </c>
      <c r="G1162" s="59" t="str">
        <f>IF($A1162="","",
   SUMIFS(Transactions!$P:$P,
          Transactions!$G:$G,$A1162,
          Transactions!$C:$C,"IN",
          Transactions!$Q:$Q,"Paid"))</f>
        <v/>
      </c>
      <c r="H1162" s="59" t="str">
        <f>IF($A1162="","",
   SUMIFS(Transactions!$P:$P,
          Transactions!$G:$G,$A1162,
          Transactions!$C:$C,"OUT"))</f>
        <v/>
      </c>
      <c r="I1162" s="65" t="str">
        <f t="shared" si="92"/>
        <v/>
      </c>
      <c r="J1162" s="59" t="str">
        <f t="shared" si="95"/>
        <v/>
      </c>
    </row>
    <row r="1163" spans="4:10" ht="22.5" customHeight="1" x14ac:dyDescent="0.25">
      <c r="D1163" s="59" t="str">
        <f t="shared" si="91"/>
        <v/>
      </c>
      <c r="E1163" s="59" t="str">
        <f t="shared" si="93"/>
        <v/>
      </c>
      <c r="F1163" s="59" t="str">
        <f t="shared" si="94"/>
        <v/>
      </c>
      <c r="G1163" s="59" t="str">
        <f>IF($A1163="","",
   SUMIFS(Transactions!$P:$P,
          Transactions!$G:$G,$A1163,
          Transactions!$C:$C,"IN",
          Transactions!$Q:$Q,"Paid"))</f>
        <v/>
      </c>
      <c r="H1163" s="59" t="str">
        <f>IF($A1163="","",
   SUMIFS(Transactions!$P:$P,
          Transactions!$G:$G,$A1163,
          Transactions!$C:$C,"OUT"))</f>
        <v/>
      </c>
      <c r="I1163" s="65" t="str">
        <f t="shared" si="92"/>
        <v/>
      </c>
      <c r="J1163" s="59" t="str">
        <f t="shared" si="95"/>
        <v/>
      </c>
    </row>
    <row r="1164" spans="4:10" ht="22.5" customHeight="1" x14ac:dyDescent="0.25">
      <c r="D1164" s="59" t="str">
        <f t="shared" si="91"/>
        <v/>
      </c>
      <c r="E1164" s="59" t="str">
        <f t="shared" si="93"/>
        <v/>
      </c>
      <c r="F1164" s="59" t="str">
        <f t="shared" si="94"/>
        <v/>
      </c>
      <c r="G1164" s="59" t="str">
        <f>IF($A1164="","",
   SUMIFS(Transactions!$P:$P,
          Transactions!$G:$G,$A1164,
          Transactions!$C:$C,"IN",
          Transactions!$Q:$Q,"Paid"))</f>
        <v/>
      </c>
      <c r="H1164" s="59" t="str">
        <f>IF($A1164="","",
   SUMIFS(Transactions!$P:$P,
          Transactions!$G:$G,$A1164,
          Transactions!$C:$C,"OUT"))</f>
        <v/>
      </c>
      <c r="I1164" s="65" t="str">
        <f t="shared" si="92"/>
        <v/>
      </c>
      <c r="J1164" s="59" t="str">
        <f t="shared" si="95"/>
        <v/>
      </c>
    </row>
    <row r="1165" spans="4:10" ht="22.5" customHeight="1" x14ac:dyDescent="0.25">
      <c r="D1165" s="59" t="str">
        <f t="shared" si="91"/>
        <v/>
      </c>
      <c r="E1165" s="59" t="str">
        <f t="shared" si="93"/>
        <v/>
      </c>
      <c r="F1165" s="59" t="str">
        <f t="shared" si="94"/>
        <v/>
      </c>
      <c r="G1165" s="59" t="str">
        <f>IF($A1165="","",
   SUMIFS(Transactions!$P:$P,
          Transactions!$G:$G,$A1165,
          Transactions!$C:$C,"IN",
          Transactions!$Q:$Q,"Paid"))</f>
        <v/>
      </c>
      <c r="H1165" s="59" t="str">
        <f>IF($A1165="","",
   SUMIFS(Transactions!$P:$P,
          Transactions!$G:$G,$A1165,
          Transactions!$C:$C,"OUT"))</f>
        <v/>
      </c>
      <c r="I1165" s="65" t="str">
        <f t="shared" si="92"/>
        <v/>
      </c>
      <c r="J1165" s="59" t="str">
        <f t="shared" si="95"/>
        <v/>
      </c>
    </row>
    <row r="1166" spans="4:10" ht="22.5" customHeight="1" x14ac:dyDescent="0.25">
      <c r="D1166" s="59" t="str">
        <f t="shared" si="91"/>
        <v/>
      </c>
      <c r="E1166" s="59" t="str">
        <f t="shared" si="93"/>
        <v/>
      </c>
      <c r="F1166" s="59" t="str">
        <f t="shared" si="94"/>
        <v/>
      </c>
      <c r="G1166" s="59" t="str">
        <f>IF($A1166="","",
   SUMIFS(Transactions!$P:$P,
          Transactions!$G:$G,$A1166,
          Transactions!$C:$C,"IN",
          Transactions!$Q:$Q,"Paid"))</f>
        <v/>
      </c>
      <c r="H1166" s="59" t="str">
        <f>IF($A1166="","",
   SUMIFS(Transactions!$P:$P,
          Transactions!$G:$G,$A1166,
          Transactions!$C:$C,"OUT"))</f>
        <v/>
      </c>
      <c r="I1166" s="65" t="str">
        <f t="shared" si="92"/>
        <v/>
      </c>
      <c r="J1166" s="59" t="str">
        <f t="shared" si="95"/>
        <v/>
      </c>
    </row>
    <row r="1167" spans="4:10" ht="22.5" customHeight="1" x14ac:dyDescent="0.25">
      <c r="D1167" s="59" t="str">
        <f t="shared" si="91"/>
        <v/>
      </c>
      <c r="E1167" s="59" t="str">
        <f t="shared" si="93"/>
        <v/>
      </c>
      <c r="F1167" s="59" t="str">
        <f t="shared" si="94"/>
        <v/>
      </c>
      <c r="G1167" s="59" t="str">
        <f>IF($A1167="","",
   SUMIFS(Transactions!$P:$P,
          Transactions!$G:$G,$A1167,
          Transactions!$C:$C,"IN",
          Transactions!$Q:$Q,"Paid"))</f>
        <v/>
      </c>
      <c r="H1167" s="59" t="str">
        <f>IF($A1167="","",
   SUMIFS(Transactions!$P:$P,
          Transactions!$G:$G,$A1167,
          Transactions!$C:$C,"OUT"))</f>
        <v/>
      </c>
      <c r="I1167" s="65" t="str">
        <f t="shared" si="92"/>
        <v/>
      </c>
      <c r="J1167" s="59" t="str">
        <f t="shared" si="95"/>
        <v/>
      </c>
    </row>
    <row r="1168" spans="4:10" ht="22.5" customHeight="1" x14ac:dyDescent="0.25">
      <c r="D1168" s="59" t="str">
        <f t="shared" si="91"/>
        <v/>
      </c>
      <c r="E1168" s="59" t="str">
        <f t="shared" si="93"/>
        <v/>
      </c>
      <c r="F1168" s="59" t="str">
        <f t="shared" si="94"/>
        <v/>
      </c>
      <c r="G1168" s="59" t="str">
        <f>IF($A1168="","",
   SUMIFS(Transactions!$P:$P,
          Transactions!$G:$G,$A1168,
          Transactions!$C:$C,"IN",
          Transactions!$Q:$Q,"Paid"))</f>
        <v/>
      </c>
      <c r="H1168" s="59" t="str">
        <f>IF($A1168="","",
   SUMIFS(Transactions!$P:$P,
          Transactions!$G:$G,$A1168,
          Transactions!$C:$C,"OUT"))</f>
        <v/>
      </c>
      <c r="I1168" s="65" t="str">
        <f t="shared" si="92"/>
        <v/>
      </c>
      <c r="J1168" s="59" t="str">
        <f t="shared" si="95"/>
        <v/>
      </c>
    </row>
    <row r="1169" spans="4:10" ht="22.5" customHeight="1" x14ac:dyDescent="0.25">
      <c r="D1169" s="59" t="str">
        <f t="shared" si="91"/>
        <v/>
      </c>
      <c r="E1169" s="59" t="str">
        <f t="shared" si="93"/>
        <v/>
      </c>
      <c r="F1169" s="59" t="str">
        <f t="shared" si="94"/>
        <v/>
      </c>
      <c r="G1169" s="59" t="str">
        <f>IF($A1169="","",
   SUMIFS(Transactions!$P:$P,
          Transactions!$G:$G,$A1169,
          Transactions!$C:$C,"IN",
          Transactions!$Q:$Q,"Paid"))</f>
        <v/>
      </c>
      <c r="H1169" s="59" t="str">
        <f>IF($A1169="","",
   SUMIFS(Transactions!$P:$P,
          Transactions!$G:$G,$A1169,
          Transactions!$C:$C,"OUT"))</f>
        <v/>
      </c>
      <c r="I1169" s="65" t="str">
        <f t="shared" si="92"/>
        <v/>
      </c>
      <c r="J1169" s="59" t="str">
        <f t="shared" si="95"/>
        <v/>
      </c>
    </row>
    <row r="1170" spans="4:10" ht="22.5" customHeight="1" x14ac:dyDescent="0.25">
      <c r="D1170" s="59" t="str">
        <f t="shared" si="91"/>
        <v/>
      </c>
      <c r="E1170" s="59" t="str">
        <f t="shared" si="93"/>
        <v/>
      </c>
      <c r="F1170" s="59" t="str">
        <f t="shared" si="94"/>
        <v/>
      </c>
      <c r="G1170" s="59" t="str">
        <f>IF($A1170="","",
   SUMIFS(Transactions!$P:$P,
          Transactions!$G:$G,$A1170,
          Transactions!$C:$C,"IN",
          Transactions!$Q:$Q,"Paid"))</f>
        <v/>
      </c>
      <c r="H1170" s="59" t="str">
        <f>IF($A1170="","",
   SUMIFS(Transactions!$P:$P,
          Transactions!$G:$G,$A1170,
          Transactions!$C:$C,"OUT"))</f>
        <v/>
      </c>
      <c r="I1170" s="65" t="str">
        <f t="shared" si="92"/>
        <v/>
      </c>
      <c r="J1170" s="59" t="str">
        <f t="shared" si="95"/>
        <v/>
      </c>
    </row>
    <row r="1171" spans="4:10" ht="22.5" customHeight="1" x14ac:dyDescent="0.25">
      <c r="D1171" s="59" t="str">
        <f t="shared" si="91"/>
        <v/>
      </c>
      <c r="E1171" s="59" t="str">
        <f t="shared" si="93"/>
        <v/>
      </c>
      <c r="F1171" s="59" t="str">
        <f t="shared" si="94"/>
        <v/>
      </c>
      <c r="G1171" s="59" t="str">
        <f>IF($A1171="","",
   SUMIFS(Transactions!$P:$P,
          Transactions!$G:$G,$A1171,
          Transactions!$C:$C,"IN",
          Transactions!$Q:$Q,"Paid"))</f>
        <v/>
      </c>
      <c r="H1171" s="59" t="str">
        <f>IF($A1171="","",
   SUMIFS(Transactions!$P:$P,
          Transactions!$G:$G,$A1171,
          Transactions!$C:$C,"OUT"))</f>
        <v/>
      </c>
      <c r="I1171" s="65" t="str">
        <f t="shared" si="92"/>
        <v/>
      </c>
      <c r="J1171" s="59" t="str">
        <f t="shared" si="95"/>
        <v/>
      </c>
    </row>
    <row r="1172" spans="4:10" ht="22.5" customHeight="1" x14ac:dyDescent="0.25">
      <c r="D1172" s="59" t="str">
        <f t="shared" si="91"/>
        <v/>
      </c>
      <c r="E1172" s="59" t="str">
        <f t="shared" si="93"/>
        <v/>
      </c>
      <c r="F1172" s="59" t="str">
        <f t="shared" si="94"/>
        <v/>
      </c>
      <c r="G1172" s="59" t="str">
        <f>IF($A1172="","",
   SUMIFS(Transactions!$P:$P,
          Transactions!$G:$G,$A1172,
          Transactions!$C:$C,"IN",
          Transactions!$Q:$Q,"Paid"))</f>
        <v/>
      </c>
      <c r="H1172" s="59" t="str">
        <f>IF($A1172="","",
   SUMIFS(Transactions!$P:$P,
          Transactions!$G:$G,$A1172,
          Transactions!$C:$C,"OUT"))</f>
        <v/>
      </c>
      <c r="I1172" s="65" t="str">
        <f t="shared" si="92"/>
        <v/>
      </c>
      <c r="J1172" s="59" t="str">
        <f t="shared" si="95"/>
        <v/>
      </c>
    </row>
    <row r="1173" spans="4:10" ht="22.5" customHeight="1" x14ac:dyDescent="0.25">
      <c r="D1173" s="59" t="str">
        <f t="shared" si="91"/>
        <v/>
      </c>
      <c r="E1173" s="59" t="str">
        <f t="shared" si="93"/>
        <v/>
      </c>
      <c r="F1173" s="59" t="str">
        <f t="shared" si="94"/>
        <v/>
      </c>
      <c r="G1173" s="59" t="str">
        <f>IF($A1173="","",
   SUMIFS(Transactions!$P:$P,
          Transactions!$G:$G,$A1173,
          Transactions!$C:$C,"IN",
          Transactions!$Q:$Q,"Paid"))</f>
        <v/>
      </c>
      <c r="H1173" s="59" t="str">
        <f>IF($A1173="","",
   SUMIFS(Transactions!$P:$P,
          Transactions!$G:$G,$A1173,
          Transactions!$C:$C,"OUT"))</f>
        <v/>
      </c>
      <c r="I1173" s="65" t="str">
        <f t="shared" si="92"/>
        <v/>
      </c>
      <c r="J1173" s="59" t="str">
        <f t="shared" si="95"/>
        <v/>
      </c>
    </row>
    <row r="1174" spans="4:10" ht="22.5" customHeight="1" x14ac:dyDescent="0.25">
      <c r="D1174" s="59" t="str">
        <f t="shared" si="91"/>
        <v/>
      </c>
      <c r="E1174" s="59" t="str">
        <f t="shared" si="93"/>
        <v/>
      </c>
      <c r="F1174" s="59" t="str">
        <f t="shared" si="94"/>
        <v/>
      </c>
      <c r="G1174" s="59" t="str">
        <f>IF($A1174="","",
   SUMIFS(Transactions!$P:$P,
          Transactions!$G:$G,$A1174,
          Transactions!$C:$C,"IN",
          Transactions!$Q:$Q,"Paid"))</f>
        <v/>
      </c>
      <c r="H1174" s="59" t="str">
        <f>IF($A1174="","",
   SUMIFS(Transactions!$P:$P,
          Transactions!$G:$G,$A1174,
          Transactions!$C:$C,"OUT"))</f>
        <v/>
      </c>
      <c r="I1174" s="65" t="str">
        <f t="shared" si="92"/>
        <v/>
      </c>
      <c r="J1174" s="59" t="str">
        <f t="shared" si="95"/>
        <v/>
      </c>
    </row>
    <row r="1175" spans="4:10" ht="22.5" customHeight="1" x14ac:dyDescent="0.25">
      <c r="D1175" s="59" t="str">
        <f t="shared" si="91"/>
        <v/>
      </c>
      <c r="E1175" s="59" t="str">
        <f t="shared" si="93"/>
        <v/>
      </c>
      <c r="F1175" s="59" t="str">
        <f t="shared" si="94"/>
        <v/>
      </c>
      <c r="G1175" s="59" t="str">
        <f>IF($A1175="","",
   SUMIFS(Transactions!$P:$P,
          Transactions!$G:$G,$A1175,
          Transactions!$C:$C,"IN",
          Transactions!$Q:$Q,"Paid"))</f>
        <v/>
      </c>
      <c r="H1175" s="59" t="str">
        <f>IF($A1175="","",
   SUMIFS(Transactions!$P:$P,
          Transactions!$G:$G,$A1175,
          Transactions!$C:$C,"OUT"))</f>
        <v/>
      </c>
      <c r="I1175" s="65" t="str">
        <f t="shared" si="92"/>
        <v/>
      </c>
      <c r="J1175" s="59" t="str">
        <f t="shared" si="95"/>
        <v/>
      </c>
    </row>
    <row r="1176" spans="4:10" ht="22.5" customHeight="1" x14ac:dyDescent="0.25">
      <c r="D1176" s="59" t="str">
        <f t="shared" si="91"/>
        <v/>
      </c>
      <c r="E1176" s="59" t="str">
        <f t="shared" si="93"/>
        <v/>
      </c>
      <c r="F1176" s="59" t="str">
        <f t="shared" si="94"/>
        <v/>
      </c>
      <c r="G1176" s="59" t="str">
        <f>IF($A1176="","",
   SUMIFS(Transactions!$P:$P,
          Transactions!$G:$G,$A1176,
          Transactions!$C:$C,"IN",
          Transactions!$Q:$Q,"Paid"))</f>
        <v/>
      </c>
      <c r="H1176" s="59" t="str">
        <f>IF($A1176="","",
   SUMIFS(Transactions!$P:$P,
          Transactions!$G:$G,$A1176,
          Transactions!$C:$C,"OUT"))</f>
        <v/>
      </c>
      <c r="I1176" s="65" t="str">
        <f t="shared" si="92"/>
        <v/>
      </c>
      <c r="J1176" s="59" t="str">
        <f t="shared" si="95"/>
        <v/>
      </c>
    </row>
    <row r="1177" spans="4:10" ht="22.5" customHeight="1" x14ac:dyDescent="0.25">
      <c r="D1177" s="59" t="str">
        <f t="shared" si="91"/>
        <v/>
      </c>
      <c r="E1177" s="59" t="str">
        <f t="shared" si="93"/>
        <v/>
      </c>
      <c r="F1177" s="59" t="str">
        <f t="shared" si="94"/>
        <v/>
      </c>
      <c r="G1177" s="59" t="str">
        <f>IF($A1177="","",
   SUMIFS(Transactions!$P:$P,
          Transactions!$G:$G,$A1177,
          Transactions!$C:$C,"IN",
          Transactions!$Q:$Q,"Paid"))</f>
        <v/>
      </c>
      <c r="H1177" s="59" t="str">
        <f>IF($A1177="","",
   SUMIFS(Transactions!$P:$P,
          Transactions!$G:$G,$A1177,
          Transactions!$C:$C,"OUT"))</f>
        <v/>
      </c>
      <c r="I1177" s="65" t="str">
        <f t="shared" si="92"/>
        <v/>
      </c>
      <c r="J1177" s="59" t="str">
        <f t="shared" si="95"/>
        <v/>
      </c>
    </row>
    <row r="1178" spans="4:10" ht="22.5" customHeight="1" x14ac:dyDescent="0.25">
      <c r="D1178" s="59" t="str">
        <f t="shared" si="91"/>
        <v/>
      </c>
      <c r="E1178" s="59" t="str">
        <f t="shared" si="93"/>
        <v/>
      </c>
      <c r="F1178" s="59" t="str">
        <f t="shared" si="94"/>
        <v/>
      </c>
      <c r="G1178" s="59" t="str">
        <f>IF($A1178="","",
   SUMIFS(Transactions!$P:$P,
          Transactions!$G:$G,$A1178,
          Transactions!$C:$C,"IN",
          Transactions!$Q:$Q,"Paid"))</f>
        <v/>
      </c>
      <c r="H1178" s="59" t="str">
        <f>IF($A1178="","",
   SUMIFS(Transactions!$P:$P,
          Transactions!$G:$G,$A1178,
          Transactions!$C:$C,"OUT"))</f>
        <v/>
      </c>
      <c r="I1178" s="65" t="str">
        <f t="shared" si="92"/>
        <v/>
      </c>
      <c r="J1178" s="59" t="str">
        <f t="shared" si="95"/>
        <v/>
      </c>
    </row>
    <row r="1179" spans="4:10" ht="22.5" customHeight="1" x14ac:dyDescent="0.25">
      <c r="D1179" s="59" t="str">
        <f t="shared" si="91"/>
        <v/>
      </c>
      <c r="E1179" s="59" t="str">
        <f t="shared" si="93"/>
        <v/>
      </c>
      <c r="F1179" s="59" t="str">
        <f t="shared" si="94"/>
        <v/>
      </c>
      <c r="G1179" s="59" t="str">
        <f>IF($A1179="","",
   SUMIFS(Transactions!$P:$P,
          Transactions!$G:$G,$A1179,
          Transactions!$C:$C,"IN",
          Transactions!$Q:$Q,"Paid"))</f>
        <v/>
      </c>
      <c r="H1179" s="59" t="str">
        <f>IF($A1179="","",
   SUMIFS(Transactions!$P:$P,
          Transactions!$G:$G,$A1179,
          Transactions!$C:$C,"OUT"))</f>
        <v/>
      </c>
      <c r="I1179" s="65" t="str">
        <f t="shared" si="92"/>
        <v/>
      </c>
      <c r="J1179" s="59" t="str">
        <f t="shared" si="95"/>
        <v/>
      </c>
    </row>
    <row r="1180" spans="4:10" ht="22.5" customHeight="1" x14ac:dyDescent="0.25">
      <c r="D1180" s="59" t="str">
        <f t="shared" si="91"/>
        <v/>
      </c>
      <c r="E1180" s="59" t="str">
        <f t="shared" si="93"/>
        <v/>
      </c>
      <c r="F1180" s="59" t="str">
        <f t="shared" si="94"/>
        <v/>
      </c>
      <c r="G1180" s="59" t="str">
        <f>IF($A1180="","",
   SUMIFS(Transactions!$P:$P,
          Transactions!$G:$G,$A1180,
          Transactions!$C:$C,"IN",
          Transactions!$Q:$Q,"Paid"))</f>
        <v/>
      </c>
      <c r="H1180" s="59" t="str">
        <f>IF($A1180="","",
   SUMIFS(Transactions!$P:$P,
          Transactions!$G:$G,$A1180,
          Transactions!$C:$C,"OUT"))</f>
        <v/>
      </c>
      <c r="I1180" s="65" t="str">
        <f t="shared" si="92"/>
        <v/>
      </c>
      <c r="J1180" s="59" t="str">
        <f t="shared" si="95"/>
        <v/>
      </c>
    </row>
    <row r="1181" spans="4:10" ht="22.5" customHeight="1" x14ac:dyDescent="0.25">
      <c r="D1181" s="59" t="str">
        <f t="shared" si="91"/>
        <v/>
      </c>
      <c r="E1181" s="59" t="str">
        <f t="shared" si="93"/>
        <v/>
      </c>
      <c r="F1181" s="59" t="str">
        <f t="shared" si="94"/>
        <v/>
      </c>
      <c r="G1181" s="59" t="str">
        <f>IF($A1181="","",
   SUMIFS(Transactions!$P:$P,
          Transactions!$G:$G,$A1181,
          Transactions!$C:$C,"IN",
          Transactions!$Q:$Q,"Paid"))</f>
        <v/>
      </c>
      <c r="H1181" s="59" t="str">
        <f>IF($A1181="","",
   SUMIFS(Transactions!$P:$P,
          Transactions!$G:$G,$A1181,
          Transactions!$C:$C,"OUT"))</f>
        <v/>
      </c>
      <c r="I1181" s="65" t="str">
        <f t="shared" si="92"/>
        <v/>
      </c>
      <c r="J1181" s="59" t="str">
        <f t="shared" si="95"/>
        <v/>
      </c>
    </row>
    <row r="1182" spans="4:10" ht="22.5" customHeight="1" x14ac:dyDescent="0.25">
      <c r="D1182" s="59" t="str">
        <f t="shared" si="91"/>
        <v/>
      </c>
      <c r="E1182" s="59" t="str">
        <f t="shared" si="93"/>
        <v/>
      </c>
      <c r="F1182" s="59" t="str">
        <f t="shared" si="94"/>
        <v/>
      </c>
      <c r="G1182" s="59" t="str">
        <f>IF($A1182="","",
   SUMIFS(Transactions!$P:$P,
          Transactions!$G:$G,$A1182,
          Transactions!$C:$C,"IN",
          Transactions!$Q:$Q,"Paid"))</f>
        <v/>
      </c>
      <c r="H1182" s="59" t="str">
        <f>IF($A1182="","",
   SUMIFS(Transactions!$P:$P,
          Transactions!$G:$G,$A1182,
          Transactions!$C:$C,"OUT"))</f>
        <v/>
      </c>
      <c r="I1182" s="65" t="str">
        <f t="shared" si="92"/>
        <v/>
      </c>
      <c r="J1182" s="59" t="str">
        <f t="shared" si="95"/>
        <v/>
      </c>
    </row>
    <row r="1183" spans="4:10" ht="22.5" customHeight="1" x14ac:dyDescent="0.25">
      <c r="D1183" s="59" t="str">
        <f t="shared" si="91"/>
        <v/>
      </c>
      <c r="E1183" s="59" t="str">
        <f t="shared" si="93"/>
        <v/>
      </c>
      <c r="F1183" s="59" t="str">
        <f t="shared" si="94"/>
        <v/>
      </c>
      <c r="G1183" s="59" t="str">
        <f>IF($A1183="","",
   SUMIFS(Transactions!$P:$P,
          Transactions!$G:$G,$A1183,
          Transactions!$C:$C,"IN",
          Transactions!$Q:$Q,"Paid"))</f>
        <v/>
      </c>
      <c r="H1183" s="59" t="str">
        <f>IF($A1183="","",
   SUMIFS(Transactions!$P:$P,
          Transactions!$G:$G,$A1183,
          Transactions!$C:$C,"OUT"))</f>
        <v/>
      </c>
      <c r="I1183" s="65" t="str">
        <f t="shared" si="92"/>
        <v/>
      </c>
      <c r="J1183" s="59" t="str">
        <f t="shared" si="95"/>
        <v/>
      </c>
    </row>
    <row r="1184" spans="4:10" ht="22.5" customHeight="1" x14ac:dyDescent="0.25">
      <c r="D1184" s="59" t="str">
        <f t="shared" si="91"/>
        <v/>
      </c>
      <c r="E1184" s="59" t="str">
        <f t="shared" si="93"/>
        <v/>
      </c>
      <c r="F1184" s="59" t="str">
        <f t="shared" si="94"/>
        <v/>
      </c>
      <c r="G1184" s="59" t="str">
        <f>IF($A1184="","",
   SUMIFS(Transactions!$P:$P,
          Transactions!$G:$G,$A1184,
          Transactions!$C:$C,"IN",
          Transactions!$Q:$Q,"Paid"))</f>
        <v/>
      </c>
      <c r="H1184" s="59" t="str">
        <f>IF($A1184="","",
   SUMIFS(Transactions!$P:$P,
          Transactions!$G:$G,$A1184,
          Transactions!$C:$C,"OUT"))</f>
        <v/>
      </c>
      <c r="I1184" s="65" t="str">
        <f t="shared" si="92"/>
        <v/>
      </c>
      <c r="J1184" s="59" t="str">
        <f t="shared" si="95"/>
        <v/>
      </c>
    </row>
    <row r="1185" spans="4:10" ht="22.5" customHeight="1" x14ac:dyDescent="0.25">
      <c r="D1185" s="59" t="str">
        <f t="shared" si="91"/>
        <v/>
      </c>
      <c r="E1185" s="59" t="str">
        <f t="shared" si="93"/>
        <v/>
      </c>
      <c r="F1185" s="59" t="str">
        <f t="shared" si="94"/>
        <v/>
      </c>
      <c r="G1185" s="59" t="str">
        <f>IF($A1185="","",
   SUMIFS(Transactions!$P:$P,
          Transactions!$G:$G,$A1185,
          Transactions!$C:$C,"IN",
          Transactions!$Q:$Q,"Paid"))</f>
        <v/>
      </c>
      <c r="H1185" s="59" t="str">
        <f>IF($A1185="","",
   SUMIFS(Transactions!$P:$P,
          Transactions!$G:$G,$A1185,
          Transactions!$C:$C,"OUT"))</f>
        <v/>
      </c>
      <c r="I1185" s="65" t="str">
        <f t="shared" si="92"/>
        <v/>
      </c>
      <c r="J1185" s="59" t="str">
        <f t="shared" si="95"/>
        <v/>
      </c>
    </row>
    <row r="1186" spans="4:10" ht="22.5" customHeight="1" x14ac:dyDescent="0.25">
      <c r="D1186" s="59" t="str">
        <f t="shared" si="91"/>
        <v/>
      </c>
      <c r="E1186" s="59" t="str">
        <f t="shared" si="93"/>
        <v/>
      </c>
      <c r="F1186" s="59" t="str">
        <f t="shared" si="94"/>
        <v/>
      </c>
      <c r="G1186" s="59" t="str">
        <f>IF($A1186="","",
   SUMIFS(Transactions!$P:$P,
          Transactions!$G:$G,$A1186,
          Transactions!$C:$C,"IN",
          Transactions!$Q:$Q,"Paid"))</f>
        <v/>
      </c>
      <c r="H1186" s="59" t="str">
        <f>IF($A1186="","",
   SUMIFS(Transactions!$P:$P,
          Transactions!$G:$G,$A1186,
          Transactions!$C:$C,"OUT"))</f>
        <v/>
      </c>
      <c r="I1186" s="65" t="str">
        <f t="shared" si="92"/>
        <v/>
      </c>
      <c r="J1186" s="59" t="str">
        <f t="shared" si="95"/>
        <v/>
      </c>
    </row>
    <row r="1187" spans="4:10" ht="22.5" customHeight="1" x14ac:dyDescent="0.25">
      <c r="D1187" s="59" t="str">
        <f t="shared" si="91"/>
        <v/>
      </c>
      <c r="E1187" s="59" t="str">
        <f t="shared" si="93"/>
        <v/>
      </c>
      <c r="F1187" s="59" t="str">
        <f t="shared" si="94"/>
        <v/>
      </c>
      <c r="G1187" s="59" t="str">
        <f>IF($A1187="","",
   SUMIFS(Transactions!$P:$P,
          Transactions!$G:$G,$A1187,
          Transactions!$C:$C,"IN",
          Transactions!$Q:$Q,"Paid"))</f>
        <v/>
      </c>
      <c r="H1187" s="59" t="str">
        <f>IF($A1187="","",
   SUMIFS(Transactions!$P:$P,
          Transactions!$G:$G,$A1187,
          Transactions!$C:$C,"OUT"))</f>
        <v/>
      </c>
      <c r="I1187" s="65" t="str">
        <f t="shared" si="92"/>
        <v/>
      </c>
      <c r="J1187" s="59" t="str">
        <f t="shared" si="95"/>
        <v/>
      </c>
    </row>
    <row r="1188" spans="4:10" ht="22.5" customHeight="1" x14ac:dyDescent="0.25">
      <c r="D1188" s="59" t="str">
        <f t="shared" si="91"/>
        <v/>
      </c>
      <c r="E1188" s="59" t="str">
        <f t="shared" si="93"/>
        <v/>
      </c>
      <c r="F1188" s="59" t="str">
        <f t="shared" si="94"/>
        <v/>
      </c>
      <c r="G1188" s="59" t="str">
        <f>IF($A1188="","",
   SUMIFS(Transactions!$P:$P,
          Transactions!$G:$G,$A1188,
          Transactions!$C:$C,"IN",
          Transactions!$Q:$Q,"Paid"))</f>
        <v/>
      </c>
      <c r="H1188" s="59" t="str">
        <f>IF($A1188="","",
   SUMIFS(Transactions!$P:$P,
          Transactions!$G:$G,$A1188,
          Transactions!$C:$C,"OUT"))</f>
        <v/>
      </c>
      <c r="I1188" s="65" t="str">
        <f t="shared" si="92"/>
        <v/>
      </c>
      <c r="J1188" s="59" t="str">
        <f t="shared" si="95"/>
        <v/>
      </c>
    </row>
    <row r="1189" spans="4:10" ht="22.5" customHeight="1" x14ac:dyDescent="0.25">
      <c r="D1189" s="59" t="str">
        <f t="shared" si="91"/>
        <v/>
      </c>
      <c r="E1189" s="59" t="str">
        <f t="shared" si="93"/>
        <v/>
      </c>
      <c r="F1189" s="59" t="str">
        <f t="shared" si="94"/>
        <v/>
      </c>
      <c r="G1189" s="59" t="str">
        <f>IF($A1189="","",
   SUMIFS(Transactions!$P:$P,
          Transactions!$G:$G,$A1189,
          Transactions!$C:$C,"IN",
          Transactions!$Q:$Q,"Paid"))</f>
        <v/>
      </c>
      <c r="H1189" s="59" t="str">
        <f>IF($A1189="","",
   SUMIFS(Transactions!$P:$P,
          Transactions!$G:$G,$A1189,
          Transactions!$C:$C,"OUT"))</f>
        <v/>
      </c>
      <c r="I1189" s="65" t="str">
        <f t="shared" si="92"/>
        <v/>
      </c>
      <c r="J1189" s="59" t="str">
        <f t="shared" si="95"/>
        <v/>
      </c>
    </row>
    <row r="1190" spans="4:10" ht="22.5" customHeight="1" x14ac:dyDescent="0.25">
      <c r="D1190" s="59" t="str">
        <f t="shared" si="91"/>
        <v/>
      </c>
      <c r="E1190" s="59" t="str">
        <f t="shared" si="93"/>
        <v/>
      </c>
      <c r="F1190" s="59" t="str">
        <f t="shared" si="94"/>
        <v/>
      </c>
      <c r="G1190" s="59" t="str">
        <f>IF($A1190="","",
   SUMIFS(Transactions!$P:$P,
          Transactions!$G:$G,$A1190,
          Transactions!$C:$C,"IN",
          Transactions!$Q:$Q,"Paid"))</f>
        <v/>
      </c>
      <c r="H1190" s="59" t="str">
        <f>IF($A1190="","",
   SUMIFS(Transactions!$P:$P,
          Transactions!$G:$G,$A1190,
          Transactions!$C:$C,"OUT"))</f>
        <v/>
      </c>
      <c r="I1190" s="65" t="str">
        <f t="shared" si="92"/>
        <v/>
      </c>
      <c r="J1190" s="59" t="str">
        <f t="shared" si="95"/>
        <v/>
      </c>
    </row>
    <row r="1191" spans="4:10" ht="22.5" customHeight="1" x14ac:dyDescent="0.25">
      <c r="D1191" s="59" t="str">
        <f t="shared" si="91"/>
        <v/>
      </c>
      <c r="E1191" s="59" t="str">
        <f t="shared" si="93"/>
        <v/>
      </c>
      <c r="F1191" s="59" t="str">
        <f t="shared" si="94"/>
        <v/>
      </c>
      <c r="G1191" s="59" t="str">
        <f>IF($A1191="","",
   SUMIFS(Transactions!$P:$P,
          Transactions!$G:$G,$A1191,
          Transactions!$C:$C,"IN",
          Transactions!$Q:$Q,"Paid"))</f>
        <v/>
      </c>
      <c r="H1191" s="59" t="str">
        <f>IF($A1191="","",
   SUMIFS(Transactions!$P:$P,
          Transactions!$G:$G,$A1191,
          Transactions!$C:$C,"OUT"))</f>
        <v/>
      </c>
      <c r="I1191" s="65" t="str">
        <f t="shared" si="92"/>
        <v/>
      </c>
      <c r="J1191" s="59" t="str">
        <f t="shared" si="95"/>
        <v/>
      </c>
    </row>
    <row r="1192" spans="4:10" ht="22.5" customHeight="1" x14ac:dyDescent="0.25">
      <c r="D1192" s="59" t="str">
        <f t="shared" si="91"/>
        <v/>
      </c>
      <c r="E1192" s="59" t="str">
        <f t="shared" si="93"/>
        <v/>
      </c>
      <c r="F1192" s="59" t="str">
        <f t="shared" si="94"/>
        <v/>
      </c>
      <c r="G1192" s="59" t="str">
        <f>IF($A1192="","",
   SUMIFS(Transactions!$P:$P,
          Transactions!$G:$G,$A1192,
          Transactions!$C:$C,"IN",
          Transactions!$Q:$Q,"Paid"))</f>
        <v/>
      </c>
      <c r="H1192" s="59" t="str">
        <f>IF($A1192="","",
   SUMIFS(Transactions!$P:$P,
          Transactions!$G:$G,$A1192,
          Transactions!$C:$C,"OUT"))</f>
        <v/>
      </c>
      <c r="I1192" s="65" t="str">
        <f t="shared" si="92"/>
        <v/>
      </c>
      <c r="J1192" s="59" t="str">
        <f t="shared" si="95"/>
        <v/>
      </c>
    </row>
    <row r="1193" spans="4:10" ht="22.5" customHeight="1" x14ac:dyDescent="0.25">
      <c r="D1193" s="59" t="str">
        <f t="shared" si="91"/>
        <v/>
      </c>
      <c r="E1193" s="59" t="str">
        <f t="shared" si="93"/>
        <v/>
      </c>
      <c r="F1193" s="59" t="str">
        <f t="shared" si="94"/>
        <v/>
      </c>
      <c r="G1193" s="59" t="str">
        <f>IF($A1193="","",
   SUMIFS(Transactions!$P:$P,
          Transactions!$G:$G,$A1193,
          Transactions!$C:$C,"IN",
          Transactions!$Q:$Q,"Paid"))</f>
        <v/>
      </c>
      <c r="H1193" s="59" t="str">
        <f>IF($A1193="","",
   SUMIFS(Transactions!$P:$P,
          Transactions!$G:$G,$A1193,
          Transactions!$C:$C,"OUT"))</f>
        <v/>
      </c>
      <c r="I1193" s="65" t="str">
        <f t="shared" si="92"/>
        <v/>
      </c>
      <c r="J1193" s="59" t="str">
        <f t="shared" si="95"/>
        <v/>
      </c>
    </row>
    <row r="1194" spans="4:10" ht="22.5" customHeight="1" x14ac:dyDescent="0.25">
      <c r="D1194" s="59" t="str">
        <f t="shared" si="91"/>
        <v/>
      </c>
      <c r="E1194" s="59" t="str">
        <f t="shared" si="93"/>
        <v/>
      </c>
      <c r="F1194" s="59" t="str">
        <f t="shared" si="94"/>
        <v/>
      </c>
      <c r="G1194" s="59" t="str">
        <f>IF($A1194="","",
   SUMIFS(Transactions!$P:$P,
          Transactions!$G:$G,$A1194,
          Transactions!$C:$C,"IN",
          Transactions!$Q:$Q,"Paid"))</f>
        <v/>
      </c>
      <c r="H1194" s="59" t="str">
        <f>IF($A1194="","",
   SUMIFS(Transactions!$P:$P,
          Transactions!$G:$G,$A1194,
          Transactions!$C:$C,"OUT"))</f>
        <v/>
      </c>
      <c r="I1194" s="65" t="str">
        <f t="shared" si="92"/>
        <v/>
      </c>
      <c r="J1194" s="59" t="str">
        <f t="shared" si="95"/>
        <v/>
      </c>
    </row>
    <row r="1195" spans="4:10" ht="22.5" customHeight="1" x14ac:dyDescent="0.25">
      <c r="D1195" s="59" t="str">
        <f t="shared" si="91"/>
        <v/>
      </c>
      <c r="E1195" s="59" t="str">
        <f t="shared" si="93"/>
        <v/>
      </c>
      <c r="F1195" s="59" t="str">
        <f t="shared" si="94"/>
        <v/>
      </c>
      <c r="G1195" s="59" t="str">
        <f>IF($A1195="","",
   SUMIFS(Transactions!$P:$P,
          Transactions!$G:$G,$A1195,
          Transactions!$C:$C,"IN",
          Transactions!$Q:$Q,"Paid"))</f>
        <v/>
      </c>
      <c r="H1195" s="59" t="str">
        <f>IF($A1195="","",
   SUMIFS(Transactions!$P:$P,
          Transactions!$G:$G,$A1195,
          Transactions!$C:$C,"OUT"))</f>
        <v/>
      </c>
      <c r="I1195" s="65" t="str">
        <f t="shared" si="92"/>
        <v/>
      </c>
      <c r="J1195" s="59" t="str">
        <f t="shared" si="95"/>
        <v/>
      </c>
    </row>
    <row r="1196" spans="4:10" ht="22.5" customHeight="1" x14ac:dyDescent="0.25">
      <c r="D1196" s="59" t="str">
        <f t="shared" si="91"/>
        <v/>
      </c>
      <c r="E1196" s="59" t="str">
        <f t="shared" si="93"/>
        <v/>
      </c>
      <c r="F1196" s="59" t="str">
        <f t="shared" si="94"/>
        <v/>
      </c>
      <c r="G1196" s="59" t="str">
        <f>IF($A1196="","",
   SUMIFS(Transactions!$P:$P,
          Transactions!$G:$G,$A1196,
          Transactions!$C:$C,"IN",
          Transactions!$Q:$Q,"Paid"))</f>
        <v/>
      </c>
      <c r="H1196" s="59" t="str">
        <f>IF($A1196="","",
   SUMIFS(Transactions!$P:$P,
          Transactions!$G:$G,$A1196,
          Transactions!$C:$C,"OUT"))</f>
        <v/>
      </c>
      <c r="I1196" s="65" t="str">
        <f t="shared" si="92"/>
        <v/>
      </c>
      <c r="J1196" s="59" t="str">
        <f t="shared" si="95"/>
        <v/>
      </c>
    </row>
    <row r="1197" spans="4:10" ht="22.5" customHeight="1" x14ac:dyDescent="0.25">
      <c r="D1197" s="59" t="str">
        <f t="shared" si="91"/>
        <v/>
      </c>
      <c r="E1197" s="59" t="str">
        <f t="shared" si="93"/>
        <v/>
      </c>
      <c r="F1197" s="59" t="str">
        <f t="shared" si="94"/>
        <v/>
      </c>
      <c r="G1197" s="59" t="str">
        <f>IF($A1197="","",
   SUMIFS(Transactions!$P:$P,
          Transactions!$G:$G,$A1197,
          Transactions!$C:$C,"IN",
          Transactions!$Q:$Q,"Paid"))</f>
        <v/>
      </c>
      <c r="H1197" s="59" t="str">
        <f>IF($A1197="","",
   SUMIFS(Transactions!$P:$P,
          Transactions!$G:$G,$A1197,
          Transactions!$C:$C,"OUT"))</f>
        <v/>
      </c>
      <c r="I1197" s="65" t="str">
        <f t="shared" si="92"/>
        <v/>
      </c>
      <c r="J1197" s="59" t="str">
        <f t="shared" si="95"/>
        <v/>
      </c>
    </row>
    <row r="1198" spans="4:10" ht="22.5" customHeight="1" x14ac:dyDescent="0.25">
      <c r="D1198" s="59" t="str">
        <f t="shared" si="91"/>
        <v/>
      </c>
      <c r="E1198" s="59" t="str">
        <f t="shared" si="93"/>
        <v/>
      </c>
      <c r="F1198" s="59" t="str">
        <f t="shared" si="94"/>
        <v/>
      </c>
      <c r="G1198" s="59" t="str">
        <f>IF($A1198="","",
   SUMIFS(Transactions!$P:$P,
          Transactions!$G:$G,$A1198,
          Transactions!$C:$C,"IN",
          Transactions!$Q:$Q,"Paid"))</f>
        <v/>
      </c>
      <c r="H1198" s="59" t="str">
        <f>IF($A1198="","",
   SUMIFS(Transactions!$P:$P,
          Transactions!$G:$G,$A1198,
          Transactions!$C:$C,"OUT"))</f>
        <v/>
      </c>
      <c r="I1198" s="65" t="str">
        <f t="shared" si="92"/>
        <v/>
      </c>
      <c r="J1198" s="59" t="str">
        <f t="shared" si="95"/>
        <v/>
      </c>
    </row>
    <row r="1199" spans="4:10" ht="22.5" customHeight="1" x14ac:dyDescent="0.25">
      <c r="D1199" s="59" t="str">
        <f t="shared" si="91"/>
        <v/>
      </c>
      <c r="E1199" s="59" t="str">
        <f t="shared" si="93"/>
        <v/>
      </c>
      <c r="F1199" s="59" t="str">
        <f t="shared" si="94"/>
        <v/>
      </c>
      <c r="G1199" s="59" t="str">
        <f>IF($A1199="","",
   SUMIFS(Transactions!$P:$P,
          Transactions!$G:$G,$A1199,
          Transactions!$C:$C,"IN",
          Transactions!$Q:$Q,"Paid"))</f>
        <v/>
      </c>
      <c r="H1199" s="59" t="str">
        <f>IF($A1199="","",
   SUMIFS(Transactions!$P:$P,
          Transactions!$G:$G,$A1199,
          Transactions!$C:$C,"OUT"))</f>
        <v/>
      </c>
      <c r="I1199" s="65" t="str">
        <f t="shared" si="92"/>
        <v/>
      </c>
      <c r="J1199" s="59" t="str">
        <f t="shared" si="95"/>
        <v/>
      </c>
    </row>
    <row r="1200" spans="4:10" ht="22.5" customHeight="1" x14ac:dyDescent="0.25">
      <c r="D1200" s="59" t="str">
        <f t="shared" si="91"/>
        <v/>
      </c>
      <c r="E1200" s="59" t="str">
        <f t="shared" si="93"/>
        <v/>
      </c>
      <c r="F1200" s="59" t="str">
        <f t="shared" si="94"/>
        <v/>
      </c>
      <c r="G1200" s="59" t="str">
        <f>IF($A1200="","",
   SUMIFS(Transactions!$P:$P,
          Transactions!$G:$G,$A1200,
          Transactions!$C:$C,"IN",
          Transactions!$Q:$Q,"Paid"))</f>
        <v/>
      </c>
      <c r="H1200" s="59" t="str">
        <f>IF($A1200="","",
   SUMIFS(Transactions!$P:$P,
          Transactions!$G:$G,$A1200,
          Transactions!$C:$C,"OUT"))</f>
        <v/>
      </c>
      <c r="I1200" s="65" t="str">
        <f t="shared" si="92"/>
        <v/>
      </c>
      <c r="J1200" s="59" t="str">
        <f t="shared" si="95"/>
        <v/>
      </c>
    </row>
    <row r="1201" spans="4:10" ht="22.5" customHeight="1" x14ac:dyDescent="0.25">
      <c r="D1201" s="59" t="str">
        <f t="shared" si="91"/>
        <v/>
      </c>
      <c r="E1201" s="59" t="str">
        <f t="shared" si="93"/>
        <v/>
      </c>
      <c r="F1201" s="59" t="str">
        <f t="shared" si="94"/>
        <v/>
      </c>
      <c r="G1201" s="59" t="str">
        <f>IF($A1201="","",
   SUMIFS(Transactions!$P:$P,
          Transactions!$G:$G,$A1201,
          Transactions!$C:$C,"IN",
          Transactions!$Q:$Q,"Paid"))</f>
        <v/>
      </c>
      <c r="H1201" s="59" t="str">
        <f>IF($A1201="","",
   SUMIFS(Transactions!$P:$P,
          Transactions!$G:$G,$A1201,
          Transactions!$C:$C,"OUT"))</f>
        <v/>
      </c>
      <c r="I1201" s="65" t="str">
        <f t="shared" si="92"/>
        <v/>
      </c>
      <c r="J1201" s="59" t="str">
        <f t="shared" si="95"/>
        <v/>
      </c>
    </row>
    <row r="1202" spans="4:10" ht="22.5" customHeight="1" x14ac:dyDescent="0.25">
      <c r="D1202" s="59" t="str">
        <f t="shared" si="91"/>
        <v/>
      </c>
      <c r="E1202" s="59" t="str">
        <f t="shared" si="93"/>
        <v/>
      </c>
      <c r="F1202" s="59" t="str">
        <f t="shared" si="94"/>
        <v/>
      </c>
      <c r="G1202" s="59" t="str">
        <f>IF($A1202="","",
   SUMIFS(Transactions!$P:$P,
          Transactions!$G:$G,$A1202,
          Transactions!$C:$C,"IN",
          Transactions!$Q:$Q,"Paid"))</f>
        <v/>
      </c>
      <c r="H1202" s="59" t="str">
        <f>IF($A1202="","",
   SUMIFS(Transactions!$P:$P,
          Transactions!$G:$G,$A1202,
          Transactions!$C:$C,"OUT"))</f>
        <v/>
      </c>
      <c r="I1202" s="65" t="str">
        <f t="shared" si="92"/>
        <v/>
      </c>
      <c r="J1202" s="59" t="str">
        <f t="shared" si="95"/>
        <v/>
      </c>
    </row>
    <row r="1203" spans="4:10" ht="22.5" customHeight="1" x14ac:dyDescent="0.25">
      <c r="D1203" s="59" t="str">
        <f t="shared" si="91"/>
        <v/>
      </c>
      <c r="E1203" s="59" t="str">
        <f t="shared" si="93"/>
        <v/>
      </c>
      <c r="F1203" s="59" t="str">
        <f t="shared" si="94"/>
        <v/>
      </c>
      <c r="G1203" s="59" t="str">
        <f>IF($A1203="","",
   SUMIFS(Transactions!$P:$P,
          Transactions!$G:$G,$A1203,
          Transactions!$C:$C,"IN",
          Transactions!$Q:$Q,"Paid"))</f>
        <v/>
      </c>
      <c r="H1203" s="59" t="str">
        <f>IF($A1203="","",
   SUMIFS(Transactions!$P:$P,
          Transactions!$G:$G,$A1203,
          Transactions!$C:$C,"OUT"))</f>
        <v/>
      </c>
      <c r="I1203" s="65" t="str">
        <f t="shared" si="92"/>
        <v/>
      </c>
      <c r="J1203" s="59" t="str">
        <f t="shared" si="95"/>
        <v/>
      </c>
    </row>
    <row r="1204" spans="4:10" ht="22.5" customHeight="1" x14ac:dyDescent="0.25">
      <c r="D1204" s="59" t="str">
        <f t="shared" si="91"/>
        <v/>
      </c>
      <c r="E1204" s="59" t="str">
        <f t="shared" si="93"/>
        <v/>
      </c>
      <c r="F1204" s="59" t="str">
        <f t="shared" si="94"/>
        <v/>
      </c>
      <c r="G1204" s="59" t="str">
        <f>IF($A1204="","",
   SUMIFS(Transactions!$P:$P,
          Transactions!$G:$G,$A1204,
          Transactions!$C:$C,"IN",
          Transactions!$Q:$Q,"Paid"))</f>
        <v/>
      </c>
      <c r="H1204" s="59" t="str">
        <f>IF($A1204="","",
   SUMIFS(Transactions!$P:$P,
          Transactions!$G:$G,$A1204,
          Transactions!$C:$C,"OUT"))</f>
        <v/>
      </c>
      <c r="I1204" s="65" t="str">
        <f t="shared" si="92"/>
        <v/>
      </c>
      <c r="J1204" s="59" t="str">
        <f t="shared" si="95"/>
        <v/>
      </c>
    </row>
    <row r="1205" spans="4:10" ht="22.5" customHeight="1" x14ac:dyDescent="0.25">
      <c r="D1205" s="59" t="str">
        <f t="shared" si="91"/>
        <v/>
      </c>
      <c r="E1205" s="59" t="str">
        <f t="shared" si="93"/>
        <v/>
      </c>
      <c r="F1205" s="59" t="str">
        <f t="shared" si="94"/>
        <v/>
      </c>
      <c r="G1205" s="59" t="str">
        <f>IF($A1205="","",
   SUMIFS(Transactions!$P:$P,
          Transactions!$G:$G,$A1205,
          Transactions!$C:$C,"IN",
          Transactions!$Q:$Q,"Paid"))</f>
        <v/>
      </c>
      <c r="H1205" s="59" t="str">
        <f>IF($A1205="","",
   SUMIFS(Transactions!$P:$P,
          Transactions!$G:$G,$A1205,
          Transactions!$C:$C,"OUT"))</f>
        <v/>
      </c>
      <c r="I1205" s="65" t="str">
        <f t="shared" si="92"/>
        <v/>
      </c>
      <c r="J1205" s="59" t="str">
        <f t="shared" si="95"/>
        <v/>
      </c>
    </row>
    <row r="1206" spans="4:10" ht="22.5" customHeight="1" x14ac:dyDescent="0.25">
      <c r="D1206" s="59" t="str">
        <f t="shared" si="91"/>
        <v/>
      </c>
      <c r="E1206" s="59" t="str">
        <f t="shared" si="93"/>
        <v/>
      </c>
      <c r="F1206" s="59" t="str">
        <f t="shared" si="94"/>
        <v/>
      </c>
      <c r="G1206" s="59" t="str">
        <f>IF($A1206="","",
   SUMIFS(Transactions!$P:$P,
          Transactions!$G:$G,$A1206,
          Transactions!$C:$C,"IN",
          Transactions!$Q:$Q,"Paid"))</f>
        <v/>
      </c>
      <c r="H1206" s="59" t="str">
        <f>IF($A1206="","",
   SUMIFS(Transactions!$P:$P,
          Transactions!$G:$G,$A1206,
          Transactions!$C:$C,"OUT"))</f>
        <v/>
      </c>
      <c r="I1206" s="65" t="str">
        <f t="shared" si="92"/>
        <v/>
      </c>
      <c r="J1206" s="59" t="str">
        <f t="shared" si="95"/>
        <v/>
      </c>
    </row>
    <row r="1207" spans="4:10" ht="22.5" customHeight="1" x14ac:dyDescent="0.25">
      <c r="D1207" s="59" t="str">
        <f t="shared" si="91"/>
        <v/>
      </c>
      <c r="E1207" s="59" t="str">
        <f t="shared" si="93"/>
        <v/>
      </c>
      <c r="F1207" s="59" t="str">
        <f t="shared" si="94"/>
        <v/>
      </c>
      <c r="G1207" s="59" t="str">
        <f>IF($A1207="","",
   SUMIFS(Transactions!$P:$P,
          Transactions!$G:$G,$A1207,
          Transactions!$C:$C,"IN",
          Transactions!$Q:$Q,"Paid"))</f>
        <v/>
      </c>
      <c r="H1207" s="59" t="str">
        <f>IF($A1207="","",
   SUMIFS(Transactions!$P:$P,
          Transactions!$G:$G,$A1207,
          Transactions!$C:$C,"OUT"))</f>
        <v/>
      </c>
      <c r="I1207" s="65" t="str">
        <f t="shared" si="92"/>
        <v/>
      </c>
      <c r="J1207" s="59" t="str">
        <f t="shared" si="95"/>
        <v/>
      </c>
    </row>
    <row r="1208" spans="4:10" ht="22.5" customHeight="1" x14ac:dyDescent="0.25">
      <c r="D1208" s="59" t="str">
        <f t="shared" si="91"/>
        <v/>
      </c>
      <c r="E1208" s="59" t="str">
        <f t="shared" si="93"/>
        <v/>
      </c>
      <c r="F1208" s="59" t="str">
        <f t="shared" si="94"/>
        <v/>
      </c>
      <c r="G1208" s="59" t="str">
        <f>IF($A1208="","",
   SUMIFS(Transactions!$P:$P,
          Transactions!$G:$G,$A1208,
          Transactions!$C:$C,"IN",
          Transactions!$Q:$Q,"Paid"))</f>
        <v/>
      </c>
      <c r="H1208" s="59" t="str">
        <f>IF($A1208="","",
   SUMIFS(Transactions!$P:$P,
          Transactions!$G:$G,$A1208,
          Transactions!$C:$C,"OUT"))</f>
        <v/>
      </c>
      <c r="I1208" s="65" t="str">
        <f t="shared" si="92"/>
        <v/>
      </c>
      <c r="J1208" s="59" t="str">
        <f t="shared" si="95"/>
        <v/>
      </c>
    </row>
    <row r="1209" spans="4:10" ht="22.5" customHeight="1" x14ac:dyDescent="0.25">
      <c r="D1209" s="59" t="str">
        <f t="shared" si="91"/>
        <v/>
      </c>
      <c r="E1209" s="59" t="str">
        <f t="shared" si="93"/>
        <v/>
      </c>
      <c r="F1209" s="59" t="str">
        <f t="shared" si="94"/>
        <v/>
      </c>
      <c r="G1209" s="59" t="str">
        <f>IF($A1209="","",
   SUMIFS(Transactions!$P:$P,
          Transactions!$G:$G,$A1209,
          Transactions!$C:$C,"IN",
          Transactions!$Q:$Q,"Paid"))</f>
        <v/>
      </c>
      <c r="H1209" s="59" t="str">
        <f>IF($A1209="","",
   SUMIFS(Transactions!$P:$P,
          Transactions!$G:$G,$A1209,
          Transactions!$C:$C,"OUT"))</f>
        <v/>
      </c>
      <c r="I1209" s="65" t="str">
        <f t="shared" si="92"/>
        <v/>
      </c>
      <c r="J1209" s="59" t="str">
        <f t="shared" si="95"/>
        <v/>
      </c>
    </row>
    <row r="1210" spans="4:10" ht="22.5" customHeight="1" x14ac:dyDescent="0.25">
      <c r="D1210" s="59" t="str">
        <f t="shared" si="91"/>
        <v/>
      </c>
      <c r="E1210" s="59" t="str">
        <f t="shared" si="93"/>
        <v/>
      </c>
      <c r="F1210" s="59" t="str">
        <f t="shared" si="94"/>
        <v/>
      </c>
      <c r="G1210" s="59" t="str">
        <f>IF($A1210="","",
   SUMIFS(Transactions!$P:$P,
          Transactions!$G:$G,$A1210,
          Transactions!$C:$C,"IN",
          Transactions!$Q:$Q,"Paid"))</f>
        <v/>
      </c>
      <c r="H1210" s="59" t="str">
        <f>IF($A1210="","",
   SUMIFS(Transactions!$P:$P,
          Transactions!$G:$G,$A1210,
          Transactions!$C:$C,"OUT"))</f>
        <v/>
      </c>
      <c r="I1210" s="65" t="str">
        <f t="shared" si="92"/>
        <v/>
      </c>
      <c r="J1210" s="59" t="str">
        <f t="shared" si="95"/>
        <v/>
      </c>
    </row>
    <row r="1211" spans="4:10" ht="22.5" customHeight="1" x14ac:dyDescent="0.25">
      <c r="D1211" s="59" t="str">
        <f t="shared" si="91"/>
        <v/>
      </c>
      <c r="E1211" s="59" t="str">
        <f t="shared" si="93"/>
        <v/>
      </c>
      <c r="F1211" s="59" t="str">
        <f t="shared" si="94"/>
        <v/>
      </c>
      <c r="G1211" s="59" t="str">
        <f>IF($A1211="","",
   SUMIFS(Transactions!$P:$P,
          Transactions!$G:$G,$A1211,
          Transactions!$C:$C,"IN",
          Transactions!$Q:$Q,"Paid"))</f>
        <v/>
      </c>
      <c r="H1211" s="59" t="str">
        <f>IF($A1211="","",
   SUMIFS(Transactions!$P:$P,
          Transactions!$G:$G,$A1211,
          Transactions!$C:$C,"OUT"))</f>
        <v/>
      </c>
      <c r="I1211" s="65" t="str">
        <f t="shared" si="92"/>
        <v/>
      </c>
      <c r="J1211" s="59" t="str">
        <f t="shared" si="95"/>
        <v/>
      </c>
    </row>
    <row r="1212" spans="4:10" ht="22.5" customHeight="1" x14ac:dyDescent="0.25">
      <c r="D1212" s="59" t="str">
        <f t="shared" si="91"/>
        <v/>
      </c>
      <c r="E1212" s="59" t="str">
        <f t="shared" si="93"/>
        <v/>
      </c>
      <c r="F1212" s="59" t="str">
        <f t="shared" si="94"/>
        <v/>
      </c>
      <c r="G1212" s="59" t="str">
        <f>IF($A1212="","",
   SUMIFS(Transactions!$P:$P,
          Transactions!$G:$G,$A1212,
          Transactions!$C:$C,"IN",
          Transactions!$Q:$Q,"Paid"))</f>
        <v/>
      </c>
      <c r="H1212" s="59" t="str">
        <f>IF($A1212="","",
   SUMIFS(Transactions!$P:$P,
          Transactions!$G:$G,$A1212,
          Transactions!$C:$C,"OUT"))</f>
        <v/>
      </c>
      <c r="I1212" s="65" t="str">
        <f t="shared" si="92"/>
        <v/>
      </c>
      <c r="J1212" s="59" t="str">
        <f t="shared" si="95"/>
        <v/>
      </c>
    </row>
    <row r="1213" spans="4:10" ht="22.5" customHeight="1" x14ac:dyDescent="0.25">
      <c r="D1213" s="59" t="str">
        <f t="shared" si="91"/>
        <v/>
      </c>
      <c r="E1213" s="59" t="str">
        <f t="shared" si="93"/>
        <v/>
      </c>
      <c r="F1213" s="59" t="str">
        <f t="shared" si="94"/>
        <v/>
      </c>
      <c r="G1213" s="59" t="str">
        <f>IF($A1213="","",
   SUMIFS(Transactions!$P:$P,
          Transactions!$G:$G,$A1213,
          Transactions!$C:$C,"IN",
          Transactions!$Q:$Q,"Paid"))</f>
        <v/>
      </c>
      <c r="H1213" s="59" t="str">
        <f>IF($A1213="","",
   SUMIFS(Transactions!$P:$P,
          Transactions!$G:$G,$A1213,
          Transactions!$C:$C,"OUT"))</f>
        <v/>
      </c>
      <c r="I1213" s="65" t="str">
        <f t="shared" si="92"/>
        <v/>
      </c>
      <c r="J1213" s="59" t="str">
        <f t="shared" si="95"/>
        <v/>
      </c>
    </row>
    <row r="1214" spans="4:10" ht="22.5" customHeight="1" x14ac:dyDescent="0.25">
      <c r="D1214" s="59" t="str">
        <f t="shared" si="91"/>
        <v/>
      </c>
      <c r="E1214" s="59" t="str">
        <f t="shared" si="93"/>
        <v/>
      </c>
      <c r="F1214" s="59" t="str">
        <f t="shared" si="94"/>
        <v/>
      </c>
      <c r="G1214" s="59" t="str">
        <f>IF($A1214="","",
   SUMIFS(Transactions!$P:$P,
          Transactions!$G:$G,$A1214,
          Transactions!$C:$C,"IN",
          Transactions!$Q:$Q,"Paid"))</f>
        <v/>
      </c>
      <c r="H1214" s="59" t="str">
        <f>IF($A1214="","",
   SUMIFS(Transactions!$P:$P,
          Transactions!$G:$G,$A1214,
          Transactions!$C:$C,"OUT"))</f>
        <v/>
      </c>
      <c r="I1214" s="65" t="str">
        <f t="shared" si="92"/>
        <v/>
      </c>
      <c r="J1214" s="59" t="str">
        <f t="shared" si="95"/>
        <v/>
      </c>
    </row>
    <row r="1215" spans="4:10" ht="22.5" customHeight="1" x14ac:dyDescent="0.25">
      <c r="D1215" s="59" t="str">
        <f t="shared" si="91"/>
        <v/>
      </c>
      <c r="E1215" s="59" t="str">
        <f t="shared" si="93"/>
        <v/>
      </c>
      <c r="F1215" s="59" t="str">
        <f t="shared" si="94"/>
        <v/>
      </c>
      <c r="G1215" s="59" t="str">
        <f>IF($A1215="","",
   SUMIFS(Transactions!$P:$P,
          Transactions!$G:$G,$A1215,
          Transactions!$C:$C,"IN",
          Transactions!$Q:$Q,"Paid"))</f>
        <v/>
      </c>
      <c r="H1215" s="59" t="str">
        <f>IF($A1215="","",
   SUMIFS(Transactions!$P:$P,
          Transactions!$G:$G,$A1215,
          Transactions!$C:$C,"OUT"))</f>
        <v/>
      </c>
      <c r="I1215" s="65" t="str">
        <f t="shared" si="92"/>
        <v/>
      </c>
      <c r="J1215" s="59" t="str">
        <f t="shared" si="95"/>
        <v/>
      </c>
    </row>
    <row r="1216" spans="4:10" ht="22.5" customHeight="1" x14ac:dyDescent="0.25">
      <c r="D1216" s="59" t="str">
        <f t="shared" si="91"/>
        <v/>
      </c>
      <c r="E1216" s="59" t="str">
        <f t="shared" si="93"/>
        <v/>
      </c>
      <c r="F1216" s="59" t="str">
        <f t="shared" si="94"/>
        <v/>
      </c>
      <c r="G1216" s="59" t="str">
        <f>IF($A1216="","",
   SUMIFS(Transactions!$P:$P,
          Transactions!$G:$G,$A1216,
          Transactions!$C:$C,"IN",
          Transactions!$Q:$Q,"Paid"))</f>
        <v/>
      </c>
      <c r="H1216" s="59" t="str">
        <f>IF($A1216="","",
   SUMIFS(Transactions!$P:$P,
          Transactions!$G:$G,$A1216,
          Transactions!$C:$C,"OUT"))</f>
        <v/>
      </c>
      <c r="I1216" s="65" t="str">
        <f t="shared" si="92"/>
        <v/>
      </c>
      <c r="J1216" s="59" t="str">
        <f t="shared" si="95"/>
        <v/>
      </c>
    </row>
    <row r="1217" spans="4:10" ht="22.5" customHeight="1" x14ac:dyDescent="0.25">
      <c r="D1217" s="59" t="str">
        <f t="shared" si="91"/>
        <v/>
      </c>
      <c r="E1217" s="59" t="str">
        <f t="shared" si="93"/>
        <v/>
      </c>
      <c r="F1217" s="59" t="str">
        <f t="shared" si="94"/>
        <v/>
      </c>
      <c r="G1217" s="59" t="str">
        <f>IF($A1217="","",
   SUMIFS(Transactions!$P:$P,
          Transactions!$G:$G,$A1217,
          Transactions!$C:$C,"IN",
          Transactions!$Q:$Q,"Paid"))</f>
        <v/>
      </c>
      <c r="H1217" s="59" t="str">
        <f>IF($A1217="","",
   SUMIFS(Transactions!$P:$P,
          Transactions!$G:$G,$A1217,
          Transactions!$C:$C,"OUT"))</f>
        <v/>
      </c>
      <c r="I1217" s="65" t="str">
        <f t="shared" si="92"/>
        <v/>
      </c>
      <c r="J1217" s="59" t="str">
        <f t="shared" si="95"/>
        <v/>
      </c>
    </row>
    <row r="1218" spans="4:10" ht="22.5" customHeight="1" x14ac:dyDescent="0.25">
      <c r="D1218" s="59" t="str">
        <f t="shared" si="91"/>
        <v/>
      </c>
      <c r="E1218" s="59" t="str">
        <f t="shared" si="93"/>
        <v/>
      </c>
      <c r="F1218" s="59" t="str">
        <f t="shared" si="94"/>
        <v/>
      </c>
      <c r="G1218" s="59" t="str">
        <f>IF($A1218="","",
   SUMIFS(Transactions!$P:$P,
          Transactions!$G:$G,$A1218,
          Transactions!$C:$C,"IN",
          Transactions!$Q:$Q,"Paid"))</f>
        <v/>
      </c>
      <c r="H1218" s="59" t="str">
        <f>IF($A1218="","",
   SUMIFS(Transactions!$P:$P,
          Transactions!$G:$G,$A1218,
          Transactions!$C:$C,"OUT"))</f>
        <v/>
      </c>
      <c r="I1218" s="65" t="str">
        <f t="shared" si="92"/>
        <v/>
      </c>
      <c r="J1218" s="59" t="str">
        <f t="shared" si="95"/>
        <v/>
      </c>
    </row>
    <row r="1219" spans="4:10" ht="22.5" customHeight="1" x14ac:dyDescent="0.25">
      <c r="D1219" s="59" t="str">
        <f t="shared" ref="D1219:D1282" si="96">IF(C1219="","",ROUND(C1219*0.15,2))</f>
        <v/>
      </c>
      <c r="E1219" s="59" t="str">
        <f t="shared" si="93"/>
        <v/>
      </c>
      <c r="F1219" s="59" t="str">
        <f t="shared" si="94"/>
        <v/>
      </c>
      <c r="G1219" s="59" t="str">
        <f>IF($A1219="","",
   SUMIFS(Transactions!$P:$P,
          Transactions!$G:$G,$A1219,
          Transactions!$C:$C,"IN",
          Transactions!$Q:$Q,"Paid"))</f>
        <v/>
      </c>
      <c r="H1219" s="59" t="str">
        <f>IF($A1219="","",
   SUMIFS(Transactions!$P:$P,
          Transactions!$G:$G,$A1219,
          Transactions!$C:$C,"OUT"))</f>
        <v/>
      </c>
      <c r="I1219" s="65" t="str">
        <f t="shared" ref="I1219:I1282" si="97">IF(C1219="","",C1219-H1219)</f>
        <v/>
      </c>
      <c r="J1219" s="59" t="str">
        <f t="shared" si="95"/>
        <v/>
      </c>
    </row>
    <row r="1220" spans="4:10" ht="22.5" customHeight="1" x14ac:dyDescent="0.25">
      <c r="D1220" s="59" t="str">
        <f t="shared" si="96"/>
        <v/>
      </c>
      <c r="E1220" s="59" t="str">
        <f t="shared" ref="E1220:E1283" si="98">IF(C1220="","",C1220+D1220)</f>
        <v/>
      </c>
      <c r="F1220" s="59" t="str">
        <f t="shared" ref="F1220:F1283" si="99">IF(E1220="","",E1220*0.5)</f>
        <v/>
      </c>
      <c r="G1220" s="59" t="str">
        <f>IF($A1220="","",
   SUMIFS(Transactions!$P:$P,
          Transactions!$G:$G,$A1220,
          Transactions!$C:$C,"IN",
          Transactions!$Q:$Q,"Paid"))</f>
        <v/>
      </c>
      <c r="H1220" s="59" t="str">
        <f>IF($A1220="","",
   SUMIFS(Transactions!$P:$P,
          Transactions!$G:$G,$A1220,
          Transactions!$C:$C,"OUT"))</f>
        <v/>
      </c>
      <c r="I1220" s="65" t="str">
        <f t="shared" si="97"/>
        <v/>
      </c>
      <c r="J1220" s="59" t="str">
        <f t="shared" ref="J1220:J1283" si="100">IF(E1220="","",E1220-G1220)</f>
        <v/>
      </c>
    </row>
    <row r="1221" spans="4:10" ht="22.5" customHeight="1" x14ac:dyDescent="0.25">
      <c r="D1221" s="59" t="str">
        <f t="shared" si="96"/>
        <v/>
      </c>
      <c r="E1221" s="59" t="str">
        <f t="shared" si="98"/>
        <v/>
      </c>
      <c r="F1221" s="59" t="str">
        <f t="shared" si="99"/>
        <v/>
      </c>
      <c r="G1221" s="59" t="str">
        <f>IF($A1221="","",
   SUMIFS(Transactions!$P:$P,
          Transactions!$G:$G,$A1221,
          Transactions!$C:$C,"IN",
          Transactions!$Q:$Q,"Paid"))</f>
        <v/>
      </c>
      <c r="H1221" s="59" t="str">
        <f>IF($A1221="","",
   SUMIFS(Transactions!$P:$P,
          Transactions!$G:$G,$A1221,
          Transactions!$C:$C,"OUT"))</f>
        <v/>
      </c>
      <c r="I1221" s="65" t="str">
        <f t="shared" si="97"/>
        <v/>
      </c>
      <c r="J1221" s="59" t="str">
        <f t="shared" si="100"/>
        <v/>
      </c>
    </row>
    <row r="1222" spans="4:10" ht="22.5" customHeight="1" x14ac:dyDescent="0.25">
      <c r="D1222" s="59" t="str">
        <f t="shared" si="96"/>
        <v/>
      </c>
      <c r="E1222" s="59" t="str">
        <f t="shared" si="98"/>
        <v/>
      </c>
      <c r="F1222" s="59" t="str">
        <f t="shared" si="99"/>
        <v/>
      </c>
      <c r="G1222" s="59" t="str">
        <f>IF($A1222="","",
   SUMIFS(Transactions!$P:$P,
          Transactions!$G:$G,$A1222,
          Transactions!$C:$C,"IN",
          Transactions!$Q:$Q,"Paid"))</f>
        <v/>
      </c>
      <c r="H1222" s="59" t="str">
        <f>IF($A1222="","",
   SUMIFS(Transactions!$P:$P,
          Transactions!$G:$G,$A1222,
          Transactions!$C:$C,"OUT"))</f>
        <v/>
      </c>
      <c r="I1222" s="65" t="str">
        <f t="shared" si="97"/>
        <v/>
      </c>
      <c r="J1222" s="59" t="str">
        <f t="shared" si="100"/>
        <v/>
      </c>
    </row>
    <row r="1223" spans="4:10" ht="22.5" customHeight="1" x14ac:dyDescent="0.25">
      <c r="D1223" s="59" t="str">
        <f t="shared" si="96"/>
        <v/>
      </c>
      <c r="E1223" s="59" t="str">
        <f t="shared" si="98"/>
        <v/>
      </c>
      <c r="F1223" s="59" t="str">
        <f t="shared" si="99"/>
        <v/>
      </c>
      <c r="G1223" s="59" t="str">
        <f>IF($A1223="","",
   SUMIFS(Transactions!$P:$P,
          Transactions!$G:$G,$A1223,
          Transactions!$C:$C,"IN",
          Transactions!$Q:$Q,"Paid"))</f>
        <v/>
      </c>
      <c r="H1223" s="59" t="str">
        <f>IF($A1223="","",
   SUMIFS(Transactions!$P:$P,
          Transactions!$G:$G,$A1223,
          Transactions!$C:$C,"OUT"))</f>
        <v/>
      </c>
      <c r="I1223" s="65" t="str">
        <f t="shared" si="97"/>
        <v/>
      </c>
      <c r="J1223" s="59" t="str">
        <f t="shared" si="100"/>
        <v/>
      </c>
    </row>
    <row r="1224" spans="4:10" ht="22.5" customHeight="1" x14ac:dyDescent="0.25">
      <c r="D1224" s="59" t="str">
        <f t="shared" si="96"/>
        <v/>
      </c>
      <c r="E1224" s="59" t="str">
        <f t="shared" si="98"/>
        <v/>
      </c>
      <c r="F1224" s="59" t="str">
        <f t="shared" si="99"/>
        <v/>
      </c>
      <c r="G1224" s="59" t="str">
        <f>IF($A1224="","",
   SUMIFS(Transactions!$P:$P,
          Transactions!$G:$G,$A1224,
          Transactions!$C:$C,"IN",
          Transactions!$Q:$Q,"Paid"))</f>
        <v/>
      </c>
      <c r="H1224" s="59" t="str">
        <f>IF($A1224="","",
   SUMIFS(Transactions!$P:$P,
          Transactions!$G:$G,$A1224,
          Transactions!$C:$C,"OUT"))</f>
        <v/>
      </c>
      <c r="I1224" s="65" t="str">
        <f t="shared" si="97"/>
        <v/>
      </c>
      <c r="J1224" s="59" t="str">
        <f t="shared" si="100"/>
        <v/>
      </c>
    </row>
    <row r="1225" spans="4:10" ht="22.5" customHeight="1" x14ac:dyDescent="0.25">
      <c r="D1225" s="59" t="str">
        <f t="shared" si="96"/>
        <v/>
      </c>
      <c r="E1225" s="59" t="str">
        <f t="shared" si="98"/>
        <v/>
      </c>
      <c r="F1225" s="59" t="str">
        <f t="shared" si="99"/>
        <v/>
      </c>
      <c r="G1225" s="59" t="str">
        <f>IF($A1225="","",
   SUMIFS(Transactions!$P:$P,
          Transactions!$G:$G,$A1225,
          Transactions!$C:$C,"IN",
          Transactions!$Q:$Q,"Paid"))</f>
        <v/>
      </c>
      <c r="H1225" s="59" t="str">
        <f>IF($A1225="","",
   SUMIFS(Transactions!$P:$P,
          Transactions!$G:$G,$A1225,
          Transactions!$C:$C,"OUT"))</f>
        <v/>
      </c>
      <c r="I1225" s="65" t="str">
        <f t="shared" si="97"/>
        <v/>
      </c>
      <c r="J1225" s="59" t="str">
        <f t="shared" si="100"/>
        <v/>
      </c>
    </row>
    <row r="1226" spans="4:10" ht="22.5" customHeight="1" x14ac:dyDescent="0.25">
      <c r="D1226" s="59" t="str">
        <f t="shared" si="96"/>
        <v/>
      </c>
      <c r="E1226" s="59" t="str">
        <f t="shared" si="98"/>
        <v/>
      </c>
      <c r="F1226" s="59" t="str">
        <f t="shared" si="99"/>
        <v/>
      </c>
      <c r="G1226" s="59" t="str">
        <f>IF($A1226="","",
   SUMIFS(Transactions!$P:$P,
          Transactions!$G:$G,$A1226,
          Transactions!$C:$C,"IN",
          Transactions!$Q:$Q,"Paid"))</f>
        <v/>
      </c>
      <c r="H1226" s="59" t="str">
        <f>IF($A1226="","",
   SUMIFS(Transactions!$P:$P,
          Transactions!$G:$G,$A1226,
          Transactions!$C:$C,"OUT"))</f>
        <v/>
      </c>
      <c r="I1226" s="65" t="str">
        <f t="shared" si="97"/>
        <v/>
      </c>
      <c r="J1226" s="59" t="str">
        <f t="shared" si="100"/>
        <v/>
      </c>
    </row>
    <row r="1227" spans="4:10" ht="22.5" customHeight="1" x14ac:dyDescent="0.25">
      <c r="D1227" s="59" t="str">
        <f t="shared" si="96"/>
        <v/>
      </c>
      <c r="E1227" s="59" t="str">
        <f t="shared" si="98"/>
        <v/>
      </c>
      <c r="F1227" s="59" t="str">
        <f t="shared" si="99"/>
        <v/>
      </c>
      <c r="G1227" s="59" t="str">
        <f>IF($A1227="","",
   SUMIFS(Transactions!$P:$P,
          Transactions!$G:$G,$A1227,
          Transactions!$C:$C,"IN",
          Transactions!$Q:$Q,"Paid"))</f>
        <v/>
      </c>
      <c r="H1227" s="59" t="str">
        <f>IF($A1227="","",
   SUMIFS(Transactions!$P:$P,
          Transactions!$G:$G,$A1227,
          Transactions!$C:$C,"OUT"))</f>
        <v/>
      </c>
      <c r="I1227" s="65" t="str">
        <f t="shared" si="97"/>
        <v/>
      </c>
      <c r="J1227" s="59" t="str">
        <f t="shared" si="100"/>
        <v/>
      </c>
    </row>
    <row r="1228" spans="4:10" ht="22.5" customHeight="1" x14ac:dyDescent="0.25">
      <c r="D1228" s="59" t="str">
        <f t="shared" si="96"/>
        <v/>
      </c>
      <c r="E1228" s="59" t="str">
        <f t="shared" si="98"/>
        <v/>
      </c>
      <c r="F1228" s="59" t="str">
        <f t="shared" si="99"/>
        <v/>
      </c>
      <c r="G1228" s="59" t="str">
        <f>IF($A1228="","",
   SUMIFS(Transactions!$P:$P,
          Transactions!$G:$G,$A1228,
          Transactions!$C:$C,"IN",
          Transactions!$Q:$Q,"Paid"))</f>
        <v/>
      </c>
      <c r="H1228" s="59" t="str">
        <f>IF($A1228="","",
   SUMIFS(Transactions!$P:$P,
          Transactions!$G:$G,$A1228,
          Transactions!$C:$C,"OUT"))</f>
        <v/>
      </c>
      <c r="I1228" s="65" t="str">
        <f t="shared" si="97"/>
        <v/>
      </c>
      <c r="J1228" s="59" t="str">
        <f t="shared" si="100"/>
        <v/>
      </c>
    </row>
    <row r="1229" spans="4:10" ht="22.5" customHeight="1" x14ac:dyDescent="0.25">
      <c r="D1229" s="59" t="str">
        <f t="shared" si="96"/>
        <v/>
      </c>
      <c r="E1229" s="59" t="str">
        <f t="shared" si="98"/>
        <v/>
      </c>
      <c r="F1229" s="59" t="str">
        <f t="shared" si="99"/>
        <v/>
      </c>
      <c r="G1229" s="59" t="str">
        <f>IF($A1229="","",
   SUMIFS(Transactions!$P:$P,
          Transactions!$G:$G,$A1229,
          Transactions!$C:$C,"IN",
          Transactions!$Q:$Q,"Paid"))</f>
        <v/>
      </c>
      <c r="H1229" s="59" t="str">
        <f>IF($A1229="","",
   SUMIFS(Transactions!$P:$P,
          Transactions!$G:$G,$A1229,
          Transactions!$C:$C,"OUT"))</f>
        <v/>
      </c>
      <c r="I1229" s="65" t="str">
        <f t="shared" si="97"/>
        <v/>
      </c>
      <c r="J1229" s="59" t="str">
        <f t="shared" si="100"/>
        <v/>
      </c>
    </row>
    <row r="1230" spans="4:10" ht="22.5" customHeight="1" x14ac:dyDescent="0.25">
      <c r="D1230" s="59" t="str">
        <f t="shared" si="96"/>
        <v/>
      </c>
      <c r="E1230" s="59" t="str">
        <f t="shared" si="98"/>
        <v/>
      </c>
      <c r="F1230" s="59" t="str">
        <f t="shared" si="99"/>
        <v/>
      </c>
      <c r="G1230" s="59" t="str">
        <f>IF($A1230="","",
   SUMIFS(Transactions!$P:$P,
          Transactions!$G:$G,$A1230,
          Transactions!$C:$C,"IN",
          Transactions!$Q:$Q,"Paid"))</f>
        <v/>
      </c>
      <c r="H1230" s="59" t="str">
        <f>IF($A1230="","",
   SUMIFS(Transactions!$P:$P,
          Transactions!$G:$G,$A1230,
          Transactions!$C:$C,"OUT"))</f>
        <v/>
      </c>
      <c r="I1230" s="65" t="str">
        <f t="shared" si="97"/>
        <v/>
      </c>
      <c r="J1230" s="59" t="str">
        <f t="shared" si="100"/>
        <v/>
      </c>
    </row>
    <row r="1231" spans="4:10" ht="22.5" customHeight="1" x14ac:dyDescent="0.25">
      <c r="D1231" s="59" t="str">
        <f t="shared" si="96"/>
        <v/>
      </c>
      <c r="E1231" s="59" t="str">
        <f t="shared" si="98"/>
        <v/>
      </c>
      <c r="F1231" s="59" t="str">
        <f t="shared" si="99"/>
        <v/>
      </c>
      <c r="G1231" s="59" t="str">
        <f>IF($A1231="","",
   SUMIFS(Transactions!$P:$P,
          Transactions!$G:$G,$A1231,
          Transactions!$C:$C,"IN",
          Transactions!$Q:$Q,"Paid"))</f>
        <v/>
      </c>
      <c r="H1231" s="59" t="str">
        <f>IF($A1231="","",
   SUMIFS(Transactions!$P:$P,
          Transactions!$G:$G,$A1231,
          Transactions!$C:$C,"OUT"))</f>
        <v/>
      </c>
      <c r="I1231" s="65" t="str">
        <f t="shared" si="97"/>
        <v/>
      </c>
      <c r="J1231" s="59" t="str">
        <f t="shared" si="100"/>
        <v/>
      </c>
    </row>
    <row r="1232" spans="4:10" ht="22.5" customHeight="1" x14ac:dyDescent="0.25">
      <c r="D1232" s="59" t="str">
        <f t="shared" si="96"/>
        <v/>
      </c>
      <c r="E1232" s="59" t="str">
        <f t="shared" si="98"/>
        <v/>
      </c>
      <c r="F1232" s="59" t="str">
        <f t="shared" si="99"/>
        <v/>
      </c>
      <c r="G1232" s="59" t="str">
        <f>IF($A1232="","",
   SUMIFS(Transactions!$P:$P,
          Transactions!$G:$G,$A1232,
          Transactions!$C:$C,"IN",
          Transactions!$Q:$Q,"Paid"))</f>
        <v/>
      </c>
      <c r="H1232" s="59" t="str">
        <f>IF($A1232="","",
   SUMIFS(Transactions!$P:$P,
          Transactions!$G:$G,$A1232,
          Transactions!$C:$C,"OUT"))</f>
        <v/>
      </c>
      <c r="I1232" s="65" t="str">
        <f t="shared" si="97"/>
        <v/>
      </c>
      <c r="J1232" s="59" t="str">
        <f t="shared" si="100"/>
        <v/>
      </c>
    </row>
    <row r="1233" spans="4:10" ht="22.5" customHeight="1" x14ac:dyDescent="0.25">
      <c r="D1233" s="59" t="str">
        <f t="shared" si="96"/>
        <v/>
      </c>
      <c r="E1233" s="59" t="str">
        <f t="shared" si="98"/>
        <v/>
      </c>
      <c r="F1233" s="59" t="str">
        <f t="shared" si="99"/>
        <v/>
      </c>
      <c r="G1233" s="59" t="str">
        <f>IF($A1233="","",
   SUMIFS(Transactions!$P:$P,
          Transactions!$G:$G,$A1233,
          Transactions!$C:$C,"IN",
          Transactions!$Q:$Q,"Paid"))</f>
        <v/>
      </c>
      <c r="H1233" s="59" t="str">
        <f>IF($A1233="","",
   SUMIFS(Transactions!$P:$P,
          Transactions!$G:$G,$A1233,
          Transactions!$C:$C,"OUT"))</f>
        <v/>
      </c>
      <c r="I1233" s="65" t="str">
        <f t="shared" si="97"/>
        <v/>
      </c>
      <c r="J1233" s="59" t="str">
        <f t="shared" si="100"/>
        <v/>
      </c>
    </row>
    <row r="1234" spans="4:10" ht="22.5" customHeight="1" x14ac:dyDescent="0.25">
      <c r="D1234" s="59" t="str">
        <f t="shared" si="96"/>
        <v/>
      </c>
      <c r="E1234" s="59" t="str">
        <f t="shared" si="98"/>
        <v/>
      </c>
      <c r="F1234" s="59" t="str">
        <f t="shared" si="99"/>
        <v/>
      </c>
      <c r="G1234" s="59" t="str">
        <f>IF($A1234="","",
   SUMIFS(Transactions!$P:$P,
          Transactions!$G:$G,$A1234,
          Transactions!$C:$C,"IN",
          Transactions!$Q:$Q,"Paid"))</f>
        <v/>
      </c>
      <c r="H1234" s="59" t="str">
        <f>IF($A1234="","",
   SUMIFS(Transactions!$P:$P,
          Transactions!$G:$G,$A1234,
          Transactions!$C:$C,"OUT"))</f>
        <v/>
      </c>
      <c r="I1234" s="65" t="str">
        <f t="shared" si="97"/>
        <v/>
      </c>
      <c r="J1234" s="59" t="str">
        <f t="shared" si="100"/>
        <v/>
      </c>
    </row>
    <row r="1235" spans="4:10" ht="22.5" customHeight="1" x14ac:dyDescent="0.25">
      <c r="D1235" s="59" t="str">
        <f t="shared" si="96"/>
        <v/>
      </c>
      <c r="E1235" s="59" t="str">
        <f t="shared" si="98"/>
        <v/>
      </c>
      <c r="F1235" s="59" t="str">
        <f t="shared" si="99"/>
        <v/>
      </c>
      <c r="G1235" s="59" t="str">
        <f>IF($A1235="","",
   SUMIFS(Transactions!$P:$P,
          Transactions!$G:$G,$A1235,
          Transactions!$C:$C,"IN",
          Transactions!$Q:$Q,"Paid"))</f>
        <v/>
      </c>
      <c r="H1235" s="59" t="str">
        <f>IF($A1235="","",
   SUMIFS(Transactions!$P:$P,
          Transactions!$G:$G,$A1235,
          Transactions!$C:$C,"OUT"))</f>
        <v/>
      </c>
      <c r="I1235" s="65" t="str">
        <f t="shared" si="97"/>
        <v/>
      </c>
      <c r="J1235" s="59" t="str">
        <f t="shared" si="100"/>
        <v/>
      </c>
    </row>
    <row r="1236" spans="4:10" ht="22.5" customHeight="1" x14ac:dyDescent="0.25">
      <c r="D1236" s="59" t="str">
        <f t="shared" si="96"/>
        <v/>
      </c>
      <c r="E1236" s="59" t="str">
        <f t="shared" si="98"/>
        <v/>
      </c>
      <c r="F1236" s="59" t="str">
        <f t="shared" si="99"/>
        <v/>
      </c>
      <c r="G1236" s="59" t="str">
        <f>IF($A1236="","",
   SUMIFS(Transactions!$P:$P,
          Transactions!$G:$G,$A1236,
          Transactions!$C:$C,"IN",
          Transactions!$Q:$Q,"Paid"))</f>
        <v/>
      </c>
      <c r="H1236" s="59" t="str">
        <f>IF($A1236="","",
   SUMIFS(Transactions!$P:$P,
          Transactions!$G:$G,$A1236,
          Transactions!$C:$C,"OUT"))</f>
        <v/>
      </c>
      <c r="I1236" s="65" t="str">
        <f t="shared" si="97"/>
        <v/>
      </c>
      <c r="J1236" s="59" t="str">
        <f t="shared" si="100"/>
        <v/>
      </c>
    </row>
    <row r="1237" spans="4:10" ht="22.5" customHeight="1" x14ac:dyDescent="0.25">
      <c r="D1237" s="59" t="str">
        <f t="shared" si="96"/>
        <v/>
      </c>
      <c r="E1237" s="59" t="str">
        <f t="shared" si="98"/>
        <v/>
      </c>
      <c r="F1237" s="59" t="str">
        <f t="shared" si="99"/>
        <v/>
      </c>
      <c r="G1237" s="59" t="str">
        <f>IF($A1237="","",
   SUMIFS(Transactions!$P:$P,
          Transactions!$G:$G,$A1237,
          Transactions!$C:$C,"IN",
          Transactions!$Q:$Q,"Paid"))</f>
        <v/>
      </c>
      <c r="H1237" s="59" t="str">
        <f>IF($A1237="","",
   SUMIFS(Transactions!$P:$P,
          Transactions!$G:$G,$A1237,
          Transactions!$C:$C,"OUT"))</f>
        <v/>
      </c>
      <c r="I1237" s="65" t="str">
        <f t="shared" si="97"/>
        <v/>
      </c>
      <c r="J1237" s="59" t="str">
        <f t="shared" si="100"/>
        <v/>
      </c>
    </row>
    <row r="1238" spans="4:10" ht="22.5" customHeight="1" x14ac:dyDescent="0.25">
      <c r="D1238" s="59" t="str">
        <f t="shared" si="96"/>
        <v/>
      </c>
      <c r="E1238" s="59" t="str">
        <f t="shared" si="98"/>
        <v/>
      </c>
      <c r="F1238" s="59" t="str">
        <f t="shared" si="99"/>
        <v/>
      </c>
      <c r="G1238" s="59" t="str">
        <f>IF($A1238="","",
   SUMIFS(Transactions!$P:$P,
          Transactions!$G:$G,$A1238,
          Transactions!$C:$C,"IN",
          Transactions!$Q:$Q,"Paid"))</f>
        <v/>
      </c>
      <c r="H1238" s="59" t="str">
        <f>IF($A1238="","",
   SUMIFS(Transactions!$P:$P,
          Transactions!$G:$G,$A1238,
          Transactions!$C:$C,"OUT"))</f>
        <v/>
      </c>
      <c r="I1238" s="65" t="str">
        <f t="shared" si="97"/>
        <v/>
      </c>
      <c r="J1238" s="59" t="str">
        <f t="shared" si="100"/>
        <v/>
      </c>
    </row>
    <row r="1239" spans="4:10" ht="22.5" customHeight="1" x14ac:dyDescent="0.25">
      <c r="D1239" s="59" t="str">
        <f t="shared" si="96"/>
        <v/>
      </c>
      <c r="E1239" s="59" t="str">
        <f t="shared" si="98"/>
        <v/>
      </c>
      <c r="F1239" s="59" t="str">
        <f t="shared" si="99"/>
        <v/>
      </c>
      <c r="G1239" s="59" t="str">
        <f>IF($A1239="","",
   SUMIFS(Transactions!$P:$P,
          Transactions!$G:$G,$A1239,
          Transactions!$C:$C,"IN",
          Transactions!$Q:$Q,"Paid"))</f>
        <v/>
      </c>
      <c r="H1239" s="59" t="str">
        <f>IF($A1239="","",
   SUMIFS(Transactions!$P:$P,
          Transactions!$G:$G,$A1239,
          Transactions!$C:$C,"OUT"))</f>
        <v/>
      </c>
      <c r="I1239" s="65" t="str">
        <f t="shared" si="97"/>
        <v/>
      </c>
      <c r="J1239" s="59" t="str">
        <f t="shared" si="100"/>
        <v/>
      </c>
    </row>
    <row r="1240" spans="4:10" ht="22.5" customHeight="1" x14ac:dyDescent="0.25">
      <c r="D1240" s="59" t="str">
        <f t="shared" si="96"/>
        <v/>
      </c>
      <c r="E1240" s="59" t="str">
        <f t="shared" si="98"/>
        <v/>
      </c>
      <c r="F1240" s="59" t="str">
        <f t="shared" si="99"/>
        <v/>
      </c>
      <c r="G1240" s="59" t="str">
        <f>IF($A1240="","",
   SUMIFS(Transactions!$P:$P,
          Transactions!$G:$G,$A1240,
          Transactions!$C:$C,"IN",
          Transactions!$Q:$Q,"Paid"))</f>
        <v/>
      </c>
      <c r="H1240" s="59" t="str">
        <f>IF($A1240="","",
   SUMIFS(Transactions!$P:$P,
          Transactions!$G:$G,$A1240,
          Transactions!$C:$C,"OUT"))</f>
        <v/>
      </c>
      <c r="I1240" s="65" t="str">
        <f t="shared" si="97"/>
        <v/>
      </c>
      <c r="J1240" s="59" t="str">
        <f t="shared" si="100"/>
        <v/>
      </c>
    </row>
    <row r="1241" spans="4:10" ht="22.5" customHeight="1" x14ac:dyDescent="0.25">
      <c r="D1241" s="59" t="str">
        <f t="shared" si="96"/>
        <v/>
      </c>
      <c r="E1241" s="59" t="str">
        <f t="shared" si="98"/>
        <v/>
      </c>
      <c r="F1241" s="59" t="str">
        <f t="shared" si="99"/>
        <v/>
      </c>
      <c r="G1241" s="59" t="str">
        <f>IF($A1241="","",
   SUMIFS(Transactions!$P:$P,
          Transactions!$G:$G,$A1241,
          Transactions!$C:$C,"IN",
          Transactions!$Q:$Q,"Paid"))</f>
        <v/>
      </c>
      <c r="H1241" s="59" t="str">
        <f>IF($A1241="","",
   SUMIFS(Transactions!$P:$P,
          Transactions!$G:$G,$A1241,
          Transactions!$C:$C,"OUT"))</f>
        <v/>
      </c>
      <c r="I1241" s="65" t="str">
        <f t="shared" si="97"/>
        <v/>
      </c>
      <c r="J1241" s="59" t="str">
        <f t="shared" si="100"/>
        <v/>
      </c>
    </row>
    <row r="1242" spans="4:10" ht="22.5" customHeight="1" x14ac:dyDescent="0.25">
      <c r="D1242" s="59" t="str">
        <f t="shared" si="96"/>
        <v/>
      </c>
      <c r="E1242" s="59" t="str">
        <f t="shared" si="98"/>
        <v/>
      </c>
      <c r="F1242" s="59" t="str">
        <f t="shared" si="99"/>
        <v/>
      </c>
      <c r="G1242" s="59" t="str">
        <f>IF($A1242="","",
   SUMIFS(Transactions!$P:$P,
          Transactions!$G:$G,$A1242,
          Transactions!$C:$C,"IN",
          Transactions!$Q:$Q,"Paid"))</f>
        <v/>
      </c>
      <c r="H1242" s="59" t="str">
        <f>IF($A1242="","",
   SUMIFS(Transactions!$P:$P,
          Transactions!$G:$G,$A1242,
          Transactions!$C:$C,"OUT"))</f>
        <v/>
      </c>
      <c r="I1242" s="65" t="str">
        <f t="shared" si="97"/>
        <v/>
      </c>
      <c r="J1242" s="59" t="str">
        <f t="shared" si="100"/>
        <v/>
      </c>
    </row>
    <row r="1243" spans="4:10" ht="22.5" customHeight="1" x14ac:dyDescent="0.25">
      <c r="D1243" s="59" t="str">
        <f t="shared" si="96"/>
        <v/>
      </c>
      <c r="E1243" s="59" t="str">
        <f t="shared" si="98"/>
        <v/>
      </c>
      <c r="F1243" s="59" t="str">
        <f t="shared" si="99"/>
        <v/>
      </c>
      <c r="G1243" s="59" t="str">
        <f>IF($A1243="","",
   SUMIFS(Transactions!$P:$P,
          Transactions!$G:$G,$A1243,
          Transactions!$C:$C,"IN",
          Transactions!$Q:$Q,"Paid"))</f>
        <v/>
      </c>
      <c r="H1243" s="59" t="str">
        <f>IF($A1243="","",
   SUMIFS(Transactions!$P:$P,
          Transactions!$G:$G,$A1243,
          Transactions!$C:$C,"OUT"))</f>
        <v/>
      </c>
      <c r="I1243" s="65" t="str">
        <f t="shared" si="97"/>
        <v/>
      </c>
      <c r="J1243" s="59" t="str">
        <f t="shared" si="100"/>
        <v/>
      </c>
    </row>
    <row r="1244" spans="4:10" ht="22.5" customHeight="1" x14ac:dyDescent="0.25">
      <c r="D1244" s="59" t="str">
        <f t="shared" si="96"/>
        <v/>
      </c>
      <c r="E1244" s="59" t="str">
        <f t="shared" si="98"/>
        <v/>
      </c>
      <c r="F1244" s="59" t="str">
        <f t="shared" si="99"/>
        <v/>
      </c>
      <c r="G1244" s="59" t="str">
        <f>IF($A1244="","",
   SUMIFS(Transactions!$P:$P,
          Transactions!$G:$G,$A1244,
          Transactions!$C:$C,"IN",
          Transactions!$Q:$Q,"Paid"))</f>
        <v/>
      </c>
      <c r="H1244" s="59" t="str">
        <f>IF($A1244="","",
   SUMIFS(Transactions!$P:$P,
          Transactions!$G:$G,$A1244,
          Transactions!$C:$C,"OUT"))</f>
        <v/>
      </c>
      <c r="I1244" s="65" t="str">
        <f t="shared" si="97"/>
        <v/>
      </c>
      <c r="J1244" s="59" t="str">
        <f t="shared" si="100"/>
        <v/>
      </c>
    </row>
    <row r="1245" spans="4:10" ht="22.5" customHeight="1" x14ac:dyDescent="0.25">
      <c r="D1245" s="59" t="str">
        <f t="shared" si="96"/>
        <v/>
      </c>
      <c r="E1245" s="59" t="str">
        <f t="shared" si="98"/>
        <v/>
      </c>
      <c r="F1245" s="59" t="str">
        <f t="shared" si="99"/>
        <v/>
      </c>
      <c r="G1245" s="59" t="str">
        <f>IF($A1245="","",
   SUMIFS(Transactions!$P:$P,
          Transactions!$G:$G,$A1245,
          Transactions!$C:$C,"IN",
          Transactions!$Q:$Q,"Paid"))</f>
        <v/>
      </c>
      <c r="H1245" s="59" t="str">
        <f>IF($A1245="","",
   SUMIFS(Transactions!$P:$P,
          Transactions!$G:$G,$A1245,
          Transactions!$C:$C,"OUT"))</f>
        <v/>
      </c>
      <c r="I1245" s="65" t="str">
        <f t="shared" si="97"/>
        <v/>
      </c>
      <c r="J1245" s="59" t="str">
        <f t="shared" si="100"/>
        <v/>
      </c>
    </row>
    <row r="1246" spans="4:10" ht="22.5" customHeight="1" x14ac:dyDescent="0.25">
      <c r="D1246" s="59" t="str">
        <f t="shared" si="96"/>
        <v/>
      </c>
      <c r="E1246" s="59" t="str">
        <f t="shared" si="98"/>
        <v/>
      </c>
      <c r="F1246" s="59" t="str">
        <f t="shared" si="99"/>
        <v/>
      </c>
      <c r="G1246" s="59" t="str">
        <f>IF($A1246="","",
   SUMIFS(Transactions!$P:$P,
          Transactions!$G:$G,$A1246,
          Transactions!$C:$C,"IN",
          Transactions!$Q:$Q,"Paid"))</f>
        <v/>
      </c>
      <c r="H1246" s="59" t="str">
        <f>IF($A1246="","",
   SUMIFS(Transactions!$P:$P,
          Transactions!$G:$G,$A1246,
          Transactions!$C:$C,"OUT"))</f>
        <v/>
      </c>
      <c r="I1246" s="65" t="str">
        <f t="shared" si="97"/>
        <v/>
      </c>
      <c r="J1246" s="59" t="str">
        <f t="shared" si="100"/>
        <v/>
      </c>
    </row>
    <row r="1247" spans="4:10" ht="22.5" customHeight="1" x14ac:dyDescent="0.25">
      <c r="D1247" s="59" t="str">
        <f t="shared" si="96"/>
        <v/>
      </c>
      <c r="E1247" s="59" t="str">
        <f t="shared" si="98"/>
        <v/>
      </c>
      <c r="F1247" s="59" t="str">
        <f t="shared" si="99"/>
        <v/>
      </c>
      <c r="G1247" s="59" t="str">
        <f>IF($A1247="","",
   SUMIFS(Transactions!$P:$P,
          Transactions!$G:$G,$A1247,
          Transactions!$C:$C,"IN",
          Transactions!$Q:$Q,"Paid"))</f>
        <v/>
      </c>
      <c r="H1247" s="59" t="str">
        <f>IF($A1247="","",
   SUMIFS(Transactions!$P:$P,
          Transactions!$G:$G,$A1247,
          Transactions!$C:$C,"OUT"))</f>
        <v/>
      </c>
      <c r="I1247" s="65" t="str">
        <f t="shared" si="97"/>
        <v/>
      </c>
      <c r="J1247" s="59" t="str">
        <f t="shared" si="100"/>
        <v/>
      </c>
    </row>
    <row r="1248" spans="4:10" ht="22.5" customHeight="1" x14ac:dyDescent="0.25">
      <c r="D1248" s="59" t="str">
        <f t="shared" si="96"/>
        <v/>
      </c>
      <c r="E1248" s="59" t="str">
        <f t="shared" si="98"/>
        <v/>
      </c>
      <c r="F1248" s="59" t="str">
        <f t="shared" si="99"/>
        <v/>
      </c>
      <c r="G1248" s="59" t="str">
        <f>IF($A1248="","",
   SUMIFS(Transactions!$P:$P,
          Transactions!$G:$G,$A1248,
          Transactions!$C:$C,"IN",
          Transactions!$Q:$Q,"Paid"))</f>
        <v/>
      </c>
      <c r="H1248" s="59" t="str">
        <f>IF($A1248="","",
   SUMIFS(Transactions!$P:$P,
          Transactions!$G:$G,$A1248,
          Transactions!$C:$C,"OUT"))</f>
        <v/>
      </c>
      <c r="I1248" s="65" t="str">
        <f t="shared" si="97"/>
        <v/>
      </c>
      <c r="J1248" s="59" t="str">
        <f t="shared" si="100"/>
        <v/>
      </c>
    </row>
    <row r="1249" spans="4:10" ht="22.5" customHeight="1" x14ac:dyDescent="0.25">
      <c r="D1249" s="59" t="str">
        <f t="shared" si="96"/>
        <v/>
      </c>
      <c r="E1249" s="59" t="str">
        <f t="shared" si="98"/>
        <v/>
      </c>
      <c r="F1249" s="59" t="str">
        <f t="shared" si="99"/>
        <v/>
      </c>
      <c r="G1249" s="59" t="str">
        <f>IF($A1249="","",
   SUMIFS(Transactions!$P:$P,
          Transactions!$G:$G,$A1249,
          Transactions!$C:$C,"IN",
          Transactions!$Q:$Q,"Paid"))</f>
        <v/>
      </c>
      <c r="H1249" s="59" t="str">
        <f>IF($A1249="","",
   SUMIFS(Transactions!$P:$P,
          Transactions!$G:$G,$A1249,
          Transactions!$C:$C,"OUT"))</f>
        <v/>
      </c>
      <c r="I1249" s="65" t="str">
        <f t="shared" si="97"/>
        <v/>
      </c>
      <c r="J1249" s="59" t="str">
        <f t="shared" si="100"/>
        <v/>
      </c>
    </row>
    <row r="1250" spans="4:10" ht="22.5" customHeight="1" x14ac:dyDescent="0.25">
      <c r="D1250" s="59" t="str">
        <f t="shared" si="96"/>
        <v/>
      </c>
      <c r="E1250" s="59" t="str">
        <f t="shared" si="98"/>
        <v/>
      </c>
      <c r="F1250" s="59" t="str">
        <f t="shared" si="99"/>
        <v/>
      </c>
      <c r="G1250" s="59" t="str">
        <f>IF($A1250="","",
   SUMIFS(Transactions!$P:$P,
          Transactions!$G:$G,$A1250,
          Transactions!$C:$C,"IN",
          Transactions!$Q:$Q,"Paid"))</f>
        <v/>
      </c>
      <c r="H1250" s="59" t="str">
        <f>IF($A1250="","",
   SUMIFS(Transactions!$P:$P,
          Transactions!$G:$G,$A1250,
          Transactions!$C:$C,"OUT"))</f>
        <v/>
      </c>
      <c r="I1250" s="65" t="str">
        <f t="shared" si="97"/>
        <v/>
      </c>
      <c r="J1250" s="59" t="str">
        <f t="shared" si="100"/>
        <v/>
      </c>
    </row>
    <row r="1251" spans="4:10" ht="22.5" customHeight="1" x14ac:dyDescent="0.25">
      <c r="D1251" s="59" t="str">
        <f t="shared" si="96"/>
        <v/>
      </c>
      <c r="E1251" s="59" t="str">
        <f t="shared" si="98"/>
        <v/>
      </c>
      <c r="F1251" s="59" t="str">
        <f t="shared" si="99"/>
        <v/>
      </c>
      <c r="G1251" s="59" t="str">
        <f>IF($A1251="","",
   SUMIFS(Transactions!$P:$P,
          Transactions!$G:$G,$A1251,
          Transactions!$C:$C,"IN",
          Transactions!$Q:$Q,"Paid"))</f>
        <v/>
      </c>
      <c r="H1251" s="59" t="str">
        <f>IF($A1251="","",
   SUMIFS(Transactions!$P:$P,
          Transactions!$G:$G,$A1251,
          Transactions!$C:$C,"OUT"))</f>
        <v/>
      </c>
      <c r="I1251" s="65" t="str">
        <f t="shared" si="97"/>
        <v/>
      </c>
      <c r="J1251" s="59" t="str">
        <f t="shared" si="100"/>
        <v/>
      </c>
    </row>
    <row r="1252" spans="4:10" ht="22.5" customHeight="1" x14ac:dyDescent="0.25">
      <c r="D1252" s="59" t="str">
        <f t="shared" si="96"/>
        <v/>
      </c>
      <c r="E1252" s="59" t="str">
        <f t="shared" si="98"/>
        <v/>
      </c>
      <c r="F1252" s="59" t="str">
        <f t="shared" si="99"/>
        <v/>
      </c>
      <c r="G1252" s="59" t="str">
        <f>IF($A1252="","",
   SUMIFS(Transactions!$P:$P,
          Transactions!$G:$G,$A1252,
          Transactions!$C:$C,"IN",
          Transactions!$Q:$Q,"Paid"))</f>
        <v/>
      </c>
      <c r="H1252" s="59" t="str">
        <f>IF($A1252="","",
   SUMIFS(Transactions!$P:$P,
          Transactions!$G:$G,$A1252,
          Transactions!$C:$C,"OUT"))</f>
        <v/>
      </c>
      <c r="I1252" s="65" t="str">
        <f t="shared" si="97"/>
        <v/>
      </c>
      <c r="J1252" s="59" t="str">
        <f t="shared" si="100"/>
        <v/>
      </c>
    </row>
    <row r="1253" spans="4:10" ht="22.5" customHeight="1" x14ac:dyDescent="0.25">
      <c r="D1253" s="59" t="str">
        <f t="shared" si="96"/>
        <v/>
      </c>
      <c r="E1253" s="59" t="str">
        <f t="shared" si="98"/>
        <v/>
      </c>
      <c r="F1253" s="59" t="str">
        <f t="shared" si="99"/>
        <v/>
      </c>
      <c r="G1253" s="59" t="str">
        <f>IF($A1253="","",
   SUMIFS(Transactions!$P:$P,
          Transactions!$G:$G,$A1253,
          Transactions!$C:$C,"IN",
          Transactions!$Q:$Q,"Paid"))</f>
        <v/>
      </c>
      <c r="H1253" s="59" t="str">
        <f>IF($A1253="","",
   SUMIFS(Transactions!$P:$P,
          Transactions!$G:$G,$A1253,
          Transactions!$C:$C,"OUT"))</f>
        <v/>
      </c>
      <c r="I1253" s="65" t="str">
        <f t="shared" si="97"/>
        <v/>
      </c>
      <c r="J1253" s="59" t="str">
        <f t="shared" si="100"/>
        <v/>
      </c>
    </row>
    <row r="1254" spans="4:10" ht="22.5" customHeight="1" x14ac:dyDescent="0.25">
      <c r="D1254" s="59" t="str">
        <f t="shared" si="96"/>
        <v/>
      </c>
      <c r="E1254" s="59" t="str">
        <f t="shared" si="98"/>
        <v/>
      </c>
      <c r="F1254" s="59" t="str">
        <f t="shared" si="99"/>
        <v/>
      </c>
      <c r="G1254" s="59" t="str">
        <f>IF($A1254="","",
   SUMIFS(Transactions!$P:$P,
          Transactions!$G:$G,$A1254,
          Transactions!$C:$C,"IN",
          Transactions!$Q:$Q,"Paid"))</f>
        <v/>
      </c>
      <c r="H1254" s="59" t="str">
        <f>IF($A1254="","",
   SUMIFS(Transactions!$P:$P,
          Transactions!$G:$G,$A1254,
          Transactions!$C:$C,"OUT"))</f>
        <v/>
      </c>
      <c r="I1254" s="65" t="str">
        <f t="shared" si="97"/>
        <v/>
      </c>
      <c r="J1254" s="59" t="str">
        <f t="shared" si="100"/>
        <v/>
      </c>
    </row>
    <row r="1255" spans="4:10" ht="22.5" customHeight="1" x14ac:dyDescent="0.25">
      <c r="D1255" s="59" t="str">
        <f t="shared" si="96"/>
        <v/>
      </c>
      <c r="E1255" s="59" t="str">
        <f t="shared" si="98"/>
        <v/>
      </c>
      <c r="F1255" s="59" t="str">
        <f t="shared" si="99"/>
        <v/>
      </c>
      <c r="G1255" s="59" t="str">
        <f>IF($A1255="","",
   SUMIFS(Transactions!$P:$P,
          Transactions!$G:$G,$A1255,
          Transactions!$C:$C,"IN",
          Transactions!$Q:$Q,"Paid"))</f>
        <v/>
      </c>
      <c r="H1255" s="59" t="str">
        <f>IF($A1255="","",
   SUMIFS(Transactions!$P:$P,
          Transactions!$G:$G,$A1255,
          Transactions!$C:$C,"OUT"))</f>
        <v/>
      </c>
      <c r="I1255" s="65" t="str">
        <f t="shared" si="97"/>
        <v/>
      </c>
      <c r="J1255" s="59" t="str">
        <f t="shared" si="100"/>
        <v/>
      </c>
    </row>
    <row r="1256" spans="4:10" ht="22.5" customHeight="1" x14ac:dyDescent="0.25">
      <c r="D1256" s="59" t="str">
        <f t="shared" si="96"/>
        <v/>
      </c>
      <c r="E1256" s="59" t="str">
        <f t="shared" si="98"/>
        <v/>
      </c>
      <c r="F1256" s="59" t="str">
        <f t="shared" si="99"/>
        <v/>
      </c>
      <c r="G1256" s="59" t="str">
        <f>IF($A1256="","",
   SUMIFS(Transactions!$P:$P,
          Transactions!$G:$G,$A1256,
          Transactions!$C:$C,"IN",
          Transactions!$Q:$Q,"Paid"))</f>
        <v/>
      </c>
      <c r="H1256" s="59" t="str">
        <f>IF($A1256="","",
   SUMIFS(Transactions!$P:$P,
          Transactions!$G:$G,$A1256,
          Transactions!$C:$C,"OUT"))</f>
        <v/>
      </c>
      <c r="I1256" s="65" t="str">
        <f t="shared" si="97"/>
        <v/>
      </c>
      <c r="J1256" s="59" t="str">
        <f t="shared" si="100"/>
        <v/>
      </c>
    </row>
    <row r="1257" spans="4:10" ht="22.5" customHeight="1" x14ac:dyDescent="0.25">
      <c r="D1257" s="59" t="str">
        <f t="shared" si="96"/>
        <v/>
      </c>
      <c r="E1257" s="59" t="str">
        <f t="shared" si="98"/>
        <v/>
      </c>
      <c r="F1257" s="59" t="str">
        <f t="shared" si="99"/>
        <v/>
      </c>
      <c r="G1257" s="59" t="str">
        <f>IF($A1257="","",
   SUMIFS(Transactions!$P:$P,
          Transactions!$G:$G,$A1257,
          Transactions!$C:$C,"IN",
          Transactions!$Q:$Q,"Paid"))</f>
        <v/>
      </c>
      <c r="H1257" s="59" t="str">
        <f>IF($A1257="","",
   SUMIFS(Transactions!$P:$P,
          Transactions!$G:$G,$A1257,
          Transactions!$C:$C,"OUT"))</f>
        <v/>
      </c>
      <c r="I1257" s="65" t="str">
        <f t="shared" si="97"/>
        <v/>
      </c>
      <c r="J1257" s="59" t="str">
        <f t="shared" si="100"/>
        <v/>
      </c>
    </row>
    <row r="1258" spans="4:10" ht="22.5" customHeight="1" x14ac:dyDescent="0.25">
      <c r="D1258" s="59" t="str">
        <f t="shared" si="96"/>
        <v/>
      </c>
      <c r="E1258" s="59" t="str">
        <f t="shared" si="98"/>
        <v/>
      </c>
      <c r="F1258" s="59" t="str">
        <f t="shared" si="99"/>
        <v/>
      </c>
      <c r="G1258" s="59" t="str">
        <f>IF($A1258="","",
   SUMIFS(Transactions!$P:$P,
          Transactions!$G:$G,$A1258,
          Transactions!$C:$C,"IN",
          Transactions!$Q:$Q,"Paid"))</f>
        <v/>
      </c>
      <c r="H1258" s="59" t="str">
        <f>IF($A1258="","",
   SUMIFS(Transactions!$P:$P,
          Transactions!$G:$G,$A1258,
          Transactions!$C:$C,"OUT"))</f>
        <v/>
      </c>
      <c r="I1258" s="65" t="str">
        <f t="shared" si="97"/>
        <v/>
      </c>
      <c r="J1258" s="59" t="str">
        <f t="shared" si="100"/>
        <v/>
      </c>
    </row>
    <row r="1259" spans="4:10" ht="22.5" customHeight="1" x14ac:dyDescent="0.25">
      <c r="D1259" s="59" t="str">
        <f t="shared" si="96"/>
        <v/>
      </c>
      <c r="E1259" s="59" t="str">
        <f t="shared" si="98"/>
        <v/>
      </c>
      <c r="F1259" s="59" t="str">
        <f t="shared" si="99"/>
        <v/>
      </c>
      <c r="G1259" s="59" t="str">
        <f>IF($A1259="","",
   SUMIFS(Transactions!$P:$P,
          Transactions!$G:$G,$A1259,
          Transactions!$C:$C,"IN",
          Transactions!$Q:$Q,"Paid"))</f>
        <v/>
      </c>
      <c r="H1259" s="59" t="str">
        <f>IF($A1259="","",
   SUMIFS(Transactions!$P:$P,
          Transactions!$G:$G,$A1259,
          Transactions!$C:$C,"OUT"))</f>
        <v/>
      </c>
      <c r="I1259" s="65" t="str">
        <f t="shared" si="97"/>
        <v/>
      </c>
      <c r="J1259" s="59" t="str">
        <f t="shared" si="100"/>
        <v/>
      </c>
    </row>
    <row r="1260" spans="4:10" ht="22.5" customHeight="1" x14ac:dyDescent="0.25">
      <c r="D1260" s="59" t="str">
        <f t="shared" si="96"/>
        <v/>
      </c>
      <c r="E1260" s="59" t="str">
        <f t="shared" si="98"/>
        <v/>
      </c>
      <c r="F1260" s="59" t="str">
        <f t="shared" si="99"/>
        <v/>
      </c>
      <c r="G1260" s="59" t="str">
        <f>IF($A1260="","",
   SUMIFS(Transactions!$P:$P,
          Transactions!$G:$G,$A1260,
          Transactions!$C:$C,"IN",
          Transactions!$Q:$Q,"Paid"))</f>
        <v/>
      </c>
      <c r="H1260" s="59" t="str">
        <f>IF($A1260="","",
   SUMIFS(Transactions!$P:$P,
          Transactions!$G:$G,$A1260,
          Transactions!$C:$C,"OUT"))</f>
        <v/>
      </c>
      <c r="I1260" s="65" t="str">
        <f t="shared" si="97"/>
        <v/>
      </c>
      <c r="J1260" s="59" t="str">
        <f t="shared" si="100"/>
        <v/>
      </c>
    </row>
    <row r="1261" spans="4:10" ht="22.5" customHeight="1" x14ac:dyDescent="0.25">
      <c r="D1261" s="59" t="str">
        <f t="shared" si="96"/>
        <v/>
      </c>
      <c r="E1261" s="59" t="str">
        <f t="shared" si="98"/>
        <v/>
      </c>
      <c r="F1261" s="59" t="str">
        <f t="shared" si="99"/>
        <v/>
      </c>
      <c r="G1261" s="59" t="str">
        <f>IF($A1261="","",
   SUMIFS(Transactions!$P:$P,
          Transactions!$G:$G,$A1261,
          Transactions!$C:$C,"IN",
          Transactions!$Q:$Q,"Paid"))</f>
        <v/>
      </c>
      <c r="H1261" s="59" t="str">
        <f>IF($A1261="","",
   SUMIFS(Transactions!$P:$P,
          Transactions!$G:$G,$A1261,
          Transactions!$C:$C,"OUT"))</f>
        <v/>
      </c>
      <c r="I1261" s="65" t="str">
        <f t="shared" si="97"/>
        <v/>
      </c>
      <c r="J1261" s="59" t="str">
        <f t="shared" si="100"/>
        <v/>
      </c>
    </row>
    <row r="1262" spans="4:10" ht="22.5" customHeight="1" x14ac:dyDescent="0.25">
      <c r="D1262" s="59" t="str">
        <f t="shared" si="96"/>
        <v/>
      </c>
      <c r="E1262" s="59" t="str">
        <f t="shared" si="98"/>
        <v/>
      </c>
      <c r="F1262" s="59" t="str">
        <f t="shared" si="99"/>
        <v/>
      </c>
      <c r="G1262" s="59" t="str">
        <f>IF($A1262="","",
   SUMIFS(Transactions!$P:$P,
          Transactions!$G:$G,$A1262,
          Transactions!$C:$C,"IN",
          Transactions!$Q:$Q,"Paid"))</f>
        <v/>
      </c>
      <c r="H1262" s="59" t="str">
        <f>IF($A1262="","",
   SUMIFS(Transactions!$P:$P,
          Transactions!$G:$G,$A1262,
          Transactions!$C:$C,"OUT"))</f>
        <v/>
      </c>
      <c r="I1262" s="65" t="str">
        <f t="shared" si="97"/>
        <v/>
      </c>
      <c r="J1262" s="59" t="str">
        <f t="shared" si="100"/>
        <v/>
      </c>
    </row>
    <row r="1263" spans="4:10" ht="22.5" customHeight="1" x14ac:dyDescent="0.25">
      <c r="D1263" s="59" t="str">
        <f t="shared" si="96"/>
        <v/>
      </c>
      <c r="E1263" s="59" t="str">
        <f t="shared" si="98"/>
        <v/>
      </c>
      <c r="F1263" s="59" t="str">
        <f t="shared" si="99"/>
        <v/>
      </c>
      <c r="G1263" s="59" t="str">
        <f>IF($A1263="","",
   SUMIFS(Transactions!$P:$P,
          Transactions!$G:$G,$A1263,
          Transactions!$C:$C,"IN",
          Transactions!$Q:$Q,"Paid"))</f>
        <v/>
      </c>
      <c r="H1263" s="59" t="str">
        <f>IF($A1263="","",
   SUMIFS(Transactions!$P:$P,
          Transactions!$G:$G,$A1263,
          Transactions!$C:$C,"OUT"))</f>
        <v/>
      </c>
      <c r="I1263" s="65" t="str">
        <f t="shared" si="97"/>
        <v/>
      </c>
      <c r="J1263" s="59" t="str">
        <f t="shared" si="100"/>
        <v/>
      </c>
    </row>
    <row r="1264" spans="4:10" ht="22.5" customHeight="1" x14ac:dyDescent="0.25">
      <c r="D1264" s="59" t="str">
        <f t="shared" si="96"/>
        <v/>
      </c>
      <c r="E1264" s="59" t="str">
        <f t="shared" si="98"/>
        <v/>
      </c>
      <c r="F1264" s="59" t="str">
        <f t="shared" si="99"/>
        <v/>
      </c>
      <c r="G1264" s="59" t="str">
        <f>IF($A1264="","",
   SUMIFS(Transactions!$P:$P,
          Transactions!$G:$G,$A1264,
          Transactions!$C:$C,"IN",
          Transactions!$Q:$Q,"Paid"))</f>
        <v/>
      </c>
      <c r="H1264" s="59" t="str">
        <f>IF($A1264="","",
   SUMIFS(Transactions!$P:$P,
          Transactions!$G:$G,$A1264,
          Transactions!$C:$C,"OUT"))</f>
        <v/>
      </c>
      <c r="I1264" s="65" t="str">
        <f t="shared" si="97"/>
        <v/>
      </c>
      <c r="J1264" s="59" t="str">
        <f t="shared" si="100"/>
        <v/>
      </c>
    </row>
    <row r="1265" spans="4:10" ht="22.5" customHeight="1" x14ac:dyDescent="0.25">
      <c r="D1265" s="59" t="str">
        <f t="shared" si="96"/>
        <v/>
      </c>
      <c r="E1265" s="59" t="str">
        <f t="shared" si="98"/>
        <v/>
      </c>
      <c r="F1265" s="59" t="str">
        <f t="shared" si="99"/>
        <v/>
      </c>
      <c r="G1265" s="59" t="str">
        <f>IF($A1265="","",
   SUMIFS(Transactions!$P:$P,
          Transactions!$G:$G,$A1265,
          Transactions!$C:$C,"IN",
          Transactions!$Q:$Q,"Paid"))</f>
        <v/>
      </c>
      <c r="H1265" s="59" t="str">
        <f>IF($A1265="","",
   SUMIFS(Transactions!$P:$P,
          Transactions!$G:$G,$A1265,
          Transactions!$C:$C,"OUT"))</f>
        <v/>
      </c>
      <c r="I1265" s="65" t="str">
        <f t="shared" si="97"/>
        <v/>
      </c>
      <c r="J1265" s="59" t="str">
        <f t="shared" si="100"/>
        <v/>
      </c>
    </row>
    <row r="1266" spans="4:10" ht="22.5" customHeight="1" x14ac:dyDescent="0.25">
      <c r="D1266" s="59" t="str">
        <f t="shared" si="96"/>
        <v/>
      </c>
      <c r="E1266" s="59" t="str">
        <f t="shared" si="98"/>
        <v/>
      </c>
      <c r="F1266" s="59" t="str">
        <f t="shared" si="99"/>
        <v/>
      </c>
      <c r="G1266" s="59" t="str">
        <f>IF($A1266="","",
   SUMIFS(Transactions!$P:$P,
          Transactions!$G:$G,$A1266,
          Transactions!$C:$C,"IN",
          Transactions!$Q:$Q,"Paid"))</f>
        <v/>
      </c>
      <c r="H1266" s="59" t="str">
        <f>IF($A1266="","",
   SUMIFS(Transactions!$P:$P,
          Transactions!$G:$G,$A1266,
          Transactions!$C:$C,"OUT"))</f>
        <v/>
      </c>
      <c r="I1266" s="65" t="str">
        <f t="shared" si="97"/>
        <v/>
      </c>
      <c r="J1266" s="59" t="str">
        <f t="shared" si="100"/>
        <v/>
      </c>
    </row>
    <row r="1267" spans="4:10" ht="22.5" customHeight="1" x14ac:dyDescent="0.25">
      <c r="D1267" s="59" t="str">
        <f t="shared" si="96"/>
        <v/>
      </c>
      <c r="E1267" s="59" t="str">
        <f t="shared" si="98"/>
        <v/>
      </c>
      <c r="F1267" s="59" t="str">
        <f t="shared" si="99"/>
        <v/>
      </c>
      <c r="G1267" s="59" t="str">
        <f>IF($A1267="","",
   SUMIFS(Transactions!$P:$P,
          Transactions!$G:$G,$A1267,
          Transactions!$C:$C,"IN",
          Transactions!$Q:$Q,"Paid"))</f>
        <v/>
      </c>
      <c r="H1267" s="59" t="str">
        <f>IF($A1267="","",
   SUMIFS(Transactions!$P:$P,
          Transactions!$G:$G,$A1267,
          Transactions!$C:$C,"OUT"))</f>
        <v/>
      </c>
      <c r="I1267" s="65" t="str">
        <f t="shared" si="97"/>
        <v/>
      </c>
      <c r="J1267" s="59" t="str">
        <f t="shared" si="100"/>
        <v/>
      </c>
    </row>
    <row r="1268" spans="4:10" ht="22.5" customHeight="1" x14ac:dyDescent="0.25">
      <c r="D1268" s="59" t="str">
        <f t="shared" si="96"/>
        <v/>
      </c>
      <c r="E1268" s="59" t="str">
        <f t="shared" si="98"/>
        <v/>
      </c>
      <c r="F1268" s="59" t="str">
        <f t="shared" si="99"/>
        <v/>
      </c>
      <c r="G1268" s="59" t="str">
        <f>IF($A1268="","",
   SUMIFS(Transactions!$P:$P,
          Transactions!$G:$G,$A1268,
          Transactions!$C:$C,"IN",
          Transactions!$Q:$Q,"Paid"))</f>
        <v/>
      </c>
      <c r="H1268" s="59" t="str">
        <f>IF($A1268="","",
   SUMIFS(Transactions!$P:$P,
          Transactions!$G:$G,$A1268,
          Transactions!$C:$C,"OUT"))</f>
        <v/>
      </c>
      <c r="I1268" s="65" t="str">
        <f t="shared" si="97"/>
        <v/>
      </c>
      <c r="J1268" s="59" t="str">
        <f t="shared" si="100"/>
        <v/>
      </c>
    </row>
    <row r="1269" spans="4:10" ht="22.5" customHeight="1" x14ac:dyDescent="0.25">
      <c r="D1269" s="59" t="str">
        <f t="shared" si="96"/>
        <v/>
      </c>
      <c r="E1269" s="59" t="str">
        <f t="shared" si="98"/>
        <v/>
      </c>
      <c r="F1269" s="59" t="str">
        <f t="shared" si="99"/>
        <v/>
      </c>
      <c r="G1269" s="59" t="str">
        <f>IF($A1269="","",
   SUMIFS(Transactions!$P:$P,
          Transactions!$G:$G,$A1269,
          Transactions!$C:$C,"IN",
          Transactions!$Q:$Q,"Paid"))</f>
        <v/>
      </c>
      <c r="H1269" s="59" t="str">
        <f>IF($A1269="","",
   SUMIFS(Transactions!$P:$P,
          Transactions!$G:$G,$A1269,
          Transactions!$C:$C,"OUT"))</f>
        <v/>
      </c>
      <c r="I1269" s="65" t="str">
        <f t="shared" si="97"/>
        <v/>
      </c>
      <c r="J1269" s="59" t="str">
        <f t="shared" si="100"/>
        <v/>
      </c>
    </row>
    <row r="1270" spans="4:10" ht="22.5" customHeight="1" x14ac:dyDescent="0.25">
      <c r="D1270" s="59" t="str">
        <f t="shared" si="96"/>
        <v/>
      </c>
      <c r="E1270" s="59" t="str">
        <f t="shared" si="98"/>
        <v/>
      </c>
      <c r="F1270" s="59" t="str">
        <f t="shared" si="99"/>
        <v/>
      </c>
      <c r="G1270" s="59" t="str">
        <f>IF($A1270="","",
   SUMIFS(Transactions!$P:$P,
          Transactions!$G:$G,$A1270,
          Transactions!$C:$C,"IN",
          Transactions!$Q:$Q,"Paid"))</f>
        <v/>
      </c>
      <c r="H1270" s="59" t="str">
        <f>IF($A1270="","",
   SUMIFS(Transactions!$P:$P,
          Transactions!$G:$G,$A1270,
          Transactions!$C:$C,"OUT"))</f>
        <v/>
      </c>
      <c r="I1270" s="65" t="str">
        <f t="shared" si="97"/>
        <v/>
      </c>
      <c r="J1270" s="59" t="str">
        <f t="shared" si="100"/>
        <v/>
      </c>
    </row>
    <row r="1271" spans="4:10" ht="22.5" customHeight="1" x14ac:dyDescent="0.25">
      <c r="D1271" s="59" t="str">
        <f t="shared" si="96"/>
        <v/>
      </c>
      <c r="E1271" s="59" t="str">
        <f t="shared" si="98"/>
        <v/>
      </c>
      <c r="F1271" s="59" t="str">
        <f t="shared" si="99"/>
        <v/>
      </c>
      <c r="G1271" s="59" t="str">
        <f>IF($A1271="","",
   SUMIFS(Transactions!$P:$P,
          Transactions!$G:$G,$A1271,
          Transactions!$C:$C,"IN",
          Transactions!$Q:$Q,"Paid"))</f>
        <v/>
      </c>
      <c r="H1271" s="59" t="str">
        <f>IF($A1271="","",
   SUMIFS(Transactions!$P:$P,
          Transactions!$G:$G,$A1271,
          Transactions!$C:$C,"OUT"))</f>
        <v/>
      </c>
      <c r="I1271" s="65" t="str">
        <f t="shared" si="97"/>
        <v/>
      </c>
      <c r="J1271" s="59" t="str">
        <f t="shared" si="100"/>
        <v/>
      </c>
    </row>
    <row r="1272" spans="4:10" ht="22.5" customHeight="1" x14ac:dyDescent="0.25">
      <c r="D1272" s="59" t="str">
        <f t="shared" si="96"/>
        <v/>
      </c>
      <c r="E1272" s="59" t="str">
        <f t="shared" si="98"/>
        <v/>
      </c>
      <c r="F1272" s="59" t="str">
        <f t="shared" si="99"/>
        <v/>
      </c>
      <c r="G1272" s="59" t="str">
        <f>IF($A1272="","",
   SUMIFS(Transactions!$P:$P,
          Transactions!$G:$G,$A1272,
          Transactions!$C:$C,"IN",
          Transactions!$Q:$Q,"Paid"))</f>
        <v/>
      </c>
      <c r="H1272" s="59" t="str">
        <f>IF($A1272="","",
   SUMIFS(Transactions!$P:$P,
          Transactions!$G:$G,$A1272,
          Transactions!$C:$C,"OUT"))</f>
        <v/>
      </c>
      <c r="I1272" s="65" t="str">
        <f t="shared" si="97"/>
        <v/>
      </c>
      <c r="J1272" s="59" t="str">
        <f t="shared" si="100"/>
        <v/>
      </c>
    </row>
    <row r="1273" spans="4:10" ht="22.5" customHeight="1" x14ac:dyDescent="0.25">
      <c r="D1273" s="59" t="str">
        <f t="shared" si="96"/>
        <v/>
      </c>
      <c r="E1273" s="59" t="str">
        <f t="shared" si="98"/>
        <v/>
      </c>
      <c r="F1273" s="59" t="str">
        <f t="shared" si="99"/>
        <v/>
      </c>
      <c r="G1273" s="59" t="str">
        <f>IF($A1273="","",
   SUMIFS(Transactions!$P:$P,
          Transactions!$G:$G,$A1273,
          Transactions!$C:$C,"IN",
          Transactions!$Q:$Q,"Paid"))</f>
        <v/>
      </c>
      <c r="H1273" s="59" t="str">
        <f>IF($A1273="","",
   SUMIFS(Transactions!$P:$P,
          Transactions!$G:$G,$A1273,
          Transactions!$C:$C,"OUT"))</f>
        <v/>
      </c>
      <c r="I1273" s="65" t="str">
        <f t="shared" si="97"/>
        <v/>
      </c>
      <c r="J1273" s="59" t="str">
        <f t="shared" si="100"/>
        <v/>
      </c>
    </row>
    <row r="1274" spans="4:10" ht="22.5" customHeight="1" x14ac:dyDescent="0.25">
      <c r="D1274" s="59" t="str">
        <f t="shared" si="96"/>
        <v/>
      </c>
      <c r="E1274" s="59" t="str">
        <f t="shared" si="98"/>
        <v/>
      </c>
      <c r="F1274" s="59" t="str">
        <f t="shared" si="99"/>
        <v/>
      </c>
      <c r="G1274" s="59" t="str">
        <f>IF($A1274="","",
   SUMIFS(Transactions!$P:$P,
          Transactions!$G:$G,$A1274,
          Transactions!$C:$C,"IN",
          Transactions!$Q:$Q,"Paid"))</f>
        <v/>
      </c>
      <c r="H1274" s="59" t="str">
        <f>IF($A1274="","",
   SUMIFS(Transactions!$P:$P,
          Transactions!$G:$G,$A1274,
          Transactions!$C:$C,"OUT"))</f>
        <v/>
      </c>
      <c r="I1274" s="65" t="str">
        <f t="shared" si="97"/>
        <v/>
      </c>
      <c r="J1274" s="59" t="str">
        <f t="shared" si="100"/>
        <v/>
      </c>
    </row>
    <row r="1275" spans="4:10" ht="22.5" customHeight="1" x14ac:dyDescent="0.25">
      <c r="D1275" s="59" t="str">
        <f t="shared" si="96"/>
        <v/>
      </c>
      <c r="E1275" s="59" t="str">
        <f t="shared" si="98"/>
        <v/>
      </c>
      <c r="F1275" s="59" t="str">
        <f t="shared" si="99"/>
        <v/>
      </c>
      <c r="G1275" s="59" t="str">
        <f>IF($A1275="","",
   SUMIFS(Transactions!$P:$P,
          Transactions!$G:$G,$A1275,
          Transactions!$C:$C,"IN",
          Transactions!$Q:$Q,"Paid"))</f>
        <v/>
      </c>
      <c r="H1275" s="59" t="str">
        <f>IF($A1275="","",
   SUMIFS(Transactions!$P:$P,
          Transactions!$G:$G,$A1275,
          Transactions!$C:$C,"OUT"))</f>
        <v/>
      </c>
      <c r="I1275" s="65" t="str">
        <f t="shared" si="97"/>
        <v/>
      </c>
      <c r="J1275" s="59" t="str">
        <f t="shared" si="100"/>
        <v/>
      </c>
    </row>
    <row r="1276" spans="4:10" ht="22.5" customHeight="1" x14ac:dyDescent="0.25">
      <c r="D1276" s="59" t="str">
        <f t="shared" si="96"/>
        <v/>
      </c>
      <c r="E1276" s="59" t="str">
        <f t="shared" si="98"/>
        <v/>
      </c>
      <c r="F1276" s="59" t="str">
        <f t="shared" si="99"/>
        <v/>
      </c>
      <c r="G1276" s="59" t="str">
        <f>IF($A1276="","",
   SUMIFS(Transactions!$P:$P,
          Transactions!$G:$G,$A1276,
          Transactions!$C:$C,"IN",
          Transactions!$Q:$Q,"Paid"))</f>
        <v/>
      </c>
      <c r="H1276" s="59" t="str">
        <f>IF($A1276="","",
   SUMIFS(Transactions!$P:$P,
          Transactions!$G:$G,$A1276,
          Transactions!$C:$C,"OUT"))</f>
        <v/>
      </c>
      <c r="I1276" s="65" t="str">
        <f t="shared" si="97"/>
        <v/>
      </c>
      <c r="J1276" s="59" t="str">
        <f t="shared" si="100"/>
        <v/>
      </c>
    </row>
    <row r="1277" spans="4:10" ht="22.5" customHeight="1" x14ac:dyDescent="0.25">
      <c r="D1277" s="59" t="str">
        <f t="shared" si="96"/>
        <v/>
      </c>
      <c r="E1277" s="59" t="str">
        <f t="shared" si="98"/>
        <v/>
      </c>
      <c r="F1277" s="59" t="str">
        <f t="shared" si="99"/>
        <v/>
      </c>
      <c r="G1277" s="59" t="str">
        <f>IF($A1277="","",
   SUMIFS(Transactions!$P:$P,
          Transactions!$G:$G,$A1277,
          Transactions!$C:$C,"IN",
          Transactions!$Q:$Q,"Paid"))</f>
        <v/>
      </c>
      <c r="H1277" s="59" t="str">
        <f>IF($A1277="","",
   SUMIFS(Transactions!$P:$P,
          Transactions!$G:$G,$A1277,
          Transactions!$C:$C,"OUT"))</f>
        <v/>
      </c>
      <c r="I1277" s="65" t="str">
        <f t="shared" si="97"/>
        <v/>
      </c>
      <c r="J1277" s="59" t="str">
        <f t="shared" si="100"/>
        <v/>
      </c>
    </row>
    <row r="1278" spans="4:10" ht="22.5" customHeight="1" x14ac:dyDescent="0.25">
      <c r="D1278" s="59" t="str">
        <f t="shared" si="96"/>
        <v/>
      </c>
      <c r="E1278" s="59" t="str">
        <f t="shared" si="98"/>
        <v/>
      </c>
      <c r="F1278" s="59" t="str">
        <f t="shared" si="99"/>
        <v/>
      </c>
      <c r="G1278" s="59" t="str">
        <f>IF($A1278="","",
   SUMIFS(Transactions!$P:$P,
          Transactions!$G:$G,$A1278,
          Transactions!$C:$C,"IN",
          Transactions!$Q:$Q,"Paid"))</f>
        <v/>
      </c>
      <c r="H1278" s="59" t="str">
        <f>IF($A1278="","",
   SUMIFS(Transactions!$P:$P,
          Transactions!$G:$G,$A1278,
          Transactions!$C:$C,"OUT"))</f>
        <v/>
      </c>
      <c r="I1278" s="65" t="str">
        <f t="shared" si="97"/>
        <v/>
      </c>
      <c r="J1278" s="59" t="str">
        <f t="shared" si="100"/>
        <v/>
      </c>
    </row>
    <row r="1279" spans="4:10" ht="22.5" customHeight="1" x14ac:dyDescent="0.25">
      <c r="D1279" s="59" t="str">
        <f t="shared" si="96"/>
        <v/>
      </c>
      <c r="E1279" s="59" t="str">
        <f t="shared" si="98"/>
        <v/>
      </c>
      <c r="F1279" s="59" t="str">
        <f t="shared" si="99"/>
        <v/>
      </c>
      <c r="G1279" s="59" t="str">
        <f>IF($A1279="","",
   SUMIFS(Transactions!$P:$P,
          Transactions!$G:$G,$A1279,
          Transactions!$C:$C,"IN",
          Transactions!$Q:$Q,"Paid"))</f>
        <v/>
      </c>
      <c r="H1279" s="59" t="str">
        <f>IF($A1279="","",
   SUMIFS(Transactions!$P:$P,
          Transactions!$G:$G,$A1279,
          Transactions!$C:$C,"OUT"))</f>
        <v/>
      </c>
      <c r="I1279" s="65" t="str">
        <f t="shared" si="97"/>
        <v/>
      </c>
      <c r="J1279" s="59" t="str">
        <f t="shared" si="100"/>
        <v/>
      </c>
    </row>
    <row r="1280" spans="4:10" ht="22.5" customHeight="1" x14ac:dyDescent="0.25">
      <c r="D1280" s="59" t="str">
        <f t="shared" si="96"/>
        <v/>
      </c>
      <c r="E1280" s="59" t="str">
        <f t="shared" si="98"/>
        <v/>
      </c>
      <c r="F1280" s="59" t="str">
        <f t="shared" si="99"/>
        <v/>
      </c>
      <c r="G1280" s="59" t="str">
        <f>IF($A1280="","",
   SUMIFS(Transactions!$P:$P,
          Transactions!$G:$G,$A1280,
          Transactions!$C:$C,"IN",
          Transactions!$Q:$Q,"Paid"))</f>
        <v/>
      </c>
      <c r="H1280" s="59" t="str">
        <f>IF($A1280="","",
   SUMIFS(Transactions!$P:$P,
          Transactions!$G:$G,$A1280,
          Transactions!$C:$C,"OUT"))</f>
        <v/>
      </c>
      <c r="I1280" s="65" t="str">
        <f t="shared" si="97"/>
        <v/>
      </c>
      <c r="J1280" s="59" t="str">
        <f t="shared" si="100"/>
        <v/>
      </c>
    </row>
    <row r="1281" spans="4:10" ht="22.5" customHeight="1" x14ac:dyDescent="0.25">
      <c r="D1281" s="59" t="str">
        <f t="shared" si="96"/>
        <v/>
      </c>
      <c r="E1281" s="59" t="str">
        <f t="shared" si="98"/>
        <v/>
      </c>
      <c r="F1281" s="59" t="str">
        <f t="shared" si="99"/>
        <v/>
      </c>
      <c r="G1281" s="59" t="str">
        <f>IF($A1281="","",
   SUMIFS(Transactions!$P:$P,
          Transactions!$G:$G,$A1281,
          Transactions!$C:$C,"IN",
          Transactions!$Q:$Q,"Paid"))</f>
        <v/>
      </c>
      <c r="H1281" s="59" t="str">
        <f>IF($A1281="","",
   SUMIFS(Transactions!$P:$P,
          Transactions!$G:$G,$A1281,
          Transactions!$C:$C,"OUT"))</f>
        <v/>
      </c>
      <c r="I1281" s="65" t="str">
        <f t="shared" si="97"/>
        <v/>
      </c>
      <c r="J1281" s="59" t="str">
        <f t="shared" si="100"/>
        <v/>
      </c>
    </row>
    <row r="1282" spans="4:10" ht="22.5" customHeight="1" x14ac:dyDescent="0.25">
      <c r="D1282" s="59" t="str">
        <f t="shared" si="96"/>
        <v/>
      </c>
      <c r="E1282" s="59" t="str">
        <f t="shared" si="98"/>
        <v/>
      </c>
      <c r="F1282" s="59" t="str">
        <f t="shared" si="99"/>
        <v/>
      </c>
      <c r="G1282" s="59" t="str">
        <f>IF($A1282="","",
   SUMIFS(Transactions!$P:$P,
          Transactions!$G:$G,$A1282,
          Transactions!$C:$C,"IN",
          Transactions!$Q:$Q,"Paid"))</f>
        <v/>
      </c>
      <c r="H1282" s="59" t="str">
        <f>IF($A1282="","",
   SUMIFS(Transactions!$P:$P,
          Transactions!$G:$G,$A1282,
          Transactions!$C:$C,"OUT"))</f>
        <v/>
      </c>
      <c r="I1282" s="65" t="str">
        <f t="shared" si="97"/>
        <v/>
      </c>
      <c r="J1282" s="59" t="str">
        <f t="shared" si="100"/>
        <v/>
      </c>
    </row>
    <row r="1283" spans="4:10" ht="22.5" customHeight="1" x14ac:dyDescent="0.25">
      <c r="D1283" s="59" t="str">
        <f t="shared" ref="D1283:D1346" si="101">IF(C1283="","",ROUND(C1283*0.15,2))</f>
        <v/>
      </c>
      <c r="E1283" s="59" t="str">
        <f t="shared" si="98"/>
        <v/>
      </c>
      <c r="F1283" s="59" t="str">
        <f t="shared" si="99"/>
        <v/>
      </c>
      <c r="G1283" s="59" t="str">
        <f>IF($A1283="","",
   SUMIFS(Transactions!$P:$P,
          Transactions!$G:$G,$A1283,
          Transactions!$C:$C,"IN",
          Transactions!$Q:$Q,"Paid"))</f>
        <v/>
      </c>
      <c r="H1283" s="59" t="str">
        <f>IF($A1283="","",
   SUMIFS(Transactions!$P:$P,
          Transactions!$G:$G,$A1283,
          Transactions!$C:$C,"OUT"))</f>
        <v/>
      </c>
      <c r="I1283" s="65" t="str">
        <f t="shared" ref="I1283:I1346" si="102">IF(C1283="","",C1283-H1283)</f>
        <v/>
      </c>
      <c r="J1283" s="59" t="str">
        <f t="shared" si="100"/>
        <v/>
      </c>
    </row>
    <row r="1284" spans="4:10" ht="22.5" customHeight="1" x14ac:dyDescent="0.25">
      <c r="D1284" s="59" t="str">
        <f t="shared" si="101"/>
        <v/>
      </c>
      <c r="E1284" s="59" t="str">
        <f t="shared" ref="E1284:E1347" si="103">IF(C1284="","",C1284+D1284)</f>
        <v/>
      </c>
      <c r="F1284" s="59" t="str">
        <f t="shared" ref="F1284:F1347" si="104">IF(E1284="","",E1284*0.5)</f>
        <v/>
      </c>
      <c r="G1284" s="59" t="str">
        <f>IF($A1284="","",
   SUMIFS(Transactions!$P:$P,
          Transactions!$G:$G,$A1284,
          Transactions!$C:$C,"IN",
          Transactions!$Q:$Q,"Paid"))</f>
        <v/>
      </c>
      <c r="H1284" s="59" t="str">
        <f>IF($A1284="","",
   SUMIFS(Transactions!$P:$P,
          Transactions!$G:$G,$A1284,
          Transactions!$C:$C,"OUT"))</f>
        <v/>
      </c>
      <c r="I1284" s="65" t="str">
        <f t="shared" si="102"/>
        <v/>
      </c>
      <c r="J1284" s="59" t="str">
        <f t="shared" ref="J1284:J1347" si="105">IF(E1284="","",E1284-G1284)</f>
        <v/>
      </c>
    </row>
    <row r="1285" spans="4:10" ht="22.5" customHeight="1" x14ac:dyDescent="0.25">
      <c r="D1285" s="59" t="str">
        <f t="shared" si="101"/>
        <v/>
      </c>
      <c r="E1285" s="59" t="str">
        <f t="shared" si="103"/>
        <v/>
      </c>
      <c r="F1285" s="59" t="str">
        <f t="shared" si="104"/>
        <v/>
      </c>
      <c r="G1285" s="59" t="str">
        <f>IF($A1285="","",
   SUMIFS(Transactions!$P:$P,
          Transactions!$G:$G,$A1285,
          Transactions!$C:$C,"IN",
          Transactions!$Q:$Q,"Paid"))</f>
        <v/>
      </c>
      <c r="H1285" s="59" t="str">
        <f>IF($A1285="","",
   SUMIFS(Transactions!$P:$P,
          Transactions!$G:$G,$A1285,
          Transactions!$C:$C,"OUT"))</f>
        <v/>
      </c>
      <c r="I1285" s="65" t="str">
        <f t="shared" si="102"/>
        <v/>
      </c>
      <c r="J1285" s="59" t="str">
        <f t="shared" si="105"/>
        <v/>
      </c>
    </row>
    <row r="1286" spans="4:10" ht="22.5" customHeight="1" x14ac:dyDescent="0.25">
      <c r="D1286" s="59" t="str">
        <f t="shared" si="101"/>
        <v/>
      </c>
      <c r="E1286" s="59" t="str">
        <f t="shared" si="103"/>
        <v/>
      </c>
      <c r="F1286" s="59" t="str">
        <f t="shared" si="104"/>
        <v/>
      </c>
      <c r="G1286" s="59" t="str">
        <f>IF($A1286="","",
   SUMIFS(Transactions!$P:$P,
          Transactions!$G:$G,$A1286,
          Transactions!$C:$C,"IN",
          Transactions!$Q:$Q,"Paid"))</f>
        <v/>
      </c>
      <c r="H1286" s="59" t="str">
        <f>IF($A1286="","",
   SUMIFS(Transactions!$P:$P,
          Transactions!$G:$G,$A1286,
          Transactions!$C:$C,"OUT"))</f>
        <v/>
      </c>
      <c r="I1286" s="65" t="str">
        <f t="shared" si="102"/>
        <v/>
      </c>
      <c r="J1286" s="59" t="str">
        <f t="shared" si="105"/>
        <v/>
      </c>
    </row>
    <row r="1287" spans="4:10" ht="22.5" customHeight="1" x14ac:dyDescent="0.25">
      <c r="D1287" s="59" t="str">
        <f t="shared" si="101"/>
        <v/>
      </c>
      <c r="E1287" s="59" t="str">
        <f t="shared" si="103"/>
        <v/>
      </c>
      <c r="F1287" s="59" t="str">
        <f t="shared" si="104"/>
        <v/>
      </c>
      <c r="G1287" s="59" t="str">
        <f>IF($A1287="","",
   SUMIFS(Transactions!$P:$P,
          Transactions!$G:$G,$A1287,
          Transactions!$C:$C,"IN",
          Transactions!$Q:$Q,"Paid"))</f>
        <v/>
      </c>
      <c r="H1287" s="59" t="str">
        <f>IF($A1287="","",
   SUMIFS(Transactions!$P:$P,
          Transactions!$G:$G,$A1287,
          Transactions!$C:$C,"OUT"))</f>
        <v/>
      </c>
      <c r="I1287" s="65" t="str">
        <f t="shared" si="102"/>
        <v/>
      </c>
      <c r="J1287" s="59" t="str">
        <f t="shared" si="105"/>
        <v/>
      </c>
    </row>
    <row r="1288" spans="4:10" ht="22.5" customHeight="1" x14ac:dyDescent="0.25">
      <c r="D1288" s="59" t="str">
        <f t="shared" si="101"/>
        <v/>
      </c>
      <c r="E1288" s="59" t="str">
        <f t="shared" si="103"/>
        <v/>
      </c>
      <c r="F1288" s="59" t="str">
        <f t="shared" si="104"/>
        <v/>
      </c>
      <c r="G1288" s="59" t="str">
        <f>IF($A1288="","",
   SUMIFS(Transactions!$P:$P,
          Transactions!$G:$G,$A1288,
          Transactions!$C:$C,"IN",
          Transactions!$Q:$Q,"Paid"))</f>
        <v/>
      </c>
      <c r="H1288" s="59" t="str">
        <f>IF($A1288="","",
   SUMIFS(Transactions!$P:$P,
          Transactions!$G:$G,$A1288,
          Transactions!$C:$C,"OUT"))</f>
        <v/>
      </c>
      <c r="I1288" s="65" t="str">
        <f t="shared" si="102"/>
        <v/>
      </c>
      <c r="J1288" s="59" t="str">
        <f t="shared" si="105"/>
        <v/>
      </c>
    </row>
    <row r="1289" spans="4:10" ht="22.5" customHeight="1" x14ac:dyDescent="0.25">
      <c r="D1289" s="59" t="str">
        <f t="shared" si="101"/>
        <v/>
      </c>
      <c r="E1289" s="59" t="str">
        <f t="shared" si="103"/>
        <v/>
      </c>
      <c r="F1289" s="59" t="str">
        <f t="shared" si="104"/>
        <v/>
      </c>
      <c r="G1289" s="59" t="str">
        <f>IF($A1289="","",
   SUMIFS(Transactions!$P:$P,
          Transactions!$G:$G,$A1289,
          Transactions!$C:$C,"IN",
          Transactions!$Q:$Q,"Paid"))</f>
        <v/>
      </c>
      <c r="H1289" s="59" t="str">
        <f>IF($A1289="","",
   SUMIFS(Transactions!$P:$P,
          Transactions!$G:$G,$A1289,
          Transactions!$C:$C,"OUT"))</f>
        <v/>
      </c>
      <c r="I1289" s="65" t="str">
        <f t="shared" si="102"/>
        <v/>
      </c>
      <c r="J1289" s="59" t="str">
        <f t="shared" si="105"/>
        <v/>
      </c>
    </row>
    <row r="1290" spans="4:10" ht="22.5" customHeight="1" x14ac:dyDescent="0.25">
      <c r="D1290" s="59" t="str">
        <f t="shared" si="101"/>
        <v/>
      </c>
      <c r="E1290" s="59" t="str">
        <f t="shared" si="103"/>
        <v/>
      </c>
      <c r="F1290" s="59" t="str">
        <f t="shared" si="104"/>
        <v/>
      </c>
      <c r="G1290" s="59" t="str">
        <f>IF($A1290="","",
   SUMIFS(Transactions!$P:$P,
          Transactions!$G:$G,$A1290,
          Transactions!$C:$C,"IN",
          Transactions!$Q:$Q,"Paid"))</f>
        <v/>
      </c>
      <c r="H1290" s="59" t="str">
        <f>IF($A1290="","",
   SUMIFS(Transactions!$P:$P,
          Transactions!$G:$G,$A1290,
          Transactions!$C:$C,"OUT"))</f>
        <v/>
      </c>
      <c r="I1290" s="65" t="str">
        <f t="shared" si="102"/>
        <v/>
      </c>
      <c r="J1290" s="59" t="str">
        <f t="shared" si="105"/>
        <v/>
      </c>
    </row>
    <row r="1291" spans="4:10" ht="22.5" customHeight="1" x14ac:dyDescent="0.25">
      <c r="D1291" s="59" t="str">
        <f t="shared" si="101"/>
        <v/>
      </c>
      <c r="E1291" s="59" t="str">
        <f t="shared" si="103"/>
        <v/>
      </c>
      <c r="F1291" s="59" t="str">
        <f t="shared" si="104"/>
        <v/>
      </c>
      <c r="G1291" s="59" t="str">
        <f>IF($A1291="","",
   SUMIFS(Transactions!$P:$P,
          Transactions!$G:$G,$A1291,
          Transactions!$C:$C,"IN",
          Transactions!$Q:$Q,"Paid"))</f>
        <v/>
      </c>
      <c r="H1291" s="59" t="str">
        <f>IF($A1291="","",
   SUMIFS(Transactions!$P:$P,
          Transactions!$G:$G,$A1291,
          Transactions!$C:$C,"OUT"))</f>
        <v/>
      </c>
      <c r="I1291" s="65" t="str">
        <f t="shared" si="102"/>
        <v/>
      </c>
      <c r="J1291" s="59" t="str">
        <f t="shared" si="105"/>
        <v/>
      </c>
    </row>
    <row r="1292" spans="4:10" ht="22.5" customHeight="1" x14ac:dyDescent="0.25">
      <c r="D1292" s="59" t="str">
        <f t="shared" si="101"/>
        <v/>
      </c>
      <c r="E1292" s="59" t="str">
        <f t="shared" si="103"/>
        <v/>
      </c>
      <c r="F1292" s="59" t="str">
        <f t="shared" si="104"/>
        <v/>
      </c>
      <c r="G1292" s="59" t="str">
        <f>IF($A1292="","",
   SUMIFS(Transactions!$P:$P,
          Transactions!$G:$G,$A1292,
          Transactions!$C:$C,"IN",
          Transactions!$Q:$Q,"Paid"))</f>
        <v/>
      </c>
      <c r="H1292" s="59" t="str">
        <f>IF($A1292="","",
   SUMIFS(Transactions!$P:$P,
          Transactions!$G:$G,$A1292,
          Transactions!$C:$C,"OUT"))</f>
        <v/>
      </c>
      <c r="I1292" s="65" t="str">
        <f t="shared" si="102"/>
        <v/>
      </c>
      <c r="J1292" s="59" t="str">
        <f t="shared" si="105"/>
        <v/>
      </c>
    </row>
    <row r="1293" spans="4:10" ht="22.5" customHeight="1" x14ac:dyDescent="0.25">
      <c r="D1293" s="59" t="str">
        <f t="shared" si="101"/>
        <v/>
      </c>
      <c r="E1293" s="59" t="str">
        <f t="shared" si="103"/>
        <v/>
      </c>
      <c r="F1293" s="59" t="str">
        <f t="shared" si="104"/>
        <v/>
      </c>
      <c r="G1293" s="59" t="str">
        <f>IF($A1293="","",
   SUMIFS(Transactions!$P:$P,
          Transactions!$G:$G,$A1293,
          Transactions!$C:$C,"IN",
          Transactions!$Q:$Q,"Paid"))</f>
        <v/>
      </c>
      <c r="H1293" s="59" t="str">
        <f>IF($A1293="","",
   SUMIFS(Transactions!$P:$P,
          Transactions!$G:$G,$A1293,
          Transactions!$C:$C,"OUT"))</f>
        <v/>
      </c>
      <c r="I1293" s="65" t="str">
        <f t="shared" si="102"/>
        <v/>
      </c>
      <c r="J1293" s="59" t="str">
        <f t="shared" si="105"/>
        <v/>
      </c>
    </row>
    <row r="1294" spans="4:10" ht="22.5" customHeight="1" x14ac:dyDescent="0.25">
      <c r="D1294" s="59" t="str">
        <f t="shared" si="101"/>
        <v/>
      </c>
      <c r="E1294" s="59" t="str">
        <f t="shared" si="103"/>
        <v/>
      </c>
      <c r="F1294" s="59" t="str">
        <f t="shared" si="104"/>
        <v/>
      </c>
      <c r="G1294" s="59" t="str">
        <f>IF($A1294="","",
   SUMIFS(Transactions!$P:$P,
          Transactions!$G:$G,$A1294,
          Transactions!$C:$C,"IN",
          Transactions!$Q:$Q,"Paid"))</f>
        <v/>
      </c>
      <c r="H1294" s="59" t="str">
        <f>IF($A1294="","",
   SUMIFS(Transactions!$P:$P,
          Transactions!$G:$G,$A1294,
          Transactions!$C:$C,"OUT"))</f>
        <v/>
      </c>
      <c r="I1294" s="65" t="str">
        <f t="shared" si="102"/>
        <v/>
      </c>
      <c r="J1294" s="59" t="str">
        <f t="shared" si="105"/>
        <v/>
      </c>
    </row>
    <row r="1295" spans="4:10" ht="22.5" customHeight="1" x14ac:dyDescent="0.25">
      <c r="D1295" s="59" t="str">
        <f t="shared" si="101"/>
        <v/>
      </c>
      <c r="E1295" s="59" t="str">
        <f t="shared" si="103"/>
        <v/>
      </c>
      <c r="F1295" s="59" t="str">
        <f t="shared" si="104"/>
        <v/>
      </c>
      <c r="G1295" s="59" t="str">
        <f>IF($A1295="","",
   SUMIFS(Transactions!$P:$P,
          Transactions!$G:$G,$A1295,
          Transactions!$C:$C,"IN",
          Transactions!$Q:$Q,"Paid"))</f>
        <v/>
      </c>
      <c r="H1295" s="59" t="str">
        <f>IF($A1295="","",
   SUMIFS(Transactions!$P:$P,
          Transactions!$G:$G,$A1295,
          Transactions!$C:$C,"OUT"))</f>
        <v/>
      </c>
      <c r="I1295" s="65" t="str">
        <f t="shared" si="102"/>
        <v/>
      </c>
      <c r="J1295" s="59" t="str">
        <f t="shared" si="105"/>
        <v/>
      </c>
    </row>
    <row r="1296" spans="4:10" ht="22.5" customHeight="1" x14ac:dyDescent="0.25">
      <c r="D1296" s="59" t="str">
        <f t="shared" si="101"/>
        <v/>
      </c>
      <c r="E1296" s="59" t="str">
        <f t="shared" si="103"/>
        <v/>
      </c>
      <c r="F1296" s="59" t="str">
        <f t="shared" si="104"/>
        <v/>
      </c>
      <c r="G1296" s="59" t="str">
        <f>IF($A1296="","",
   SUMIFS(Transactions!$P:$P,
          Transactions!$G:$G,$A1296,
          Transactions!$C:$C,"IN",
          Transactions!$Q:$Q,"Paid"))</f>
        <v/>
      </c>
      <c r="H1296" s="59" t="str">
        <f>IF($A1296="","",
   SUMIFS(Transactions!$P:$P,
          Transactions!$G:$G,$A1296,
          Transactions!$C:$C,"OUT"))</f>
        <v/>
      </c>
      <c r="I1296" s="65" t="str">
        <f t="shared" si="102"/>
        <v/>
      </c>
      <c r="J1296" s="59" t="str">
        <f t="shared" si="105"/>
        <v/>
      </c>
    </row>
    <row r="1297" spans="4:10" ht="22.5" customHeight="1" x14ac:dyDescent="0.25">
      <c r="D1297" s="59" t="str">
        <f t="shared" si="101"/>
        <v/>
      </c>
      <c r="E1297" s="59" t="str">
        <f t="shared" si="103"/>
        <v/>
      </c>
      <c r="F1297" s="59" t="str">
        <f t="shared" si="104"/>
        <v/>
      </c>
      <c r="G1297" s="59" t="str">
        <f>IF($A1297="","",
   SUMIFS(Transactions!$P:$P,
          Transactions!$G:$G,$A1297,
          Transactions!$C:$C,"IN",
          Transactions!$Q:$Q,"Paid"))</f>
        <v/>
      </c>
      <c r="H1297" s="59" t="str">
        <f>IF($A1297="","",
   SUMIFS(Transactions!$P:$P,
          Transactions!$G:$G,$A1297,
          Transactions!$C:$C,"OUT"))</f>
        <v/>
      </c>
      <c r="I1297" s="65" t="str">
        <f t="shared" si="102"/>
        <v/>
      </c>
      <c r="J1297" s="59" t="str">
        <f t="shared" si="105"/>
        <v/>
      </c>
    </row>
    <row r="1298" spans="4:10" ht="22.5" customHeight="1" x14ac:dyDescent="0.25">
      <c r="D1298" s="59" t="str">
        <f t="shared" si="101"/>
        <v/>
      </c>
      <c r="E1298" s="59" t="str">
        <f t="shared" si="103"/>
        <v/>
      </c>
      <c r="F1298" s="59" t="str">
        <f t="shared" si="104"/>
        <v/>
      </c>
      <c r="G1298" s="59" t="str">
        <f>IF($A1298="","",
   SUMIFS(Transactions!$P:$P,
          Transactions!$G:$G,$A1298,
          Transactions!$C:$C,"IN",
          Transactions!$Q:$Q,"Paid"))</f>
        <v/>
      </c>
      <c r="H1298" s="59" t="str">
        <f>IF($A1298="","",
   SUMIFS(Transactions!$P:$P,
          Transactions!$G:$G,$A1298,
          Transactions!$C:$C,"OUT"))</f>
        <v/>
      </c>
      <c r="I1298" s="65" t="str">
        <f t="shared" si="102"/>
        <v/>
      </c>
      <c r="J1298" s="59" t="str">
        <f t="shared" si="105"/>
        <v/>
      </c>
    </row>
    <row r="1299" spans="4:10" ht="22.5" customHeight="1" x14ac:dyDescent="0.25">
      <c r="D1299" s="59" t="str">
        <f t="shared" si="101"/>
        <v/>
      </c>
      <c r="E1299" s="59" t="str">
        <f t="shared" si="103"/>
        <v/>
      </c>
      <c r="F1299" s="59" t="str">
        <f t="shared" si="104"/>
        <v/>
      </c>
      <c r="G1299" s="59" t="str">
        <f>IF($A1299="","",
   SUMIFS(Transactions!$P:$P,
          Transactions!$G:$G,$A1299,
          Transactions!$C:$C,"IN",
          Transactions!$Q:$Q,"Paid"))</f>
        <v/>
      </c>
      <c r="H1299" s="59" t="str">
        <f>IF($A1299="","",
   SUMIFS(Transactions!$P:$P,
          Transactions!$G:$G,$A1299,
          Transactions!$C:$C,"OUT"))</f>
        <v/>
      </c>
      <c r="I1299" s="65" t="str">
        <f t="shared" si="102"/>
        <v/>
      </c>
      <c r="J1299" s="59" t="str">
        <f t="shared" si="105"/>
        <v/>
      </c>
    </row>
    <row r="1300" spans="4:10" ht="22.5" customHeight="1" x14ac:dyDescent="0.25">
      <c r="D1300" s="59" t="str">
        <f t="shared" si="101"/>
        <v/>
      </c>
      <c r="E1300" s="59" t="str">
        <f t="shared" si="103"/>
        <v/>
      </c>
      <c r="F1300" s="59" t="str">
        <f t="shared" si="104"/>
        <v/>
      </c>
      <c r="G1300" s="59" t="str">
        <f>IF($A1300="","",
   SUMIFS(Transactions!$P:$P,
          Transactions!$G:$G,$A1300,
          Transactions!$C:$C,"IN",
          Transactions!$Q:$Q,"Paid"))</f>
        <v/>
      </c>
      <c r="H1300" s="59" t="str">
        <f>IF($A1300="","",
   SUMIFS(Transactions!$P:$P,
          Transactions!$G:$G,$A1300,
          Transactions!$C:$C,"OUT"))</f>
        <v/>
      </c>
      <c r="I1300" s="65" t="str">
        <f t="shared" si="102"/>
        <v/>
      </c>
      <c r="J1300" s="59" t="str">
        <f t="shared" si="105"/>
        <v/>
      </c>
    </row>
    <row r="1301" spans="4:10" ht="22.5" customHeight="1" x14ac:dyDescent="0.25">
      <c r="D1301" s="59" t="str">
        <f t="shared" si="101"/>
        <v/>
      </c>
      <c r="E1301" s="59" t="str">
        <f t="shared" si="103"/>
        <v/>
      </c>
      <c r="F1301" s="59" t="str">
        <f t="shared" si="104"/>
        <v/>
      </c>
      <c r="G1301" s="59" t="str">
        <f>IF($A1301="","",
   SUMIFS(Transactions!$P:$P,
          Transactions!$G:$G,$A1301,
          Transactions!$C:$C,"IN",
          Transactions!$Q:$Q,"Paid"))</f>
        <v/>
      </c>
      <c r="H1301" s="59" t="str">
        <f>IF($A1301="","",
   SUMIFS(Transactions!$P:$P,
          Transactions!$G:$G,$A1301,
          Transactions!$C:$C,"OUT"))</f>
        <v/>
      </c>
      <c r="I1301" s="65" t="str">
        <f t="shared" si="102"/>
        <v/>
      </c>
      <c r="J1301" s="59" t="str">
        <f t="shared" si="105"/>
        <v/>
      </c>
    </row>
    <row r="1302" spans="4:10" ht="22.5" customHeight="1" x14ac:dyDescent="0.25">
      <c r="D1302" s="59" t="str">
        <f t="shared" si="101"/>
        <v/>
      </c>
      <c r="E1302" s="59" t="str">
        <f t="shared" si="103"/>
        <v/>
      </c>
      <c r="F1302" s="59" t="str">
        <f t="shared" si="104"/>
        <v/>
      </c>
      <c r="G1302" s="59" t="str">
        <f>IF($A1302="","",
   SUMIFS(Transactions!$P:$P,
          Transactions!$G:$G,$A1302,
          Transactions!$C:$C,"IN",
          Transactions!$Q:$Q,"Paid"))</f>
        <v/>
      </c>
      <c r="H1302" s="59" t="str">
        <f>IF($A1302="","",
   SUMIFS(Transactions!$P:$P,
          Transactions!$G:$G,$A1302,
          Transactions!$C:$C,"OUT"))</f>
        <v/>
      </c>
      <c r="I1302" s="65" t="str">
        <f t="shared" si="102"/>
        <v/>
      </c>
      <c r="J1302" s="59" t="str">
        <f t="shared" si="105"/>
        <v/>
      </c>
    </row>
    <row r="1303" spans="4:10" ht="22.5" customHeight="1" x14ac:dyDescent="0.25">
      <c r="D1303" s="59" t="str">
        <f t="shared" si="101"/>
        <v/>
      </c>
      <c r="E1303" s="59" t="str">
        <f t="shared" si="103"/>
        <v/>
      </c>
      <c r="F1303" s="59" t="str">
        <f t="shared" si="104"/>
        <v/>
      </c>
      <c r="G1303" s="59" t="str">
        <f>IF($A1303="","",
   SUMIFS(Transactions!$P:$P,
          Transactions!$G:$G,$A1303,
          Transactions!$C:$C,"IN",
          Transactions!$Q:$Q,"Paid"))</f>
        <v/>
      </c>
      <c r="H1303" s="59" t="str">
        <f>IF($A1303="","",
   SUMIFS(Transactions!$P:$P,
          Transactions!$G:$G,$A1303,
          Transactions!$C:$C,"OUT"))</f>
        <v/>
      </c>
      <c r="I1303" s="65" t="str">
        <f t="shared" si="102"/>
        <v/>
      </c>
      <c r="J1303" s="59" t="str">
        <f t="shared" si="105"/>
        <v/>
      </c>
    </row>
    <row r="1304" spans="4:10" ht="22.5" customHeight="1" x14ac:dyDescent="0.25">
      <c r="D1304" s="59" t="str">
        <f t="shared" si="101"/>
        <v/>
      </c>
      <c r="E1304" s="59" t="str">
        <f t="shared" si="103"/>
        <v/>
      </c>
      <c r="F1304" s="59" t="str">
        <f t="shared" si="104"/>
        <v/>
      </c>
      <c r="G1304" s="59" t="str">
        <f>IF($A1304="","",
   SUMIFS(Transactions!$P:$P,
          Transactions!$G:$G,$A1304,
          Transactions!$C:$C,"IN",
          Transactions!$Q:$Q,"Paid"))</f>
        <v/>
      </c>
      <c r="H1304" s="59" t="str">
        <f>IF($A1304="","",
   SUMIFS(Transactions!$P:$P,
          Transactions!$G:$G,$A1304,
          Transactions!$C:$C,"OUT"))</f>
        <v/>
      </c>
      <c r="I1304" s="65" t="str">
        <f t="shared" si="102"/>
        <v/>
      </c>
      <c r="J1304" s="59" t="str">
        <f t="shared" si="105"/>
        <v/>
      </c>
    </row>
    <row r="1305" spans="4:10" ht="22.5" customHeight="1" x14ac:dyDescent="0.25">
      <c r="D1305" s="59" t="str">
        <f t="shared" si="101"/>
        <v/>
      </c>
      <c r="E1305" s="59" t="str">
        <f t="shared" si="103"/>
        <v/>
      </c>
      <c r="F1305" s="59" t="str">
        <f t="shared" si="104"/>
        <v/>
      </c>
      <c r="G1305" s="59" t="str">
        <f>IF($A1305="","",
   SUMIFS(Transactions!$P:$P,
          Transactions!$G:$G,$A1305,
          Transactions!$C:$C,"IN",
          Transactions!$Q:$Q,"Paid"))</f>
        <v/>
      </c>
      <c r="H1305" s="59" t="str">
        <f>IF($A1305="","",
   SUMIFS(Transactions!$P:$P,
          Transactions!$G:$G,$A1305,
          Transactions!$C:$C,"OUT"))</f>
        <v/>
      </c>
      <c r="I1305" s="65" t="str">
        <f t="shared" si="102"/>
        <v/>
      </c>
      <c r="J1305" s="59" t="str">
        <f t="shared" si="105"/>
        <v/>
      </c>
    </row>
    <row r="1306" spans="4:10" ht="22.5" customHeight="1" x14ac:dyDescent="0.25">
      <c r="D1306" s="59" t="str">
        <f t="shared" si="101"/>
        <v/>
      </c>
      <c r="E1306" s="59" t="str">
        <f t="shared" si="103"/>
        <v/>
      </c>
      <c r="F1306" s="59" t="str">
        <f t="shared" si="104"/>
        <v/>
      </c>
      <c r="G1306" s="59" t="str">
        <f>IF($A1306="","",
   SUMIFS(Transactions!$P:$P,
          Transactions!$G:$G,$A1306,
          Transactions!$C:$C,"IN",
          Transactions!$Q:$Q,"Paid"))</f>
        <v/>
      </c>
      <c r="H1306" s="59" t="str">
        <f>IF($A1306="","",
   SUMIFS(Transactions!$P:$P,
          Transactions!$G:$G,$A1306,
          Transactions!$C:$C,"OUT"))</f>
        <v/>
      </c>
      <c r="I1306" s="65" t="str">
        <f t="shared" si="102"/>
        <v/>
      </c>
      <c r="J1306" s="59" t="str">
        <f t="shared" si="105"/>
        <v/>
      </c>
    </row>
    <row r="1307" spans="4:10" ht="22.5" customHeight="1" x14ac:dyDescent="0.25">
      <c r="D1307" s="59" t="str">
        <f t="shared" si="101"/>
        <v/>
      </c>
      <c r="E1307" s="59" t="str">
        <f t="shared" si="103"/>
        <v/>
      </c>
      <c r="F1307" s="59" t="str">
        <f t="shared" si="104"/>
        <v/>
      </c>
      <c r="G1307" s="59" t="str">
        <f>IF($A1307="","",
   SUMIFS(Transactions!$P:$P,
          Transactions!$G:$G,$A1307,
          Transactions!$C:$C,"IN",
          Transactions!$Q:$Q,"Paid"))</f>
        <v/>
      </c>
      <c r="H1307" s="59" t="str">
        <f>IF($A1307="","",
   SUMIFS(Transactions!$P:$P,
          Transactions!$G:$G,$A1307,
          Transactions!$C:$C,"OUT"))</f>
        <v/>
      </c>
      <c r="I1307" s="65" t="str">
        <f t="shared" si="102"/>
        <v/>
      </c>
      <c r="J1307" s="59" t="str">
        <f t="shared" si="105"/>
        <v/>
      </c>
    </row>
    <row r="1308" spans="4:10" ht="22.5" customHeight="1" x14ac:dyDescent="0.25">
      <c r="D1308" s="59" t="str">
        <f t="shared" si="101"/>
        <v/>
      </c>
      <c r="E1308" s="59" t="str">
        <f t="shared" si="103"/>
        <v/>
      </c>
      <c r="F1308" s="59" t="str">
        <f t="shared" si="104"/>
        <v/>
      </c>
      <c r="G1308" s="59" t="str">
        <f>IF($A1308="","",
   SUMIFS(Transactions!$P:$P,
          Transactions!$G:$G,$A1308,
          Transactions!$C:$C,"IN",
          Transactions!$Q:$Q,"Paid"))</f>
        <v/>
      </c>
      <c r="H1308" s="59" t="str">
        <f>IF($A1308="","",
   SUMIFS(Transactions!$P:$P,
          Transactions!$G:$G,$A1308,
          Transactions!$C:$C,"OUT"))</f>
        <v/>
      </c>
      <c r="I1308" s="65" t="str">
        <f t="shared" si="102"/>
        <v/>
      </c>
      <c r="J1308" s="59" t="str">
        <f t="shared" si="105"/>
        <v/>
      </c>
    </row>
    <row r="1309" spans="4:10" ht="22.5" customHeight="1" x14ac:dyDescent="0.25">
      <c r="D1309" s="59" t="str">
        <f t="shared" si="101"/>
        <v/>
      </c>
      <c r="E1309" s="59" t="str">
        <f t="shared" si="103"/>
        <v/>
      </c>
      <c r="F1309" s="59" t="str">
        <f t="shared" si="104"/>
        <v/>
      </c>
      <c r="G1309" s="59" t="str">
        <f>IF($A1309="","",
   SUMIFS(Transactions!$P:$P,
          Transactions!$G:$G,$A1309,
          Transactions!$C:$C,"IN",
          Transactions!$Q:$Q,"Paid"))</f>
        <v/>
      </c>
      <c r="H1309" s="59" t="str">
        <f>IF($A1309="","",
   SUMIFS(Transactions!$P:$P,
          Transactions!$G:$G,$A1309,
          Transactions!$C:$C,"OUT"))</f>
        <v/>
      </c>
      <c r="I1309" s="65" t="str">
        <f t="shared" si="102"/>
        <v/>
      </c>
      <c r="J1309" s="59" t="str">
        <f t="shared" si="105"/>
        <v/>
      </c>
    </row>
    <row r="1310" spans="4:10" ht="22.5" customHeight="1" x14ac:dyDescent="0.25">
      <c r="D1310" s="59" t="str">
        <f t="shared" si="101"/>
        <v/>
      </c>
      <c r="E1310" s="59" t="str">
        <f t="shared" si="103"/>
        <v/>
      </c>
      <c r="F1310" s="59" t="str">
        <f t="shared" si="104"/>
        <v/>
      </c>
      <c r="G1310" s="59" t="str">
        <f>IF($A1310="","",
   SUMIFS(Transactions!$P:$P,
          Transactions!$G:$G,$A1310,
          Transactions!$C:$C,"IN",
          Transactions!$Q:$Q,"Paid"))</f>
        <v/>
      </c>
      <c r="H1310" s="59" t="str">
        <f>IF($A1310="","",
   SUMIFS(Transactions!$P:$P,
          Transactions!$G:$G,$A1310,
          Transactions!$C:$C,"OUT"))</f>
        <v/>
      </c>
      <c r="I1310" s="65" t="str">
        <f t="shared" si="102"/>
        <v/>
      </c>
      <c r="J1310" s="59" t="str">
        <f t="shared" si="105"/>
        <v/>
      </c>
    </row>
    <row r="1311" spans="4:10" ht="22.5" customHeight="1" x14ac:dyDescent="0.25">
      <c r="D1311" s="59" t="str">
        <f t="shared" si="101"/>
        <v/>
      </c>
      <c r="E1311" s="59" t="str">
        <f t="shared" si="103"/>
        <v/>
      </c>
      <c r="F1311" s="59" t="str">
        <f t="shared" si="104"/>
        <v/>
      </c>
      <c r="G1311" s="59" t="str">
        <f>IF($A1311="","",
   SUMIFS(Transactions!$P:$P,
          Transactions!$G:$G,$A1311,
          Transactions!$C:$C,"IN",
          Transactions!$Q:$Q,"Paid"))</f>
        <v/>
      </c>
      <c r="H1311" s="59" t="str">
        <f>IF($A1311="","",
   SUMIFS(Transactions!$P:$P,
          Transactions!$G:$G,$A1311,
          Transactions!$C:$C,"OUT"))</f>
        <v/>
      </c>
      <c r="I1311" s="65" t="str">
        <f t="shared" si="102"/>
        <v/>
      </c>
      <c r="J1311" s="59" t="str">
        <f t="shared" si="105"/>
        <v/>
      </c>
    </row>
    <row r="1312" spans="4:10" ht="22.5" customHeight="1" x14ac:dyDescent="0.25">
      <c r="D1312" s="59" t="str">
        <f t="shared" si="101"/>
        <v/>
      </c>
      <c r="E1312" s="59" t="str">
        <f t="shared" si="103"/>
        <v/>
      </c>
      <c r="F1312" s="59" t="str">
        <f t="shared" si="104"/>
        <v/>
      </c>
      <c r="G1312" s="59" t="str">
        <f>IF($A1312="","",
   SUMIFS(Transactions!$P:$P,
          Transactions!$G:$G,$A1312,
          Transactions!$C:$C,"IN",
          Transactions!$Q:$Q,"Paid"))</f>
        <v/>
      </c>
      <c r="H1312" s="59" t="str">
        <f>IF($A1312="","",
   SUMIFS(Transactions!$P:$P,
          Transactions!$G:$G,$A1312,
          Transactions!$C:$C,"OUT"))</f>
        <v/>
      </c>
      <c r="I1312" s="65" t="str">
        <f t="shared" si="102"/>
        <v/>
      </c>
      <c r="J1312" s="59" t="str">
        <f t="shared" si="105"/>
        <v/>
      </c>
    </row>
    <row r="1313" spans="4:10" ht="22.5" customHeight="1" x14ac:dyDescent="0.25">
      <c r="D1313" s="59" t="str">
        <f t="shared" si="101"/>
        <v/>
      </c>
      <c r="E1313" s="59" t="str">
        <f t="shared" si="103"/>
        <v/>
      </c>
      <c r="F1313" s="59" t="str">
        <f t="shared" si="104"/>
        <v/>
      </c>
      <c r="G1313" s="59" t="str">
        <f>IF($A1313="","",
   SUMIFS(Transactions!$P:$P,
          Transactions!$G:$G,$A1313,
          Transactions!$C:$C,"IN",
          Transactions!$Q:$Q,"Paid"))</f>
        <v/>
      </c>
      <c r="H1313" s="59" t="str">
        <f>IF($A1313="","",
   SUMIFS(Transactions!$P:$P,
          Transactions!$G:$G,$A1313,
          Transactions!$C:$C,"OUT"))</f>
        <v/>
      </c>
      <c r="I1313" s="65" t="str">
        <f t="shared" si="102"/>
        <v/>
      </c>
      <c r="J1313" s="59" t="str">
        <f t="shared" si="105"/>
        <v/>
      </c>
    </row>
    <row r="1314" spans="4:10" ht="22.5" customHeight="1" x14ac:dyDescent="0.25">
      <c r="D1314" s="59" t="str">
        <f t="shared" si="101"/>
        <v/>
      </c>
      <c r="E1314" s="59" t="str">
        <f t="shared" si="103"/>
        <v/>
      </c>
      <c r="F1314" s="59" t="str">
        <f t="shared" si="104"/>
        <v/>
      </c>
      <c r="G1314" s="59" t="str">
        <f>IF($A1314="","",
   SUMIFS(Transactions!$P:$P,
          Transactions!$G:$G,$A1314,
          Transactions!$C:$C,"IN",
          Transactions!$Q:$Q,"Paid"))</f>
        <v/>
      </c>
      <c r="H1314" s="59" t="str">
        <f>IF($A1314="","",
   SUMIFS(Transactions!$P:$P,
          Transactions!$G:$G,$A1314,
          Transactions!$C:$C,"OUT"))</f>
        <v/>
      </c>
      <c r="I1314" s="65" t="str">
        <f t="shared" si="102"/>
        <v/>
      </c>
      <c r="J1314" s="59" t="str">
        <f t="shared" si="105"/>
        <v/>
      </c>
    </row>
    <row r="1315" spans="4:10" ht="22.5" customHeight="1" x14ac:dyDescent="0.25">
      <c r="D1315" s="59" t="str">
        <f t="shared" si="101"/>
        <v/>
      </c>
      <c r="E1315" s="59" t="str">
        <f t="shared" si="103"/>
        <v/>
      </c>
      <c r="F1315" s="59" t="str">
        <f t="shared" si="104"/>
        <v/>
      </c>
      <c r="G1315" s="59" t="str">
        <f>IF($A1315="","",
   SUMIFS(Transactions!$P:$P,
          Transactions!$G:$G,$A1315,
          Transactions!$C:$C,"IN",
          Transactions!$Q:$Q,"Paid"))</f>
        <v/>
      </c>
      <c r="H1315" s="59" t="str">
        <f>IF($A1315="","",
   SUMIFS(Transactions!$P:$P,
          Transactions!$G:$G,$A1315,
          Transactions!$C:$C,"OUT"))</f>
        <v/>
      </c>
      <c r="I1315" s="65" t="str">
        <f t="shared" si="102"/>
        <v/>
      </c>
      <c r="J1315" s="59" t="str">
        <f t="shared" si="105"/>
        <v/>
      </c>
    </row>
    <row r="1316" spans="4:10" ht="22.5" customHeight="1" x14ac:dyDescent="0.25">
      <c r="D1316" s="59" t="str">
        <f t="shared" si="101"/>
        <v/>
      </c>
      <c r="E1316" s="59" t="str">
        <f t="shared" si="103"/>
        <v/>
      </c>
      <c r="F1316" s="59" t="str">
        <f t="shared" si="104"/>
        <v/>
      </c>
      <c r="G1316" s="59" t="str">
        <f>IF($A1316="","",
   SUMIFS(Transactions!$P:$P,
          Transactions!$G:$G,$A1316,
          Transactions!$C:$C,"IN",
          Transactions!$Q:$Q,"Paid"))</f>
        <v/>
      </c>
      <c r="H1316" s="59" t="str">
        <f>IF($A1316="","",
   SUMIFS(Transactions!$P:$P,
          Transactions!$G:$G,$A1316,
          Transactions!$C:$C,"OUT"))</f>
        <v/>
      </c>
      <c r="I1316" s="65" t="str">
        <f t="shared" si="102"/>
        <v/>
      </c>
      <c r="J1316" s="59" t="str">
        <f t="shared" si="105"/>
        <v/>
      </c>
    </row>
    <row r="1317" spans="4:10" ht="22.5" customHeight="1" x14ac:dyDescent="0.25">
      <c r="D1317" s="59" t="str">
        <f t="shared" si="101"/>
        <v/>
      </c>
      <c r="E1317" s="59" t="str">
        <f t="shared" si="103"/>
        <v/>
      </c>
      <c r="F1317" s="59" t="str">
        <f t="shared" si="104"/>
        <v/>
      </c>
      <c r="G1317" s="59" t="str">
        <f>IF($A1317="","",
   SUMIFS(Transactions!$P:$P,
          Transactions!$G:$G,$A1317,
          Transactions!$C:$C,"IN",
          Transactions!$Q:$Q,"Paid"))</f>
        <v/>
      </c>
      <c r="H1317" s="59" t="str">
        <f>IF($A1317="","",
   SUMIFS(Transactions!$P:$P,
          Transactions!$G:$G,$A1317,
          Transactions!$C:$C,"OUT"))</f>
        <v/>
      </c>
      <c r="I1317" s="65" t="str">
        <f t="shared" si="102"/>
        <v/>
      </c>
      <c r="J1317" s="59" t="str">
        <f t="shared" si="105"/>
        <v/>
      </c>
    </row>
    <row r="1318" spans="4:10" ht="22.5" customHeight="1" x14ac:dyDescent="0.25">
      <c r="D1318" s="59" t="str">
        <f t="shared" si="101"/>
        <v/>
      </c>
      <c r="E1318" s="59" t="str">
        <f t="shared" si="103"/>
        <v/>
      </c>
      <c r="F1318" s="59" t="str">
        <f t="shared" si="104"/>
        <v/>
      </c>
      <c r="G1318" s="59" t="str">
        <f>IF($A1318="","",
   SUMIFS(Transactions!$P:$P,
          Transactions!$G:$G,$A1318,
          Transactions!$C:$C,"IN",
          Transactions!$Q:$Q,"Paid"))</f>
        <v/>
      </c>
      <c r="H1318" s="59" t="str">
        <f>IF($A1318="","",
   SUMIFS(Transactions!$P:$P,
          Transactions!$G:$G,$A1318,
          Transactions!$C:$C,"OUT"))</f>
        <v/>
      </c>
      <c r="I1318" s="65" t="str">
        <f t="shared" si="102"/>
        <v/>
      </c>
      <c r="J1318" s="59" t="str">
        <f t="shared" si="105"/>
        <v/>
      </c>
    </row>
    <row r="1319" spans="4:10" ht="22.5" customHeight="1" x14ac:dyDescent="0.25">
      <c r="D1319" s="59" t="str">
        <f t="shared" si="101"/>
        <v/>
      </c>
      <c r="E1319" s="59" t="str">
        <f t="shared" si="103"/>
        <v/>
      </c>
      <c r="F1319" s="59" t="str">
        <f t="shared" si="104"/>
        <v/>
      </c>
      <c r="G1319" s="59" t="str">
        <f>IF($A1319="","",
   SUMIFS(Transactions!$P:$P,
          Transactions!$G:$G,$A1319,
          Transactions!$C:$C,"IN",
          Transactions!$Q:$Q,"Paid"))</f>
        <v/>
      </c>
      <c r="H1319" s="59" t="str">
        <f>IF($A1319="","",
   SUMIFS(Transactions!$P:$P,
          Transactions!$G:$G,$A1319,
          Transactions!$C:$C,"OUT"))</f>
        <v/>
      </c>
      <c r="I1319" s="65" t="str">
        <f t="shared" si="102"/>
        <v/>
      </c>
      <c r="J1319" s="59" t="str">
        <f t="shared" si="105"/>
        <v/>
      </c>
    </row>
    <row r="1320" spans="4:10" ht="22.5" customHeight="1" x14ac:dyDescent="0.25">
      <c r="D1320" s="59" t="str">
        <f t="shared" si="101"/>
        <v/>
      </c>
      <c r="E1320" s="59" t="str">
        <f t="shared" si="103"/>
        <v/>
      </c>
      <c r="F1320" s="59" t="str">
        <f t="shared" si="104"/>
        <v/>
      </c>
      <c r="G1320" s="59" t="str">
        <f>IF($A1320="","",
   SUMIFS(Transactions!$P:$P,
          Transactions!$G:$G,$A1320,
          Transactions!$C:$C,"IN",
          Transactions!$Q:$Q,"Paid"))</f>
        <v/>
      </c>
      <c r="H1320" s="59" t="str">
        <f>IF($A1320="","",
   SUMIFS(Transactions!$P:$P,
          Transactions!$G:$G,$A1320,
          Transactions!$C:$C,"OUT"))</f>
        <v/>
      </c>
      <c r="I1320" s="65" t="str">
        <f t="shared" si="102"/>
        <v/>
      </c>
      <c r="J1320" s="59" t="str">
        <f t="shared" si="105"/>
        <v/>
      </c>
    </row>
    <row r="1321" spans="4:10" ht="22.5" customHeight="1" x14ac:dyDescent="0.25">
      <c r="D1321" s="59" t="str">
        <f t="shared" si="101"/>
        <v/>
      </c>
      <c r="E1321" s="59" t="str">
        <f t="shared" si="103"/>
        <v/>
      </c>
      <c r="F1321" s="59" t="str">
        <f t="shared" si="104"/>
        <v/>
      </c>
      <c r="G1321" s="59" t="str">
        <f>IF($A1321="","",
   SUMIFS(Transactions!$P:$P,
          Transactions!$G:$G,$A1321,
          Transactions!$C:$C,"IN",
          Transactions!$Q:$Q,"Paid"))</f>
        <v/>
      </c>
      <c r="H1321" s="59" t="str">
        <f>IF($A1321="","",
   SUMIFS(Transactions!$P:$P,
          Transactions!$G:$G,$A1321,
          Transactions!$C:$C,"OUT"))</f>
        <v/>
      </c>
      <c r="I1321" s="65" t="str">
        <f t="shared" si="102"/>
        <v/>
      </c>
      <c r="J1321" s="59" t="str">
        <f t="shared" si="105"/>
        <v/>
      </c>
    </row>
    <row r="1322" spans="4:10" ht="22.5" customHeight="1" x14ac:dyDescent="0.25">
      <c r="D1322" s="59" t="str">
        <f t="shared" si="101"/>
        <v/>
      </c>
      <c r="E1322" s="59" t="str">
        <f t="shared" si="103"/>
        <v/>
      </c>
      <c r="F1322" s="59" t="str">
        <f t="shared" si="104"/>
        <v/>
      </c>
      <c r="G1322" s="59" t="str">
        <f>IF($A1322="","",
   SUMIFS(Transactions!$P:$P,
          Transactions!$G:$G,$A1322,
          Transactions!$C:$C,"IN",
          Transactions!$Q:$Q,"Paid"))</f>
        <v/>
      </c>
      <c r="H1322" s="59" t="str">
        <f>IF($A1322="","",
   SUMIFS(Transactions!$P:$P,
          Transactions!$G:$G,$A1322,
          Transactions!$C:$C,"OUT"))</f>
        <v/>
      </c>
      <c r="I1322" s="65" t="str">
        <f t="shared" si="102"/>
        <v/>
      </c>
      <c r="J1322" s="59" t="str">
        <f t="shared" si="105"/>
        <v/>
      </c>
    </row>
    <row r="1323" spans="4:10" ht="22.5" customHeight="1" x14ac:dyDescent="0.25">
      <c r="D1323" s="59" t="str">
        <f t="shared" si="101"/>
        <v/>
      </c>
      <c r="E1323" s="59" t="str">
        <f t="shared" si="103"/>
        <v/>
      </c>
      <c r="F1323" s="59" t="str">
        <f t="shared" si="104"/>
        <v/>
      </c>
      <c r="G1323" s="59" t="str">
        <f>IF($A1323="","",
   SUMIFS(Transactions!$P:$P,
          Transactions!$G:$G,$A1323,
          Transactions!$C:$C,"IN",
          Transactions!$Q:$Q,"Paid"))</f>
        <v/>
      </c>
      <c r="H1323" s="59" t="str">
        <f>IF($A1323="","",
   SUMIFS(Transactions!$P:$P,
          Transactions!$G:$G,$A1323,
          Transactions!$C:$C,"OUT"))</f>
        <v/>
      </c>
      <c r="I1323" s="65" t="str">
        <f t="shared" si="102"/>
        <v/>
      </c>
      <c r="J1323" s="59" t="str">
        <f t="shared" si="105"/>
        <v/>
      </c>
    </row>
    <row r="1324" spans="4:10" ht="22.5" customHeight="1" x14ac:dyDescent="0.25">
      <c r="D1324" s="59" t="str">
        <f t="shared" si="101"/>
        <v/>
      </c>
      <c r="E1324" s="59" t="str">
        <f t="shared" si="103"/>
        <v/>
      </c>
      <c r="F1324" s="59" t="str">
        <f t="shared" si="104"/>
        <v/>
      </c>
      <c r="G1324" s="59" t="str">
        <f>IF($A1324="","",
   SUMIFS(Transactions!$P:$P,
          Transactions!$G:$G,$A1324,
          Transactions!$C:$C,"IN",
          Transactions!$Q:$Q,"Paid"))</f>
        <v/>
      </c>
      <c r="H1324" s="59" t="str">
        <f>IF($A1324="","",
   SUMIFS(Transactions!$P:$P,
          Transactions!$G:$G,$A1324,
          Transactions!$C:$C,"OUT"))</f>
        <v/>
      </c>
      <c r="I1324" s="65" t="str">
        <f t="shared" si="102"/>
        <v/>
      </c>
      <c r="J1324" s="59" t="str">
        <f t="shared" si="105"/>
        <v/>
      </c>
    </row>
    <row r="1325" spans="4:10" ht="22.5" customHeight="1" x14ac:dyDescent="0.25">
      <c r="D1325" s="59" t="str">
        <f t="shared" si="101"/>
        <v/>
      </c>
      <c r="E1325" s="59" t="str">
        <f t="shared" si="103"/>
        <v/>
      </c>
      <c r="F1325" s="59" t="str">
        <f t="shared" si="104"/>
        <v/>
      </c>
      <c r="G1325" s="59" t="str">
        <f>IF($A1325="","",
   SUMIFS(Transactions!$P:$P,
          Transactions!$G:$G,$A1325,
          Transactions!$C:$C,"IN",
          Transactions!$Q:$Q,"Paid"))</f>
        <v/>
      </c>
      <c r="H1325" s="59" t="str">
        <f>IF($A1325="","",
   SUMIFS(Transactions!$P:$P,
          Transactions!$G:$G,$A1325,
          Transactions!$C:$C,"OUT"))</f>
        <v/>
      </c>
      <c r="I1325" s="65" t="str">
        <f t="shared" si="102"/>
        <v/>
      </c>
      <c r="J1325" s="59" t="str">
        <f t="shared" si="105"/>
        <v/>
      </c>
    </row>
    <row r="1326" spans="4:10" ht="22.5" customHeight="1" x14ac:dyDescent="0.25">
      <c r="D1326" s="59" t="str">
        <f t="shared" si="101"/>
        <v/>
      </c>
      <c r="E1326" s="59" t="str">
        <f t="shared" si="103"/>
        <v/>
      </c>
      <c r="F1326" s="59" t="str">
        <f t="shared" si="104"/>
        <v/>
      </c>
      <c r="G1326" s="59" t="str">
        <f>IF($A1326="","",
   SUMIFS(Transactions!$P:$P,
          Transactions!$G:$G,$A1326,
          Transactions!$C:$C,"IN",
          Transactions!$Q:$Q,"Paid"))</f>
        <v/>
      </c>
      <c r="H1326" s="59" t="str">
        <f>IF($A1326="","",
   SUMIFS(Transactions!$P:$P,
          Transactions!$G:$G,$A1326,
          Transactions!$C:$C,"OUT"))</f>
        <v/>
      </c>
      <c r="I1326" s="65" t="str">
        <f t="shared" si="102"/>
        <v/>
      </c>
      <c r="J1326" s="59" t="str">
        <f t="shared" si="105"/>
        <v/>
      </c>
    </row>
    <row r="1327" spans="4:10" ht="22.5" customHeight="1" x14ac:dyDescent="0.25">
      <c r="D1327" s="59" t="str">
        <f t="shared" si="101"/>
        <v/>
      </c>
      <c r="E1327" s="59" t="str">
        <f t="shared" si="103"/>
        <v/>
      </c>
      <c r="F1327" s="59" t="str">
        <f t="shared" si="104"/>
        <v/>
      </c>
      <c r="G1327" s="59" t="str">
        <f>IF($A1327="","",
   SUMIFS(Transactions!$P:$P,
          Transactions!$G:$G,$A1327,
          Transactions!$C:$C,"IN",
          Transactions!$Q:$Q,"Paid"))</f>
        <v/>
      </c>
      <c r="H1327" s="59" t="str">
        <f>IF($A1327="","",
   SUMIFS(Transactions!$P:$P,
          Transactions!$G:$G,$A1327,
          Transactions!$C:$C,"OUT"))</f>
        <v/>
      </c>
      <c r="I1327" s="65" t="str">
        <f t="shared" si="102"/>
        <v/>
      </c>
      <c r="J1327" s="59" t="str">
        <f t="shared" si="105"/>
        <v/>
      </c>
    </row>
    <row r="1328" spans="4:10" ht="22.5" customHeight="1" x14ac:dyDescent="0.25">
      <c r="D1328" s="59" t="str">
        <f t="shared" si="101"/>
        <v/>
      </c>
      <c r="E1328" s="59" t="str">
        <f t="shared" si="103"/>
        <v/>
      </c>
      <c r="F1328" s="59" t="str">
        <f t="shared" si="104"/>
        <v/>
      </c>
      <c r="G1328" s="59" t="str">
        <f>IF($A1328="","",
   SUMIFS(Transactions!$P:$P,
          Transactions!$G:$G,$A1328,
          Transactions!$C:$C,"IN",
          Transactions!$Q:$Q,"Paid"))</f>
        <v/>
      </c>
      <c r="H1328" s="59" t="str">
        <f>IF($A1328="","",
   SUMIFS(Transactions!$P:$P,
          Transactions!$G:$G,$A1328,
          Transactions!$C:$C,"OUT"))</f>
        <v/>
      </c>
      <c r="I1328" s="65" t="str">
        <f t="shared" si="102"/>
        <v/>
      </c>
      <c r="J1328" s="59" t="str">
        <f t="shared" si="105"/>
        <v/>
      </c>
    </row>
    <row r="1329" spans="4:10" ht="22.5" customHeight="1" x14ac:dyDescent="0.25">
      <c r="D1329" s="59" t="str">
        <f t="shared" si="101"/>
        <v/>
      </c>
      <c r="E1329" s="59" t="str">
        <f t="shared" si="103"/>
        <v/>
      </c>
      <c r="F1329" s="59" t="str">
        <f t="shared" si="104"/>
        <v/>
      </c>
      <c r="G1329" s="59" t="str">
        <f>IF($A1329="","",
   SUMIFS(Transactions!$P:$P,
          Transactions!$G:$G,$A1329,
          Transactions!$C:$C,"IN",
          Transactions!$Q:$Q,"Paid"))</f>
        <v/>
      </c>
      <c r="H1329" s="59" t="str">
        <f>IF($A1329="","",
   SUMIFS(Transactions!$P:$P,
          Transactions!$G:$G,$A1329,
          Transactions!$C:$C,"OUT"))</f>
        <v/>
      </c>
      <c r="I1329" s="65" t="str">
        <f t="shared" si="102"/>
        <v/>
      </c>
      <c r="J1329" s="59" t="str">
        <f t="shared" si="105"/>
        <v/>
      </c>
    </row>
    <row r="1330" spans="4:10" ht="22.5" customHeight="1" x14ac:dyDescent="0.25">
      <c r="D1330" s="59" t="str">
        <f t="shared" si="101"/>
        <v/>
      </c>
      <c r="E1330" s="59" t="str">
        <f t="shared" si="103"/>
        <v/>
      </c>
      <c r="F1330" s="59" t="str">
        <f t="shared" si="104"/>
        <v/>
      </c>
      <c r="G1330" s="59" t="str">
        <f>IF($A1330="","",
   SUMIFS(Transactions!$P:$P,
          Transactions!$G:$G,$A1330,
          Transactions!$C:$C,"IN",
          Transactions!$Q:$Q,"Paid"))</f>
        <v/>
      </c>
      <c r="H1330" s="59" t="str">
        <f>IF($A1330="","",
   SUMIFS(Transactions!$P:$P,
          Transactions!$G:$G,$A1330,
          Transactions!$C:$C,"OUT"))</f>
        <v/>
      </c>
      <c r="I1330" s="65" t="str">
        <f t="shared" si="102"/>
        <v/>
      </c>
      <c r="J1330" s="59" t="str">
        <f t="shared" si="105"/>
        <v/>
      </c>
    </row>
    <row r="1331" spans="4:10" ht="22.5" customHeight="1" x14ac:dyDescent="0.25">
      <c r="D1331" s="59" t="str">
        <f t="shared" si="101"/>
        <v/>
      </c>
      <c r="E1331" s="59" t="str">
        <f t="shared" si="103"/>
        <v/>
      </c>
      <c r="F1331" s="59" t="str">
        <f t="shared" si="104"/>
        <v/>
      </c>
      <c r="G1331" s="59" t="str">
        <f>IF($A1331="","",
   SUMIFS(Transactions!$P:$P,
          Transactions!$G:$G,$A1331,
          Transactions!$C:$C,"IN",
          Transactions!$Q:$Q,"Paid"))</f>
        <v/>
      </c>
      <c r="H1331" s="59" t="str">
        <f>IF($A1331="","",
   SUMIFS(Transactions!$P:$P,
          Transactions!$G:$G,$A1331,
          Transactions!$C:$C,"OUT"))</f>
        <v/>
      </c>
      <c r="I1331" s="65" t="str">
        <f t="shared" si="102"/>
        <v/>
      </c>
      <c r="J1331" s="59" t="str">
        <f t="shared" si="105"/>
        <v/>
      </c>
    </row>
    <row r="1332" spans="4:10" ht="22.5" customHeight="1" x14ac:dyDescent="0.25">
      <c r="D1332" s="59" t="str">
        <f t="shared" si="101"/>
        <v/>
      </c>
      <c r="E1332" s="59" t="str">
        <f t="shared" si="103"/>
        <v/>
      </c>
      <c r="F1332" s="59" t="str">
        <f t="shared" si="104"/>
        <v/>
      </c>
      <c r="G1332" s="59" t="str">
        <f>IF($A1332="","",
   SUMIFS(Transactions!$P:$P,
          Transactions!$G:$G,$A1332,
          Transactions!$C:$C,"IN",
          Transactions!$Q:$Q,"Paid"))</f>
        <v/>
      </c>
      <c r="H1332" s="59" t="str">
        <f>IF($A1332="","",
   SUMIFS(Transactions!$P:$P,
          Transactions!$G:$G,$A1332,
          Transactions!$C:$C,"OUT"))</f>
        <v/>
      </c>
      <c r="I1332" s="65" t="str">
        <f t="shared" si="102"/>
        <v/>
      </c>
      <c r="J1332" s="59" t="str">
        <f t="shared" si="105"/>
        <v/>
      </c>
    </row>
    <row r="1333" spans="4:10" ht="22.5" customHeight="1" x14ac:dyDescent="0.25">
      <c r="D1333" s="59" t="str">
        <f t="shared" si="101"/>
        <v/>
      </c>
      <c r="E1333" s="59" t="str">
        <f t="shared" si="103"/>
        <v/>
      </c>
      <c r="F1333" s="59" t="str">
        <f t="shared" si="104"/>
        <v/>
      </c>
      <c r="G1333" s="59" t="str">
        <f>IF($A1333="","",
   SUMIFS(Transactions!$P:$P,
          Transactions!$G:$G,$A1333,
          Transactions!$C:$C,"IN",
          Transactions!$Q:$Q,"Paid"))</f>
        <v/>
      </c>
      <c r="H1333" s="59" t="str">
        <f>IF($A1333="","",
   SUMIFS(Transactions!$P:$P,
          Transactions!$G:$G,$A1333,
          Transactions!$C:$C,"OUT"))</f>
        <v/>
      </c>
      <c r="I1333" s="65" t="str">
        <f t="shared" si="102"/>
        <v/>
      </c>
      <c r="J1333" s="59" t="str">
        <f t="shared" si="105"/>
        <v/>
      </c>
    </row>
    <row r="1334" spans="4:10" ht="22.5" customHeight="1" x14ac:dyDescent="0.25">
      <c r="D1334" s="59" t="str">
        <f t="shared" si="101"/>
        <v/>
      </c>
      <c r="E1334" s="59" t="str">
        <f t="shared" si="103"/>
        <v/>
      </c>
      <c r="F1334" s="59" t="str">
        <f t="shared" si="104"/>
        <v/>
      </c>
      <c r="G1334" s="59" t="str">
        <f>IF($A1334="","",
   SUMIFS(Transactions!$P:$P,
          Transactions!$G:$G,$A1334,
          Transactions!$C:$C,"IN",
          Transactions!$Q:$Q,"Paid"))</f>
        <v/>
      </c>
      <c r="H1334" s="59" t="str">
        <f>IF($A1334="","",
   SUMIFS(Transactions!$P:$P,
          Transactions!$G:$G,$A1334,
          Transactions!$C:$C,"OUT"))</f>
        <v/>
      </c>
      <c r="I1334" s="65" t="str">
        <f t="shared" si="102"/>
        <v/>
      </c>
      <c r="J1334" s="59" t="str">
        <f t="shared" si="105"/>
        <v/>
      </c>
    </row>
    <row r="1335" spans="4:10" ht="22.5" customHeight="1" x14ac:dyDescent="0.25">
      <c r="D1335" s="59" t="str">
        <f t="shared" si="101"/>
        <v/>
      </c>
      <c r="E1335" s="59" t="str">
        <f t="shared" si="103"/>
        <v/>
      </c>
      <c r="F1335" s="59" t="str">
        <f t="shared" si="104"/>
        <v/>
      </c>
      <c r="G1335" s="59" t="str">
        <f>IF($A1335="","",
   SUMIFS(Transactions!$P:$P,
          Transactions!$G:$G,$A1335,
          Transactions!$C:$C,"IN",
          Transactions!$Q:$Q,"Paid"))</f>
        <v/>
      </c>
      <c r="H1335" s="59" t="str">
        <f>IF($A1335="","",
   SUMIFS(Transactions!$P:$P,
          Transactions!$G:$G,$A1335,
          Transactions!$C:$C,"OUT"))</f>
        <v/>
      </c>
      <c r="I1335" s="65" t="str">
        <f t="shared" si="102"/>
        <v/>
      </c>
      <c r="J1335" s="59" t="str">
        <f t="shared" si="105"/>
        <v/>
      </c>
    </row>
    <row r="1336" spans="4:10" ht="22.5" customHeight="1" x14ac:dyDescent="0.25">
      <c r="D1336" s="59" t="str">
        <f t="shared" si="101"/>
        <v/>
      </c>
      <c r="E1336" s="59" t="str">
        <f t="shared" si="103"/>
        <v/>
      </c>
      <c r="F1336" s="59" t="str">
        <f t="shared" si="104"/>
        <v/>
      </c>
      <c r="G1336" s="59" t="str">
        <f>IF($A1336="","",
   SUMIFS(Transactions!$P:$P,
          Transactions!$G:$G,$A1336,
          Transactions!$C:$C,"IN",
          Transactions!$Q:$Q,"Paid"))</f>
        <v/>
      </c>
      <c r="H1336" s="59" t="str">
        <f>IF($A1336="","",
   SUMIFS(Transactions!$P:$P,
          Transactions!$G:$G,$A1336,
          Transactions!$C:$C,"OUT"))</f>
        <v/>
      </c>
      <c r="I1336" s="65" t="str">
        <f t="shared" si="102"/>
        <v/>
      </c>
      <c r="J1336" s="59" t="str">
        <f t="shared" si="105"/>
        <v/>
      </c>
    </row>
    <row r="1337" spans="4:10" ht="22.5" customHeight="1" x14ac:dyDescent="0.25">
      <c r="D1337" s="59" t="str">
        <f t="shared" si="101"/>
        <v/>
      </c>
      <c r="E1337" s="59" t="str">
        <f t="shared" si="103"/>
        <v/>
      </c>
      <c r="F1337" s="59" t="str">
        <f t="shared" si="104"/>
        <v/>
      </c>
      <c r="G1337" s="59" t="str">
        <f>IF($A1337="","",
   SUMIFS(Transactions!$P:$P,
          Transactions!$G:$G,$A1337,
          Transactions!$C:$C,"IN",
          Transactions!$Q:$Q,"Paid"))</f>
        <v/>
      </c>
      <c r="H1337" s="59" t="str">
        <f>IF($A1337="","",
   SUMIFS(Transactions!$P:$P,
          Transactions!$G:$G,$A1337,
          Transactions!$C:$C,"OUT"))</f>
        <v/>
      </c>
      <c r="I1337" s="65" t="str">
        <f t="shared" si="102"/>
        <v/>
      </c>
      <c r="J1337" s="59" t="str">
        <f t="shared" si="105"/>
        <v/>
      </c>
    </row>
    <row r="1338" spans="4:10" ht="22.5" customHeight="1" x14ac:dyDescent="0.25">
      <c r="D1338" s="59" t="str">
        <f t="shared" si="101"/>
        <v/>
      </c>
      <c r="E1338" s="59" t="str">
        <f t="shared" si="103"/>
        <v/>
      </c>
      <c r="F1338" s="59" t="str">
        <f t="shared" si="104"/>
        <v/>
      </c>
      <c r="G1338" s="59" t="str">
        <f>IF($A1338="","",
   SUMIFS(Transactions!$P:$P,
          Transactions!$G:$G,$A1338,
          Transactions!$C:$C,"IN",
          Transactions!$Q:$Q,"Paid"))</f>
        <v/>
      </c>
      <c r="H1338" s="59" t="str">
        <f>IF($A1338="","",
   SUMIFS(Transactions!$P:$P,
          Transactions!$G:$G,$A1338,
          Transactions!$C:$C,"OUT"))</f>
        <v/>
      </c>
      <c r="I1338" s="65" t="str">
        <f t="shared" si="102"/>
        <v/>
      </c>
      <c r="J1338" s="59" t="str">
        <f t="shared" si="105"/>
        <v/>
      </c>
    </row>
    <row r="1339" spans="4:10" ht="22.5" customHeight="1" x14ac:dyDescent="0.25">
      <c r="D1339" s="59" t="str">
        <f t="shared" si="101"/>
        <v/>
      </c>
      <c r="E1339" s="59" t="str">
        <f t="shared" si="103"/>
        <v/>
      </c>
      <c r="F1339" s="59" t="str">
        <f t="shared" si="104"/>
        <v/>
      </c>
      <c r="G1339" s="59" t="str">
        <f>IF($A1339="","",
   SUMIFS(Transactions!$P:$P,
          Transactions!$G:$G,$A1339,
          Transactions!$C:$C,"IN",
          Transactions!$Q:$Q,"Paid"))</f>
        <v/>
      </c>
      <c r="H1339" s="59" t="str">
        <f>IF($A1339="","",
   SUMIFS(Transactions!$P:$P,
          Transactions!$G:$G,$A1339,
          Transactions!$C:$C,"OUT"))</f>
        <v/>
      </c>
      <c r="I1339" s="65" t="str">
        <f t="shared" si="102"/>
        <v/>
      </c>
      <c r="J1339" s="59" t="str">
        <f t="shared" si="105"/>
        <v/>
      </c>
    </row>
    <row r="1340" spans="4:10" ht="22.5" customHeight="1" x14ac:dyDescent="0.25">
      <c r="D1340" s="59" t="str">
        <f t="shared" si="101"/>
        <v/>
      </c>
      <c r="E1340" s="59" t="str">
        <f t="shared" si="103"/>
        <v/>
      </c>
      <c r="F1340" s="59" t="str">
        <f t="shared" si="104"/>
        <v/>
      </c>
      <c r="G1340" s="59" t="str">
        <f>IF($A1340="","",
   SUMIFS(Transactions!$P:$P,
          Transactions!$G:$G,$A1340,
          Transactions!$C:$C,"IN",
          Transactions!$Q:$Q,"Paid"))</f>
        <v/>
      </c>
      <c r="H1340" s="59" t="str">
        <f>IF($A1340="","",
   SUMIFS(Transactions!$P:$P,
          Transactions!$G:$G,$A1340,
          Transactions!$C:$C,"OUT"))</f>
        <v/>
      </c>
      <c r="I1340" s="65" t="str">
        <f t="shared" si="102"/>
        <v/>
      </c>
      <c r="J1340" s="59" t="str">
        <f t="shared" si="105"/>
        <v/>
      </c>
    </row>
    <row r="1341" spans="4:10" ht="22.5" customHeight="1" x14ac:dyDescent="0.25">
      <c r="D1341" s="59" t="str">
        <f t="shared" si="101"/>
        <v/>
      </c>
      <c r="E1341" s="59" t="str">
        <f t="shared" si="103"/>
        <v/>
      </c>
      <c r="F1341" s="59" t="str">
        <f t="shared" si="104"/>
        <v/>
      </c>
      <c r="G1341" s="59" t="str">
        <f>IF($A1341="","",
   SUMIFS(Transactions!$P:$P,
          Transactions!$G:$G,$A1341,
          Transactions!$C:$C,"IN",
          Transactions!$Q:$Q,"Paid"))</f>
        <v/>
      </c>
      <c r="H1341" s="59" t="str">
        <f>IF($A1341="","",
   SUMIFS(Transactions!$P:$P,
          Transactions!$G:$G,$A1341,
          Transactions!$C:$C,"OUT"))</f>
        <v/>
      </c>
      <c r="I1341" s="65" t="str">
        <f t="shared" si="102"/>
        <v/>
      </c>
      <c r="J1341" s="59" t="str">
        <f t="shared" si="105"/>
        <v/>
      </c>
    </row>
    <row r="1342" spans="4:10" ht="22.5" customHeight="1" x14ac:dyDescent="0.25">
      <c r="D1342" s="59" t="str">
        <f t="shared" si="101"/>
        <v/>
      </c>
      <c r="E1342" s="59" t="str">
        <f t="shared" si="103"/>
        <v/>
      </c>
      <c r="F1342" s="59" t="str">
        <f t="shared" si="104"/>
        <v/>
      </c>
      <c r="G1342" s="59" t="str">
        <f>IF($A1342="","",
   SUMIFS(Transactions!$P:$P,
          Transactions!$G:$G,$A1342,
          Transactions!$C:$C,"IN",
          Transactions!$Q:$Q,"Paid"))</f>
        <v/>
      </c>
      <c r="H1342" s="59" t="str">
        <f>IF($A1342="","",
   SUMIFS(Transactions!$P:$P,
          Transactions!$G:$G,$A1342,
          Transactions!$C:$C,"OUT"))</f>
        <v/>
      </c>
      <c r="I1342" s="65" t="str">
        <f t="shared" si="102"/>
        <v/>
      </c>
      <c r="J1342" s="59" t="str">
        <f t="shared" si="105"/>
        <v/>
      </c>
    </row>
    <row r="1343" spans="4:10" ht="22.5" customHeight="1" x14ac:dyDescent="0.25">
      <c r="D1343" s="59" t="str">
        <f t="shared" si="101"/>
        <v/>
      </c>
      <c r="E1343" s="59" t="str">
        <f t="shared" si="103"/>
        <v/>
      </c>
      <c r="F1343" s="59" t="str">
        <f t="shared" si="104"/>
        <v/>
      </c>
      <c r="G1343" s="59" t="str">
        <f>IF($A1343="","",
   SUMIFS(Transactions!$P:$P,
          Transactions!$G:$G,$A1343,
          Transactions!$C:$C,"IN",
          Transactions!$Q:$Q,"Paid"))</f>
        <v/>
      </c>
      <c r="H1343" s="59" t="str">
        <f>IF($A1343="","",
   SUMIFS(Transactions!$P:$P,
          Transactions!$G:$G,$A1343,
          Transactions!$C:$C,"OUT"))</f>
        <v/>
      </c>
      <c r="I1343" s="65" t="str">
        <f t="shared" si="102"/>
        <v/>
      </c>
      <c r="J1343" s="59" t="str">
        <f t="shared" si="105"/>
        <v/>
      </c>
    </row>
    <row r="1344" spans="4:10" ht="22.5" customHeight="1" x14ac:dyDescent="0.25">
      <c r="D1344" s="59" t="str">
        <f t="shared" si="101"/>
        <v/>
      </c>
      <c r="E1344" s="59" t="str">
        <f t="shared" si="103"/>
        <v/>
      </c>
      <c r="F1344" s="59" t="str">
        <f t="shared" si="104"/>
        <v/>
      </c>
      <c r="G1344" s="59" t="str">
        <f>IF($A1344="","",
   SUMIFS(Transactions!$P:$P,
          Transactions!$G:$G,$A1344,
          Transactions!$C:$C,"IN",
          Transactions!$Q:$Q,"Paid"))</f>
        <v/>
      </c>
      <c r="H1344" s="59" t="str">
        <f>IF($A1344="","",
   SUMIFS(Transactions!$P:$P,
          Transactions!$G:$G,$A1344,
          Transactions!$C:$C,"OUT"))</f>
        <v/>
      </c>
      <c r="I1344" s="65" t="str">
        <f t="shared" si="102"/>
        <v/>
      </c>
      <c r="J1344" s="59" t="str">
        <f t="shared" si="105"/>
        <v/>
      </c>
    </row>
    <row r="1345" spans="4:10" ht="22.5" customHeight="1" x14ac:dyDescent="0.25">
      <c r="D1345" s="59" t="str">
        <f t="shared" si="101"/>
        <v/>
      </c>
      <c r="E1345" s="59" t="str">
        <f t="shared" si="103"/>
        <v/>
      </c>
      <c r="F1345" s="59" t="str">
        <f t="shared" si="104"/>
        <v/>
      </c>
      <c r="G1345" s="59" t="str">
        <f>IF($A1345="","",
   SUMIFS(Transactions!$P:$P,
          Transactions!$G:$G,$A1345,
          Transactions!$C:$C,"IN",
          Transactions!$Q:$Q,"Paid"))</f>
        <v/>
      </c>
      <c r="H1345" s="59" t="str">
        <f>IF($A1345="","",
   SUMIFS(Transactions!$P:$P,
          Transactions!$G:$G,$A1345,
          Transactions!$C:$C,"OUT"))</f>
        <v/>
      </c>
      <c r="I1345" s="65" t="str">
        <f t="shared" si="102"/>
        <v/>
      </c>
      <c r="J1345" s="59" t="str">
        <f t="shared" si="105"/>
        <v/>
      </c>
    </row>
    <row r="1346" spans="4:10" ht="22.5" customHeight="1" x14ac:dyDescent="0.25">
      <c r="D1346" s="59" t="str">
        <f t="shared" si="101"/>
        <v/>
      </c>
      <c r="E1346" s="59" t="str">
        <f t="shared" si="103"/>
        <v/>
      </c>
      <c r="F1346" s="59" t="str">
        <f t="shared" si="104"/>
        <v/>
      </c>
      <c r="G1346" s="59" t="str">
        <f>IF($A1346="","",
   SUMIFS(Transactions!$P:$P,
          Transactions!$G:$G,$A1346,
          Transactions!$C:$C,"IN",
          Transactions!$Q:$Q,"Paid"))</f>
        <v/>
      </c>
      <c r="H1346" s="59" t="str">
        <f>IF($A1346="","",
   SUMIFS(Transactions!$P:$P,
          Transactions!$G:$G,$A1346,
          Transactions!$C:$C,"OUT"))</f>
        <v/>
      </c>
      <c r="I1346" s="65" t="str">
        <f t="shared" si="102"/>
        <v/>
      </c>
      <c r="J1346" s="59" t="str">
        <f t="shared" si="105"/>
        <v/>
      </c>
    </row>
    <row r="1347" spans="4:10" ht="22.5" customHeight="1" x14ac:dyDescent="0.25">
      <c r="D1347" s="59" t="str">
        <f t="shared" ref="D1347:D1410" si="106">IF(C1347="","",ROUND(C1347*0.15,2))</f>
        <v/>
      </c>
      <c r="E1347" s="59" t="str">
        <f t="shared" si="103"/>
        <v/>
      </c>
      <c r="F1347" s="59" t="str">
        <f t="shared" si="104"/>
        <v/>
      </c>
      <c r="G1347" s="59" t="str">
        <f>IF($A1347="","",
   SUMIFS(Transactions!$P:$P,
          Transactions!$G:$G,$A1347,
          Transactions!$C:$C,"IN",
          Transactions!$Q:$Q,"Paid"))</f>
        <v/>
      </c>
      <c r="H1347" s="59" t="str">
        <f>IF($A1347="","",
   SUMIFS(Transactions!$P:$P,
          Transactions!$G:$G,$A1347,
          Transactions!$C:$C,"OUT"))</f>
        <v/>
      </c>
      <c r="I1347" s="65" t="str">
        <f t="shared" ref="I1347:I1410" si="107">IF(C1347="","",C1347-H1347)</f>
        <v/>
      </c>
      <c r="J1347" s="59" t="str">
        <f t="shared" si="105"/>
        <v/>
      </c>
    </row>
    <row r="1348" spans="4:10" ht="22.5" customHeight="1" x14ac:dyDescent="0.25">
      <c r="D1348" s="59" t="str">
        <f t="shared" si="106"/>
        <v/>
      </c>
      <c r="E1348" s="59" t="str">
        <f t="shared" ref="E1348:E1411" si="108">IF(C1348="","",C1348+D1348)</f>
        <v/>
      </c>
      <c r="F1348" s="59" t="str">
        <f t="shared" ref="F1348:F1411" si="109">IF(E1348="","",E1348*0.5)</f>
        <v/>
      </c>
      <c r="G1348" s="59" t="str">
        <f>IF($A1348="","",
   SUMIFS(Transactions!$P:$P,
          Transactions!$G:$G,$A1348,
          Transactions!$C:$C,"IN",
          Transactions!$Q:$Q,"Paid"))</f>
        <v/>
      </c>
      <c r="H1348" s="59" t="str">
        <f>IF($A1348="","",
   SUMIFS(Transactions!$P:$P,
          Transactions!$G:$G,$A1348,
          Transactions!$C:$C,"OUT"))</f>
        <v/>
      </c>
      <c r="I1348" s="65" t="str">
        <f t="shared" si="107"/>
        <v/>
      </c>
      <c r="J1348" s="59" t="str">
        <f t="shared" ref="J1348:J1411" si="110">IF(E1348="","",E1348-G1348)</f>
        <v/>
      </c>
    </row>
    <row r="1349" spans="4:10" ht="22.5" customHeight="1" x14ac:dyDescent="0.25">
      <c r="D1349" s="59" t="str">
        <f t="shared" si="106"/>
        <v/>
      </c>
      <c r="E1349" s="59" t="str">
        <f t="shared" si="108"/>
        <v/>
      </c>
      <c r="F1349" s="59" t="str">
        <f t="shared" si="109"/>
        <v/>
      </c>
      <c r="G1349" s="59" t="str">
        <f>IF($A1349="","",
   SUMIFS(Transactions!$P:$P,
          Transactions!$G:$G,$A1349,
          Transactions!$C:$C,"IN",
          Transactions!$Q:$Q,"Paid"))</f>
        <v/>
      </c>
      <c r="H1349" s="59" t="str">
        <f>IF($A1349="","",
   SUMIFS(Transactions!$P:$P,
          Transactions!$G:$G,$A1349,
          Transactions!$C:$C,"OUT"))</f>
        <v/>
      </c>
      <c r="I1349" s="65" t="str">
        <f t="shared" si="107"/>
        <v/>
      </c>
      <c r="J1349" s="59" t="str">
        <f t="shared" si="110"/>
        <v/>
      </c>
    </row>
    <row r="1350" spans="4:10" ht="22.5" customHeight="1" x14ac:dyDescent="0.25">
      <c r="D1350" s="59" t="str">
        <f t="shared" si="106"/>
        <v/>
      </c>
      <c r="E1350" s="59" t="str">
        <f t="shared" si="108"/>
        <v/>
      </c>
      <c r="F1350" s="59" t="str">
        <f t="shared" si="109"/>
        <v/>
      </c>
      <c r="G1350" s="59" t="str">
        <f>IF($A1350="","",
   SUMIFS(Transactions!$P:$P,
          Transactions!$G:$G,$A1350,
          Transactions!$C:$C,"IN",
          Transactions!$Q:$Q,"Paid"))</f>
        <v/>
      </c>
      <c r="H1350" s="59" t="str">
        <f>IF($A1350="","",
   SUMIFS(Transactions!$P:$P,
          Transactions!$G:$G,$A1350,
          Transactions!$C:$C,"OUT"))</f>
        <v/>
      </c>
      <c r="I1350" s="65" t="str">
        <f t="shared" si="107"/>
        <v/>
      </c>
      <c r="J1350" s="59" t="str">
        <f t="shared" si="110"/>
        <v/>
      </c>
    </row>
    <row r="1351" spans="4:10" ht="22.5" customHeight="1" x14ac:dyDescent="0.25">
      <c r="D1351" s="59" t="str">
        <f t="shared" si="106"/>
        <v/>
      </c>
      <c r="E1351" s="59" t="str">
        <f t="shared" si="108"/>
        <v/>
      </c>
      <c r="F1351" s="59" t="str">
        <f t="shared" si="109"/>
        <v/>
      </c>
      <c r="G1351" s="59" t="str">
        <f>IF($A1351="","",
   SUMIFS(Transactions!$P:$P,
          Transactions!$G:$G,$A1351,
          Transactions!$C:$C,"IN",
          Transactions!$Q:$Q,"Paid"))</f>
        <v/>
      </c>
      <c r="H1351" s="59" t="str">
        <f>IF($A1351="","",
   SUMIFS(Transactions!$P:$P,
          Transactions!$G:$G,$A1351,
          Transactions!$C:$C,"OUT"))</f>
        <v/>
      </c>
      <c r="I1351" s="65" t="str">
        <f t="shared" si="107"/>
        <v/>
      </c>
      <c r="J1351" s="59" t="str">
        <f t="shared" si="110"/>
        <v/>
      </c>
    </row>
    <row r="1352" spans="4:10" ht="22.5" customHeight="1" x14ac:dyDescent="0.25">
      <c r="D1352" s="59" t="str">
        <f t="shared" si="106"/>
        <v/>
      </c>
      <c r="E1352" s="59" t="str">
        <f t="shared" si="108"/>
        <v/>
      </c>
      <c r="F1352" s="59" t="str">
        <f t="shared" si="109"/>
        <v/>
      </c>
      <c r="G1352" s="59" t="str">
        <f>IF($A1352="","",
   SUMIFS(Transactions!$P:$P,
          Transactions!$G:$G,$A1352,
          Transactions!$C:$C,"IN",
          Transactions!$Q:$Q,"Paid"))</f>
        <v/>
      </c>
      <c r="H1352" s="59" t="str">
        <f>IF($A1352="","",
   SUMIFS(Transactions!$P:$P,
          Transactions!$G:$G,$A1352,
          Transactions!$C:$C,"OUT"))</f>
        <v/>
      </c>
      <c r="I1352" s="65" t="str">
        <f t="shared" si="107"/>
        <v/>
      </c>
      <c r="J1352" s="59" t="str">
        <f t="shared" si="110"/>
        <v/>
      </c>
    </row>
    <row r="1353" spans="4:10" ht="22.5" customHeight="1" x14ac:dyDescent="0.25">
      <c r="D1353" s="59" t="str">
        <f t="shared" si="106"/>
        <v/>
      </c>
      <c r="E1353" s="59" t="str">
        <f t="shared" si="108"/>
        <v/>
      </c>
      <c r="F1353" s="59" t="str">
        <f t="shared" si="109"/>
        <v/>
      </c>
      <c r="G1353" s="59" t="str">
        <f>IF($A1353="","",
   SUMIFS(Transactions!$P:$P,
          Transactions!$G:$G,$A1353,
          Transactions!$C:$C,"IN",
          Transactions!$Q:$Q,"Paid"))</f>
        <v/>
      </c>
      <c r="H1353" s="59" t="str">
        <f>IF($A1353="","",
   SUMIFS(Transactions!$P:$P,
          Transactions!$G:$G,$A1353,
          Transactions!$C:$C,"OUT"))</f>
        <v/>
      </c>
      <c r="I1353" s="65" t="str">
        <f t="shared" si="107"/>
        <v/>
      </c>
      <c r="J1353" s="59" t="str">
        <f t="shared" si="110"/>
        <v/>
      </c>
    </row>
    <row r="1354" spans="4:10" ht="22.5" customHeight="1" x14ac:dyDescent="0.25">
      <c r="D1354" s="59" t="str">
        <f t="shared" si="106"/>
        <v/>
      </c>
      <c r="E1354" s="59" t="str">
        <f t="shared" si="108"/>
        <v/>
      </c>
      <c r="F1354" s="59" t="str">
        <f t="shared" si="109"/>
        <v/>
      </c>
      <c r="G1354" s="59" t="str">
        <f>IF($A1354="","",
   SUMIFS(Transactions!$P:$P,
          Transactions!$G:$G,$A1354,
          Transactions!$C:$C,"IN",
          Transactions!$Q:$Q,"Paid"))</f>
        <v/>
      </c>
      <c r="H1354" s="59" t="str">
        <f>IF($A1354="","",
   SUMIFS(Transactions!$P:$P,
          Transactions!$G:$G,$A1354,
          Transactions!$C:$C,"OUT"))</f>
        <v/>
      </c>
      <c r="I1354" s="65" t="str">
        <f t="shared" si="107"/>
        <v/>
      </c>
      <c r="J1354" s="59" t="str">
        <f t="shared" si="110"/>
        <v/>
      </c>
    </row>
    <row r="1355" spans="4:10" ht="22.5" customHeight="1" x14ac:dyDescent="0.25">
      <c r="D1355" s="59" t="str">
        <f t="shared" si="106"/>
        <v/>
      </c>
      <c r="E1355" s="59" t="str">
        <f t="shared" si="108"/>
        <v/>
      </c>
      <c r="F1355" s="59" t="str">
        <f t="shared" si="109"/>
        <v/>
      </c>
      <c r="G1355" s="59" t="str">
        <f>IF($A1355="","",
   SUMIFS(Transactions!$P:$P,
          Transactions!$G:$G,$A1355,
          Transactions!$C:$C,"IN",
          Transactions!$Q:$Q,"Paid"))</f>
        <v/>
      </c>
      <c r="H1355" s="59" t="str">
        <f>IF($A1355="","",
   SUMIFS(Transactions!$P:$P,
          Transactions!$G:$G,$A1355,
          Transactions!$C:$C,"OUT"))</f>
        <v/>
      </c>
      <c r="I1355" s="65" t="str">
        <f t="shared" si="107"/>
        <v/>
      </c>
      <c r="J1355" s="59" t="str">
        <f t="shared" si="110"/>
        <v/>
      </c>
    </row>
    <row r="1356" spans="4:10" ht="22.5" customHeight="1" x14ac:dyDescent="0.25">
      <c r="D1356" s="59" t="str">
        <f t="shared" si="106"/>
        <v/>
      </c>
      <c r="E1356" s="59" t="str">
        <f t="shared" si="108"/>
        <v/>
      </c>
      <c r="F1356" s="59" t="str">
        <f t="shared" si="109"/>
        <v/>
      </c>
      <c r="G1356" s="59" t="str">
        <f>IF($A1356="","",
   SUMIFS(Transactions!$P:$P,
          Transactions!$G:$G,$A1356,
          Transactions!$C:$C,"IN",
          Transactions!$Q:$Q,"Paid"))</f>
        <v/>
      </c>
      <c r="H1356" s="59" t="str">
        <f>IF($A1356="","",
   SUMIFS(Transactions!$P:$P,
          Transactions!$G:$G,$A1356,
          Transactions!$C:$C,"OUT"))</f>
        <v/>
      </c>
      <c r="I1356" s="65" t="str">
        <f t="shared" si="107"/>
        <v/>
      </c>
      <c r="J1356" s="59" t="str">
        <f t="shared" si="110"/>
        <v/>
      </c>
    </row>
    <row r="1357" spans="4:10" ht="22.5" customHeight="1" x14ac:dyDescent="0.25">
      <c r="D1357" s="59" t="str">
        <f t="shared" si="106"/>
        <v/>
      </c>
      <c r="E1357" s="59" t="str">
        <f t="shared" si="108"/>
        <v/>
      </c>
      <c r="F1357" s="59" t="str">
        <f t="shared" si="109"/>
        <v/>
      </c>
      <c r="G1357" s="59" t="str">
        <f>IF($A1357="","",
   SUMIFS(Transactions!$P:$P,
          Transactions!$G:$G,$A1357,
          Transactions!$C:$C,"IN",
          Transactions!$Q:$Q,"Paid"))</f>
        <v/>
      </c>
      <c r="H1357" s="59" t="str">
        <f>IF($A1357="","",
   SUMIFS(Transactions!$P:$P,
          Transactions!$G:$G,$A1357,
          Transactions!$C:$C,"OUT"))</f>
        <v/>
      </c>
      <c r="I1357" s="65" t="str">
        <f t="shared" si="107"/>
        <v/>
      </c>
      <c r="J1357" s="59" t="str">
        <f t="shared" si="110"/>
        <v/>
      </c>
    </row>
    <row r="1358" spans="4:10" ht="22.5" customHeight="1" x14ac:dyDescent="0.25">
      <c r="D1358" s="59" t="str">
        <f t="shared" si="106"/>
        <v/>
      </c>
      <c r="E1358" s="59" t="str">
        <f t="shared" si="108"/>
        <v/>
      </c>
      <c r="F1358" s="59" t="str">
        <f t="shared" si="109"/>
        <v/>
      </c>
      <c r="G1358" s="59" t="str">
        <f>IF($A1358="","",
   SUMIFS(Transactions!$P:$P,
          Transactions!$G:$G,$A1358,
          Transactions!$C:$C,"IN",
          Transactions!$Q:$Q,"Paid"))</f>
        <v/>
      </c>
      <c r="H1358" s="59" t="str">
        <f>IF($A1358="","",
   SUMIFS(Transactions!$P:$P,
          Transactions!$G:$G,$A1358,
          Transactions!$C:$C,"OUT"))</f>
        <v/>
      </c>
      <c r="I1358" s="65" t="str">
        <f t="shared" si="107"/>
        <v/>
      </c>
      <c r="J1358" s="59" t="str">
        <f t="shared" si="110"/>
        <v/>
      </c>
    </row>
    <row r="1359" spans="4:10" ht="22.5" customHeight="1" x14ac:dyDescent="0.25">
      <c r="D1359" s="59" t="str">
        <f t="shared" si="106"/>
        <v/>
      </c>
      <c r="E1359" s="59" t="str">
        <f t="shared" si="108"/>
        <v/>
      </c>
      <c r="F1359" s="59" t="str">
        <f t="shared" si="109"/>
        <v/>
      </c>
      <c r="G1359" s="59" t="str">
        <f>IF($A1359="","",
   SUMIFS(Transactions!$P:$P,
          Transactions!$G:$G,$A1359,
          Transactions!$C:$C,"IN",
          Transactions!$Q:$Q,"Paid"))</f>
        <v/>
      </c>
      <c r="H1359" s="59" t="str">
        <f>IF($A1359="","",
   SUMIFS(Transactions!$P:$P,
          Transactions!$G:$G,$A1359,
          Transactions!$C:$C,"OUT"))</f>
        <v/>
      </c>
      <c r="I1359" s="65" t="str">
        <f t="shared" si="107"/>
        <v/>
      </c>
      <c r="J1359" s="59" t="str">
        <f t="shared" si="110"/>
        <v/>
      </c>
    </row>
    <row r="1360" spans="4:10" ht="22.5" customHeight="1" x14ac:dyDescent="0.25">
      <c r="D1360" s="59" t="str">
        <f t="shared" si="106"/>
        <v/>
      </c>
      <c r="E1360" s="59" t="str">
        <f t="shared" si="108"/>
        <v/>
      </c>
      <c r="F1360" s="59" t="str">
        <f t="shared" si="109"/>
        <v/>
      </c>
      <c r="G1360" s="59" t="str">
        <f>IF($A1360="","",
   SUMIFS(Transactions!$P:$P,
          Transactions!$G:$G,$A1360,
          Transactions!$C:$C,"IN",
          Transactions!$Q:$Q,"Paid"))</f>
        <v/>
      </c>
      <c r="H1360" s="59" t="str">
        <f>IF($A1360="","",
   SUMIFS(Transactions!$P:$P,
          Transactions!$G:$G,$A1360,
          Transactions!$C:$C,"OUT"))</f>
        <v/>
      </c>
      <c r="I1360" s="65" t="str">
        <f t="shared" si="107"/>
        <v/>
      </c>
      <c r="J1360" s="59" t="str">
        <f t="shared" si="110"/>
        <v/>
      </c>
    </row>
    <row r="1361" spans="4:10" ht="22.5" customHeight="1" x14ac:dyDescent="0.25">
      <c r="D1361" s="59" t="str">
        <f t="shared" si="106"/>
        <v/>
      </c>
      <c r="E1361" s="59" t="str">
        <f t="shared" si="108"/>
        <v/>
      </c>
      <c r="F1361" s="59" t="str">
        <f t="shared" si="109"/>
        <v/>
      </c>
      <c r="G1361" s="59" t="str">
        <f>IF($A1361="","",
   SUMIFS(Transactions!$P:$P,
          Transactions!$G:$G,$A1361,
          Transactions!$C:$C,"IN",
          Transactions!$Q:$Q,"Paid"))</f>
        <v/>
      </c>
      <c r="H1361" s="59" t="str">
        <f>IF($A1361="","",
   SUMIFS(Transactions!$P:$P,
          Transactions!$G:$G,$A1361,
          Transactions!$C:$C,"OUT"))</f>
        <v/>
      </c>
      <c r="I1361" s="65" t="str">
        <f t="shared" si="107"/>
        <v/>
      </c>
      <c r="J1361" s="59" t="str">
        <f t="shared" si="110"/>
        <v/>
      </c>
    </row>
    <row r="1362" spans="4:10" ht="22.5" customHeight="1" x14ac:dyDescent="0.25">
      <c r="D1362" s="59" t="str">
        <f t="shared" si="106"/>
        <v/>
      </c>
      <c r="E1362" s="59" t="str">
        <f t="shared" si="108"/>
        <v/>
      </c>
      <c r="F1362" s="59" t="str">
        <f t="shared" si="109"/>
        <v/>
      </c>
      <c r="G1362" s="59" t="str">
        <f>IF($A1362="","",
   SUMIFS(Transactions!$P:$P,
          Transactions!$G:$G,$A1362,
          Transactions!$C:$C,"IN",
          Transactions!$Q:$Q,"Paid"))</f>
        <v/>
      </c>
      <c r="H1362" s="59" t="str">
        <f>IF($A1362="","",
   SUMIFS(Transactions!$P:$P,
          Transactions!$G:$G,$A1362,
          Transactions!$C:$C,"OUT"))</f>
        <v/>
      </c>
      <c r="I1362" s="65" t="str">
        <f t="shared" si="107"/>
        <v/>
      </c>
      <c r="J1362" s="59" t="str">
        <f t="shared" si="110"/>
        <v/>
      </c>
    </row>
    <row r="1363" spans="4:10" ht="22.5" customHeight="1" x14ac:dyDescent="0.25">
      <c r="D1363" s="59" t="str">
        <f t="shared" si="106"/>
        <v/>
      </c>
      <c r="E1363" s="59" t="str">
        <f t="shared" si="108"/>
        <v/>
      </c>
      <c r="F1363" s="59" t="str">
        <f t="shared" si="109"/>
        <v/>
      </c>
      <c r="G1363" s="59" t="str">
        <f>IF($A1363="","",
   SUMIFS(Transactions!$P:$P,
          Transactions!$G:$G,$A1363,
          Transactions!$C:$C,"IN",
          Transactions!$Q:$Q,"Paid"))</f>
        <v/>
      </c>
      <c r="H1363" s="59" t="str">
        <f>IF($A1363="","",
   SUMIFS(Transactions!$P:$P,
          Transactions!$G:$G,$A1363,
          Transactions!$C:$C,"OUT"))</f>
        <v/>
      </c>
      <c r="I1363" s="65" t="str">
        <f t="shared" si="107"/>
        <v/>
      </c>
      <c r="J1363" s="59" t="str">
        <f t="shared" si="110"/>
        <v/>
      </c>
    </row>
    <row r="1364" spans="4:10" ht="22.5" customHeight="1" x14ac:dyDescent="0.25">
      <c r="D1364" s="59" t="str">
        <f t="shared" si="106"/>
        <v/>
      </c>
      <c r="E1364" s="59" t="str">
        <f t="shared" si="108"/>
        <v/>
      </c>
      <c r="F1364" s="59" t="str">
        <f t="shared" si="109"/>
        <v/>
      </c>
      <c r="G1364" s="59" t="str">
        <f>IF($A1364="","",
   SUMIFS(Transactions!$P:$P,
          Transactions!$G:$G,$A1364,
          Transactions!$C:$C,"IN",
          Transactions!$Q:$Q,"Paid"))</f>
        <v/>
      </c>
      <c r="H1364" s="59" t="str">
        <f>IF($A1364="","",
   SUMIFS(Transactions!$P:$P,
          Transactions!$G:$G,$A1364,
          Transactions!$C:$C,"OUT"))</f>
        <v/>
      </c>
      <c r="I1364" s="65" t="str">
        <f t="shared" si="107"/>
        <v/>
      </c>
      <c r="J1364" s="59" t="str">
        <f t="shared" si="110"/>
        <v/>
      </c>
    </row>
    <row r="1365" spans="4:10" ht="22.5" customHeight="1" x14ac:dyDescent="0.25">
      <c r="D1365" s="59" t="str">
        <f t="shared" si="106"/>
        <v/>
      </c>
      <c r="E1365" s="59" t="str">
        <f t="shared" si="108"/>
        <v/>
      </c>
      <c r="F1365" s="59" t="str">
        <f t="shared" si="109"/>
        <v/>
      </c>
      <c r="G1365" s="59" t="str">
        <f>IF($A1365="","",
   SUMIFS(Transactions!$P:$P,
          Transactions!$G:$G,$A1365,
          Transactions!$C:$C,"IN",
          Transactions!$Q:$Q,"Paid"))</f>
        <v/>
      </c>
      <c r="H1365" s="59" t="str">
        <f>IF($A1365="","",
   SUMIFS(Transactions!$P:$P,
          Transactions!$G:$G,$A1365,
          Transactions!$C:$C,"OUT"))</f>
        <v/>
      </c>
      <c r="I1365" s="65" t="str">
        <f t="shared" si="107"/>
        <v/>
      </c>
      <c r="J1365" s="59" t="str">
        <f t="shared" si="110"/>
        <v/>
      </c>
    </row>
    <row r="1366" spans="4:10" ht="22.5" customHeight="1" x14ac:dyDescent="0.25">
      <c r="D1366" s="59" t="str">
        <f t="shared" si="106"/>
        <v/>
      </c>
      <c r="E1366" s="59" t="str">
        <f t="shared" si="108"/>
        <v/>
      </c>
      <c r="F1366" s="59" t="str">
        <f t="shared" si="109"/>
        <v/>
      </c>
      <c r="G1366" s="59" t="str">
        <f>IF($A1366="","",
   SUMIFS(Transactions!$P:$P,
          Transactions!$G:$G,$A1366,
          Transactions!$C:$C,"IN",
          Transactions!$Q:$Q,"Paid"))</f>
        <v/>
      </c>
      <c r="H1366" s="59" t="str">
        <f>IF($A1366="","",
   SUMIFS(Transactions!$P:$P,
          Transactions!$G:$G,$A1366,
          Transactions!$C:$C,"OUT"))</f>
        <v/>
      </c>
      <c r="I1366" s="65" t="str">
        <f t="shared" si="107"/>
        <v/>
      </c>
      <c r="J1366" s="59" t="str">
        <f t="shared" si="110"/>
        <v/>
      </c>
    </row>
    <row r="1367" spans="4:10" ht="22.5" customHeight="1" x14ac:dyDescent="0.25">
      <c r="D1367" s="59" t="str">
        <f t="shared" si="106"/>
        <v/>
      </c>
      <c r="E1367" s="59" t="str">
        <f t="shared" si="108"/>
        <v/>
      </c>
      <c r="F1367" s="59" t="str">
        <f t="shared" si="109"/>
        <v/>
      </c>
      <c r="G1367" s="59" t="str">
        <f>IF($A1367="","",
   SUMIFS(Transactions!$P:$P,
          Transactions!$G:$G,$A1367,
          Transactions!$C:$C,"IN",
          Transactions!$Q:$Q,"Paid"))</f>
        <v/>
      </c>
      <c r="H1367" s="59" t="str">
        <f>IF($A1367="","",
   SUMIFS(Transactions!$P:$P,
          Transactions!$G:$G,$A1367,
          Transactions!$C:$C,"OUT"))</f>
        <v/>
      </c>
      <c r="I1367" s="65" t="str">
        <f t="shared" si="107"/>
        <v/>
      </c>
      <c r="J1367" s="59" t="str">
        <f t="shared" si="110"/>
        <v/>
      </c>
    </row>
    <row r="1368" spans="4:10" ht="22.5" customHeight="1" x14ac:dyDescent="0.25">
      <c r="D1368" s="59" t="str">
        <f t="shared" si="106"/>
        <v/>
      </c>
      <c r="E1368" s="59" t="str">
        <f t="shared" si="108"/>
        <v/>
      </c>
      <c r="F1368" s="59" t="str">
        <f t="shared" si="109"/>
        <v/>
      </c>
      <c r="G1368" s="59" t="str">
        <f>IF($A1368="","",
   SUMIFS(Transactions!$P:$P,
          Transactions!$G:$G,$A1368,
          Transactions!$C:$C,"IN",
          Transactions!$Q:$Q,"Paid"))</f>
        <v/>
      </c>
      <c r="H1368" s="59" t="str">
        <f>IF($A1368="","",
   SUMIFS(Transactions!$P:$P,
          Transactions!$G:$G,$A1368,
          Transactions!$C:$C,"OUT"))</f>
        <v/>
      </c>
      <c r="I1368" s="65" t="str">
        <f t="shared" si="107"/>
        <v/>
      </c>
      <c r="J1368" s="59" t="str">
        <f t="shared" si="110"/>
        <v/>
      </c>
    </row>
    <row r="1369" spans="4:10" ht="22.5" customHeight="1" x14ac:dyDescent="0.25">
      <c r="D1369" s="59" t="str">
        <f t="shared" si="106"/>
        <v/>
      </c>
      <c r="E1369" s="59" t="str">
        <f t="shared" si="108"/>
        <v/>
      </c>
      <c r="F1369" s="59" t="str">
        <f t="shared" si="109"/>
        <v/>
      </c>
      <c r="G1369" s="59" t="str">
        <f>IF($A1369="","",
   SUMIFS(Transactions!$P:$P,
          Transactions!$G:$G,$A1369,
          Transactions!$C:$C,"IN",
          Transactions!$Q:$Q,"Paid"))</f>
        <v/>
      </c>
      <c r="H1369" s="59" t="str">
        <f>IF($A1369="","",
   SUMIFS(Transactions!$P:$P,
          Transactions!$G:$G,$A1369,
          Transactions!$C:$C,"OUT"))</f>
        <v/>
      </c>
      <c r="I1369" s="65" t="str">
        <f t="shared" si="107"/>
        <v/>
      </c>
      <c r="J1369" s="59" t="str">
        <f t="shared" si="110"/>
        <v/>
      </c>
    </row>
    <row r="1370" spans="4:10" ht="22.5" customHeight="1" x14ac:dyDescent="0.25">
      <c r="D1370" s="59" t="str">
        <f t="shared" si="106"/>
        <v/>
      </c>
      <c r="E1370" s="59" t="str">
        <f t="shared" si="108"/>
        <v/>
      </c>
      <c r="F1370" s="59" t="str">
        <f t="shared" si="109"/>
        <v/>
      </c>
      <c r="G1370" s="59" t="str">
        <f>IF($A1370="","",
   SUMIFS(Transactions!$P:$P,
          Transactions!$G:$G,$A1370,
          Transactions!$C:$C,"IN",
          Transactions!$Q:$Q,"Paid"))</f>
        <v/>
      </c>
      <c r="H1370" s="59" t="str">
        <f>IF($A1370="","",
   SUMIFS(Transactions!$P:$P,
          Transactions!$G:$G,$A1370,
          Transactions!$C:$C,"OUT"))</f>
        <v/>
      </c>
      <c r="I1370" s="65" t="str">
        <f t="shared" si="107"/>
        <v/>
      </c>
      <c r="J1370" s="59" t="str">
        <f t="shared" si="110"/>
        <v/>
      </c>
    </row>
    <row r="1371" spans="4:10" ht="22.5" customHeight="1" x14ac:dyDescent="0.25">
      <c r="D1371" s="59" t="str">
        <f t="shared" si="106"/>
        <v/>
      </c>
      <c r="E1371" s="59" t="str">
        <f t="shared" si="108"/>
        <v/>
      </c>
      <c r="F1371" s="59" t="str">
        <f t="shared" si="109"/>
        <v/>
      </c>
      <c r="G1371" s="59" t="str">
        <f>IF($A1371="","",
   SUMIFS(Transactions!$P:$P,
          Transactions!$G:$G,$A1371,
          Transactions!$C:$C,"IN",
          Transactions!$Q:$Q,"Paid"))</f>
        <v/>
      </c>
      <c r="H1371" s="59" t="str">
        <f>IF($A1371="","",
   SUMIFS(Transactions!$P:$P,
          Transactions!$G:$G,$A1371,
          Transactions!$C:$C,"OUT"))</f>
        <v/>
      </c>
      <c r="I1371" s="65" t="str">
        <f t="shared" si="107"/>
        <v/>
      </c>
      <c r="J1371" s="59" t="str">
        <f t="shared" si="110"/>
        <v/>
      </c>
    </row>
    <row r="1372" spans="4:10" ht="22.5" customHeight="1" x14ac:dyDescent="0.25">
      <c r="D1372" s="59" t="str">
        <f t="shared" si="106"/>
        <v/>
      </c>
      <c r="E1372" s="59" t="str">
        <f t="shared" si="108"/>
        <v/>
      </c>
      <c r="F1372" s="59" t="str">
        <f t="shared" si="109"/>
        <v/>
      </c>
      <c r="G1372" s="59" t="str">
        <f>IF($A1372="","",
   SUMIFS(Transactions!$P:$P,
          Transactions!$G:$G,$A1372,
          Transactions!$C:$C,"IN",
          Transactions!$Q:$Q,"Paid"))</f>
        <v/>
      </c>
      <c r="H1372" s="59" t="str">
        <f>IF($A1372="","",
   SUMIFS(Transactions!$P:$P,
          Transactions!$G:$G,$A1372,
          Transactions!$C:$C,"OUT"))</f>
        <v/>
      </c>
      <c r="I1372" s="65" t="str">
        <f t="shared" si="107"/>
        <v/>
      </c>
      <c r="J1372" s="59" t="str">
        <f t="shared" si="110"/>
        <v/>
      </c>
    </row>
    <row r="1373" spans="4:10" ht="22.5" customHeight="1" x14ac:dyDescent="0.25">
      <c r="D1373" s="59" t="str">
        <f t="shared" si="106"/>
        <v/>
      </c>
      <c r="E1373" s="59" t="str">
        <f t="shared" si="108"/>
        <v/>
      </c>
      <c r="F1373" s="59" t="str">
        <f t="shared" si="109"/>
        <v/>
      </c>
      <c r="G1373" s="59" t="str">
        <f>IF($A1373="","",
   SUMIFS(Transactions!$P:$P,
          Transactions!$G:$G,$A1373,
          Transactions!$C:$C,"IN",
          Transactions!$Q:$Q,"Paid"))</f>
        <v/>
      </c>
      <c r="H1373" s="59" t="str">
        <f>IF($A1373="","",
   SUMIFS(Transactions!$P:$P,
          Transactions!$G:$G,$A1373,
          Transactions!$C:$C,"OUT"))</f>
        <v/>
      </c>
      <c r="I1373" s="65" t="str">
        <f t="shared" si="107"/>
        <v/>
      </c>
      <c r="J1373" s="59" t="str">
        <f t="shared" si="110"/>
        <v/>
      </c>
    </row>
    <row r="1374" spans="4:10" ht="22.5" customHeight="1" x14ac:dyDescent="0.25">
      <c r="D1374" s="59" t="str">
        <f t="shared" si="106"/>
        <v/>
      </c>
      <c r="E1374" s="59" t="str">
        <f t="shared" si="108"/>
        <v/>
      </c>
      <c r="F1374" s="59" t="str">
        <f t="shared" si="109"/>
        <v/>
      </c>
      <c r="G1374" s="59" t="str">
        <f>IF($A1374="","",
   SUMIFS(Transactions!$P:$P,
          Transactions!$G:$G,$A1374,
          Transactions!$C:$C,"IN",
          Transactions!$Q:$Q,"Paid"))</f>
        <v/>
      </c>
      <c r="H1374" s="59" t="str">
        <f>IF($A1374="","",
   SUMIFS(Transactions!$P:$P,
          Transactions!$G:$G,$A1374,
          Transactions!$C:$C,"OUT"))</f>
        <v/>
      </c>
      <c r="I1374" s="65" t="str">
        <f t="shared" si="107"/>
        <v/>
      </c>
      <c r="J1374" s="59" t="str">
        <f t="shared" si="110"/>
        <v/>
      </c>
    </row>
    <row r="1375" spans="4:10" ht="22.5" customHeight="1" x14ac:dyDescent="0.25">
      <c r="D1375" s="59" t="str">
        <f t="shared" si="106"/>
        <v/>
      </c>
      <c r="E1375" s="59" t="str">
        <f t="shared" si="108"/>
        <v/>
      </c>
      <c r="F1375" s="59" t="str">
        <f t="shared" si="109"/>
        <v/>
      </c>
      <c r="G1375" s="59" t="str">
        <f>IF($A1375="","",
   SUMIFS(Transactions!$P:$P,
          Transactions!$G:$G,$A1375,
          Transactions!$C:$C,"IN",
          Transactions!$Q:$Q,"Paid"))</f>
        <v/>
      </c>
      <c r="H1375" s="59" t="str">
        <f>IF($A1375="","",
   SUMIFS(Transactions!$P:$P,
          Transactions!$G:$G,$A1375,
          Transactions!$C:$C,"OUT"))</f>
        <v/>
      </c>
      <c r="I1375" s="65" t="str">
        <f t="shared" si="107"/>
        <v/>
      </c>
      <c r="J1375" s="59" t="str">
        <f t="shared" si="110"/>
        <v/>
      </c>
    </row>
    <row r="1376" spans="4:10" ht="22.5" customHeight="1" x14ac:dyDescent="0.25">
      <c r="D1376" s="59" t="str">
        <f t="shared" si="106"/>
        <v/>
      </c>
      <c r="E1376" s="59" t="str">
        <f t="shared" si="108"/>
        <v/>
      </c>
      <c r="F1376" s="59" t="str">
        <f t="shared" si="109"/>
        <v/>
      </c>
      <c r="G1376" s="59" t="str">
        <f>IF($A1376="","",
   SUMIFS(Transactions!$P:$P,
          Transactions!$G:$G,$A1376,
          Transactions!$C:$C,"IN",
          Transactions!$Q:$Q,"Paid"))</f>
        <v/>
      </c>
      <c r="H1376" s="59" t="str">
        <f>IF($A1376="","",
   SUMIFS(Transactions!$P:$P,
          Transactions!$G:$G,$A1376,
          Transactions!$C:$C,"OUT"))</f>
        <v/>
      </c>
      <c r="I1376" s="65" t="str">
        <f t="shared" si="107"/>
        <v/>
      </c>
      <c r="J1376" s="59" t="str">
        <f t="shared" si="110"/>
        <v/>
      </c>
    </row>
    <row r="1377" spans="4:10" ht="22.5" customHeight="1" x14ac:dyDescent="0.25">
      <c r="D1377" s="59" t="str">
        <f t="shared" si="106"/>
        <v/>
      </c>
      <c r="E1377" s="59" t="str">
        <f t="shared" si="108"/>
        <v/>
      </c>
      <c r="F1377" s="59" t="str">
        <f t="shared" si="109"/>
        <v/>
      </c>
      <c r="G1377" s="59" t="str">
        <f>IF($A1377="","",
   SUMIFS(Transactions!$P:$P,
          Transactions!$G:$G,$A1377,
          Transactions!$C:$C,"IN",
          Transactions!$Q:$Q,"Paid"))</f>
        <v/>
      </c>
      <c r="H1377" s="59" t="str">
        <f>IF($A1377="","",
   SUMIFS(Transactions!$P:$P,
          Transactions!$G:$G,$A1377,
          Transactions!$C:$C,"OUT"))</f>
        <v/>
      </c>
      <c r="I1377" s="65" t="str">
        <f t="shared" si="107"/>
        <v/>
      </c>
      <c r="J1377" s="59" t="str">
        <f t="shared" si="110"/>
        <v/>
      </c>
    </row>
    <row r="1378" spans="4:10" ht="22.5" customHeight="1" x14ac:dyDescent="0.25">
      <c r="D1378" s="59" t="str">
        <f t="shared" si="106"/>
        <v/>
      </c>
      <c r="E1378" s="59" t="str">
        <f t="shared" si="108"/>
        <v/>
      </c>
      <c r="F1378" s="59" t="str">
        <f t="shared" si="109"/>
        <v/>
      </c>
      <c r="G1378" s="59" t="str">
        <f>IF($A1378="","",
   SUMIFS(Transactions!$P:$P,
          Transactions!$G:$G,$A1378,
          Transactions!$C:$C,"IN",
          Transactions!$Q:$Q,"Paid"))</f>
        <v/>
      </c>
      <c r="H1378" s="59" t="str">
        <f>IF($A1378="","",
   SUMIFS(Transactions!$P:$P,
          Transactions!$G:$G,$A1378,
          Transactions!$C:$C,"OUT"))</f>
        <v/>
      </c>
      <c r="I1378" s="65" t="str">
        <f t="shared" si="107"/>
        <v/>
      </c>
      <c r="J1378" s="59" t="str">
        <f t="shared" si="110"/>
        <v/>
      </c>
    </row>
    <row r="1379" spans="4:10" ht="22.5" customHeight="1" x14ac:dyDescent="0.25">
      <c r="D1379" s="59" t="str">
        <f t="shared" si="106"/>
        <v/>
      </c>
      <c r="E1379" s="59" t="str">
        <f t="shared" si="108"/>
        <v/>
      </c>
      <c r="F1379" s="59" t="str">
        <f t="shared" si="109"/>
        <v/>
      </c>
      <c r="G1379" s="59" t="str">
        <f>IF($A1379="","",
   SUMIFS(Transactions!$P:$P,
          Transactions!$G:$G,$A1379,
          Transactions!$C:$C,"IN",
          Transactions!$Q:$Q,"Paid"))</f>
        <v/>
      </c>
      <c r="H1379" s="59" t="str">
        <f>IF($A1379="","",
   SUMIFS(Transactions!$P:$P,
          Transactions!$G:$G,$A1379,
          Transactions!$C:$C,"OUT"))</f>
        <v/>
      </c>
      <c r="I1379" s="65" t="str">
        <f t="shared" si="107"/>
        <v/>
      </c>
      <c r="J1379" s="59" t="str">
        <f t="shared" si="110"/>
        <v/>
      </c>
    </row>
    <row r="1380" spans="4:10" ht="22.5" customHeight="1" x14ac:dyDescent="0.25">
      <c r="D1380" s="59" t="str">
        <f t="shared" si="106"/>
        <v/>
      </c>
      <c r="E1380" s="59" t="str">
        <f t="shared" si="108"/>
        <v/>
      </c>
      <c r="F1380" s="59" t="str">
        <f t="shared" si="109"/>
        <v/>
      </c>
      <c r="G1380" s="59" t="str">
        <f>IF($A1380="","",
   SUMIFS(Transactions!$P:$P,
          Transactions!$G:$G,$A1380,
          Transactions!$C:$C,"IN",
          Transactions!$Q:$Q,"Paid"))</f>
        <v/>
      </c>
      <c r="H1380" s="59" t="str">
        <f>IF($A1380="","",
   SUMIFS(Transactions!$P:$P,
          Transactions!$G:$G,$A1380,
          Transactions!$C:$C,"OUT"))</f>
        <v/>
      </c>
      <c r="I1380" s="65" t="str">
        <f t="shared" si="107"/>
        <v/>
      </c>
      <c r="J1380" s="59" t="str">
        <f t="shared" si="110"/>
        <v/>
      </c>
    </row>
    <row r="1381" spans="4:10" ht="22.5" customHeight="1" x14ac:dyDescent="0.25">
      <c r="D1381" s="59" t="str">
        <f t="shared" si="106"/>
        <v/>
      </c>
      <c r="E1381" s="59" t="str">
        <f t="shared" si="108"/>
        <v/>
      </c>
      <c r="F1381" s="59" t="str">
        <f t="shared" si="109"/>
        <v/>
      </c>
      <c r="G1381" s="59" t="str">
        <f>IF($A1381="","",
   SUMIFS(Transactions!$P:$P,
          Transactions!$G:$G,$A1381,
          Transactions!$C:$C,"IN",
          Transactions!$Q:$Q,"Paid"))</f>
        <v/>
      </c>
      <c r="H1381" s="59" t="str">
        <f>IF($A1381="","",
   SUMIFS(Transactions!$P:$P,
          Transactions!$G:$G,$A1381,
          Transactions!$C:$C,"OUT"))</f>
        <v/>
      </c>
      <c r="I1381" s="65" t="str">
        <f t="shared" si="107"/>
        <v/>
      </c>
      <c r="J1381" s="59" t="str">
        <f t="shared" si="110"/>
        <v/>
      </c>
    </row>
    <row r="1382" spans="4:10" ht="22.5" customHeight="1" x14ac:dyDescent="0.25">
      <c r="D1382" s="59" t="str">
        <f t="shared" si="106"/>
        <v/>
      </c>
      <c r="E1382" s="59" t="str">
        <f t="shared" si="108"/>
        <v/>
      </c>
      <c r="F1382" s="59" t="str">
        <f t="shared" si="109"/>
        <v/>
      </c>
      <c r="G1382" s="59" t="str">
        <f>IF($A1382="","",
   SUMIFS(Transactions!$P:$P,
          Transactions!$G:$G,$A1382,
          Transactions!$C:$C,"IN",
          Transactions!$Q:$Q,"Paid"))</f>
        <v/>
      </c>
      <c r="H1382" s="59" t="str">
        <f>IF($A1382="","",
   SUMIFS(Transactions!$P:$P,
          Transactions!$G:$G,$A1382,
          Transactions!$C:$C,"OUT"))</f>
        <v/>
      </c>
      <c r="I1382" s="65" t="str">
        <f t="shared" si="107"/>
        <v/>
      </c>
      <c r="J1382" s="59" t="str">
        <f t="shared" si="110"/>
        <v/>
      </c>
    </row>
    <row r="1383" spans="4:10" ht="22.5" customHeight="1" x14ac:dyDescent="0.25">
      <c r="D1383" s="59" t="str">
        <f t="shared" si="106"/>
        <v/>
      </c>
      <c r="E1383" s="59" t="str">
        <f t="shared" si="108"/>
        <v/>
      </c>
      <c r="F1383" s="59" t="str">
        <f t="shared" si="109"/>
        <v/>
      </c>
      <c r="G1383" s="59" t="str">
        <f>IF($A1383="","",
   SUMIFS(Transactions!$P:$P,
          Transactions!$G:$G,$A1383,
          Transactions!$C:$C,"IN",
          Transactions!$Q:$Q,"Paid"))</f>
        <v/>
      </c>
      <c r="H1383" s="59" t="str">
        <f>IF($A1383="","",
   SUMIFS(Transactions!$P:$P,
          Transactions!$G:$G,$A1383,
          Transactions!$C:$C,"OUT"))</f>
        <v/>
      </c>
      <c r="I1383" s="65" t="str">
        <f t="shared" si="107"/>
        <v/>
      </c>
      <c r="J1383" s="59" t="str">
        <f t="shared" si="110"/>
        <v/>
      </c>
    </row>
    <row r="1384" spans="4:10" ht="22.5" customHeight="1" x14ac:dyDescent="0.25">
      <c r="D1384" s="59" t="str">
        <f t="shared" si="106"/>
        <v/>
      </c>
      <c r="E1384" s="59" t="str">
        <f t="shared" si="108"/>
        <v/>
      </c>
      <c r="F1384" s="59" t="str">
        <f t="shared" si="109"/>
        <v/>
      </c>
      <c r="G1384" s="59" t="str">
        <f>IF($A1384="","",
   SUMIFS(Transactions!$P:$P,
          Transactions!$G:$G,$A1384,
          Transactions!$C:$C,"IN",
          Transactions!$Q:$Q,"Paid"))</f>
        <v/>
      </c>
      <c r="H1384" s="59" t="str">
        <f>IF($A1384="","",
   SUMIFS(Transactions!$P:$P,
          Transactions!$G:$G,$A1384,
          Transactions!$C:$C,"OUT"))</f>
        <v/>
      </c>
      <c r="I1384" s="65" t="str">
        <f t="shared" si="107"/>
        <v/>
      </c>
      <c r="J1384" s="59" t="str">
        <f t="shared" si="110"/>
        <v/>
      </c>
    </row>
    <row r="1385" spans="4:10" ht="22.5" customHeight="1" x14ac:dyDescent="0.25">
      <c r="D1385" s="59" t="str">
        <f t="shared" si="106"/>
        <v/>
      </c>
      <c r="E1385" s="59" t="str">
        <f t="shared" si="108"/>
        <v/>
      </c>
      <c r="F1385" s="59" t="str">
        <f t="shared" si="109"/>
        <v/>
      </c>
      <c r="G1385" s="59" t="str">
        <f>IF($A1385="","",
   SUMIFS(Transactions!$P:$P,
          Transactions!$G:$G,$A1385,
          Transactions!$C:$C,"IN",
          Transactions!$Q:$Q,"Paid"))</f>
        <v/>
      </c>
      <c r="H1385" s="59" t="str">
        <f>IF($A1385="","",
   SUMIFS(Transactions!$P:$P,
          Transactions!$G:$G,$A1385,
          Transactions!$C:$C,"OUT"))</f>
        <v/>
      </c>
      <c r="I1385" s="65" t="str">
        <f t="shared" si="107"/>
        <v/>
      </c>
      <c r="J1385" s="59" t="str">
        <f t="shared" si="110"/>
        <v/>
      </c>
    </row>
    <row r="1386" spans="4:10" ht="22.5" customHeight="1" x14ac:dyDescent="0.25">
      <c r="D1386" s="59" t="str">
        <f t="shared" si="106"/>
        <v/>
      </c>
      <c r="E1386" s="59" t="str">
        <f t="shared" si="108"/>
        <v/>
      </c>
      <c r="F1386" s="59" t="str">
        <f t="shared" si="109"/>
        <v/>
      </c>
      <c r="G1386" s="59" t="str">
        <f>IF($A1386="","",
   SUMIFS(Transactions!$P:$P,
          Transactions!$G:$G,$A1386,
          Transactions!$C:$C,"IN",
          Transactions!$Q:$Q,"Paid"))</f>
        <v/>
      </c>
      <c r="H1386" s="59" t="str">
        <f>IF($A1386="","",
   SUMIFS(Transactions!$P:$P,
          Transactions!$G:$G,$A1386,
          Transactions!$C:$C,"OUT"))</f>
        <v/>
      </c>
      <c r="I1386" s="65" t="str">
        <f t="shared" si="107"/>
        <v/>
      </c>
      <c r="J1386" s="59" t="str">
        <f t="shared" si="110"/>
        <v/>
      </c>
    </row>
    <row r="1387" spans="4:10" ht="22.5" customHeight="1" x14ac:dyDescent="0.25">
      <c r="D1387" s="59" t="str">
        <f t="shared" si="106"/>
        <v/>
      </c>
      <c r="E1387" s="59" t="str">
        <f t="shared" si="108"/>
        <v/>
      </c>
      <c r="F1387" s="59" t="str">
        <f t="shared" si="109"/>
        <v/>
      </c>
      <c r="G1387" s="59" t="str">
        <f>IF($A1387="","",
   SUMIFS(Transactions!$P:$P,
          Transactions!$G:$G,$A1387,
          Transactions!$C:$C,"IN",
          Transactions!$Q:$Q,"Paid"))</f>
        <v/>
      </c>
      <c r="H1387" s="59" t="str">
        <f>IF($A1387="","",
   SUMIFS(Transactions!$P:$P,
          Transactions!$G:$G,$A1387,
          Transactions!$C:$C,"OUT"))</f>
        <v/>
      </c>
      <c r="I1387" s="65" t="str">
        <f t="shared" si="107"/>
        <v/>
      </c>
      <c r="J1387" s="59" t="str">
        <f t="shared" si="110"/>
        <v/>
      </c>
    </row>
    <row r="1388" spans="4:10" ht="22.5" customHeight="1" x14ac:dyDescent="0.25">
      <c r="D1388" s="59" t="str">
        <f t="shared" si="106"/>
        <v/>
      </c>
      <c r="E1388" s="59" t="str">
        <f t="shared" si="108"/>
        <v/>
      </c>
      <c r="F1388" s="59" t="str">
        <f t="shared" si="109"/>
        <v/>
      </c>
      <c r="G1388" s="59" t="str">
        <f>IF($A1388="","",
   SUMIFS(Transactions!$P:$P,
          Transactions!$G:$G,$A1388,
          Transactions!$C:$C,"IN",
          Transactions!$Q:$Q,"Paid"))</f>
        <v/>
      </c>
      <c r="H1388" s="59" t="str">
        <f>IF($A1388="","",
   SUMIFS(Transactions!$P:$P,
          Transactions!$G:$G,$A1388,
          Transactions!$C:$C,"OUT"))</f>
        <v/>
      </c>
      <c r="I1388" s="65" t="str">
        <f t="shared" si="107"/>
        <v/>
      </c>
      <c r="J1388" s="59" t="str">
        <f t="shared" si="110"/>
        <v/>
      </c>
    </row>
    <row r="1389" spans="4:10" ht="22.5" customHeight="1" x14ac:dyDescent="0.25">
      <c r="D1389" s="59" t="str">
        <f t="shared" si="106"/>
        <v/>
      </c>
      <c r="E1389" s="59" t="str">
        <f t="shared" si="108"/>
        <v/>
      </c>
      <c r="F1389" s="59" t="str">
        <f t="shared" si="109"/>
        <v/>
      </c>
      <c r="G1389" s="59" t="str">
        <f>IF($A1389="","",
   SUMIFS(Transactions!$P:$P,
          Transactions!$G:$G,$A1389,
          Transactions!$C:$C,"IN",
          Transactions!$Q:$Q,"Paid"))</f>
        <v/>
      </c>
      <c r="H1389" s="59" t="str">
        <f>IF($A1389="","",
   SUMIFS(Transactions!$P:$P,
          Transactions!$G:$G,$A1389,
          Transactions!$C:$C,"OUT"))</f>
        <v/>
      </c>
      <c r="I1389" s="65" t="str">
        <f t="shared" si="107"/>
        <v/>
      </c>
      <c r="J1389" s="59" t="str">
        <f t="shared" si="110"/>
        <v/>
      </c>
    </row>
    <row r="1390" spans="4:10" ht="22.5" customHeight="1" x14ac:dyDescent="0.25">
      <c r="D1390" s="59" t="str">
        <f t="shared" si="106"/>
        <v/>
      </c>
      <c r="E1390" s="59" t="str">
        <f t="shared" si="108"/>
        <v/>
      </c>
      <c r="F1390" s="59" t="str">
        <f t="shared" si="109"/>
        <v/>
      </c>
      <c r="G1390" s="59" t="str">
        <f>IF($A1390="","",
   SUMIFS(Transactions!$P:$P,
          Transactions!$G:$G,$A1390,
          Transactions!$C:$C,"IN",
          Transactions!$Q:$Q,"Paid"))</f>
        <v/>
      </c>
      <c r="H1390" s="59" t="str">
        <f>IF($A1390="","",
   SUMIFS(Transactions!$P:$P,
          Transactions!$G:$G,$A1390,
          Transactions!$C:$C,"OUT"))</f>
        <v/>
      </c>
      <c r="I1390" s="65" t="str">
        <f t="shared" si="107"/>
        <v/>
      </c>
      <c r="J1390" s="59" t="str">
        <f t="shared" si="110"/>
        <v/>
      </c>
    </row>
    <row r="1391" spans="4:10" ht="22.5" customHeight="1" x14ac:dyDescent="0.25">
      <c r="D1391" s="59" t="str">
        <f t="shared" si="106"/>
        <v/>
      </c>
      <c r="E1391" s="59" t="str">
        <f t="shared" si="108"/>
        <v/>
      </c>
      <c r="F1391" s="59" t="str">
        <f t="shared" si="109"/>
        <v/>
      </c>
      <c r="G1391" s="59" t="str">
        <f>IF($A1391="","",
   SUMIFS(Transactions!$P:$P,
          Transactions!$G:$G,$A1391,
          Transactions!$C:$C,"IN",
          Transactions!$Q:$Q,"Paid"))</f>
        <v/>
      </c>
      <c r="H1391" s="59" t="str">
        <f>IF($A1391="","",
   SUMIFS(Transactions!$P:$P,
          Transactions!$G:$G,$A1391,
          Transactions!$C:$C,"OUT"))</f>
        <v/>
      </c>
      <c r="I1391" s="65" t="str">
        <f t="shared" si="107"/>
        <v/>
      </c>
      <c r="J1391" s="59" t="str">
        <f t="shared" si="110"/>
        <v/>
      </c>
    </row>
    <row r="1392" spans="4:10" ht="22.5" customHeight="1" x14ac:dyDescent="0.25">
      <c r="D1392" s="59" t="str">
        <f t="shared" si="106"/>
        <v/>
      </c>
      <c r="E1392" s="59" t="str">
        <f t="shared" si="108"/>
        <v/>
      </c>
      <c r="F1392" s="59" t="str">
        <f t="shared" si="109"/>
        <v/>
      </c>
      <c r="G1392" s="59" t="str">
        <f>IF($A1392="","",
   SUMIFS(Transactions!$P:$P,
          Transactions!$G:$G,$A1392,
          Transactions!$C:$C,"IN",
          Transactions!$Q:$Q,"Paid"))</f>
        <v/>
      </c>
      <c r="H1392" s="59" t="str">
        <f>IF($A1392="","",
   SUMIFS(Transactions!$P:$P,
          Transactions!$G:$G,$A1392,
          Transactions!$C:$C,"OUT"))</f>
        <v/>
      </c>
      <c r="I1392" s="65" t="str">
        <f t="shared" si="107"/>
        <v/>
      </c>
      <c r="J1392" s="59" t="str">
        <f t="shared" si="110"/>
        <v/>
      </c>
    </row>
    <row r="1393" spans="4:10" ht="22.5" customHeight="1" x14ac:dyDescent="0.25">
      <c r="D1393" s="59" t="str">
        <f t="shared" si="106"/>
        <v/>
      </c>
      <c r="E1393" s="59" t="str">
        <f t="shared" si="108"/>
        <v/>
      </c>
      <c r="F1393" s="59" t="str">
        <f t="shared" si="109"/>
        <v/>
      </c>
      <c r="G1393" s="59" t="str">
        <f>IF($A1393="","",
   SUMIFS(Transactions!$P:$P,
          Transactions!$G:$G,$A1393,
          Transactions!$C:$C,"IN",
          Transactions!$Q:$Q,"Paid"))</f>
        <v/>
      </c>
      <c r="H1393" s="59" t="str">
        <f>IF($A1393="","",
   SUMIFS(Transactions!$P:$P,
          Transactions!$G:$G,$A1393,
          Transactions!$C:$C,"OUT"))</f>
        <v/>
      </c>
      <c r="I1393" s="65" t="str">
        <f t="shared" si="107"/>
        <v/>
      </c>
      <c r="J1393" s="59" t="str">
        <f t="shared" si="110"/>
        <v/>
      </c>
    </row>
    <row r="1394" spans="4:10" ht="22.5" customHeight="1" x14ac:dyDescent="0.25">
      <c r="D1394" s="59" t="str">
        <f t="shared" si="106"/>
        <v/>
      </c>
      <c r="E1394" s="59" t="str">
        <f t="shared" si="108"/>
        <v/>
      </c>
      <c r="F1394" s="59" t="str">
        <f t="shared" si="109"/>
        <v/>
      </c>
      <c r="G1394" s="59" t="str">
        <f>IF($A1394="","",
   SUMIFS(Transactions!$P:$P,
          Transactions!$G:$G,$A1394,
          Transactions!$C:$C,"IN",
          Transactions!$Q:$Q,"Paid"))</f>
        <v/>
      </c>
      <c r="H1394" s="59" t="str">
        <f>IF($A1394="","",
   SUMIFS(Transactions!$P:$P,
          Transactions!$G:$G,$A1394,
          Transactions!$C:$C,"OUT"))</f>
        <v/>
      </c>
      <c r="I1394" s="65" t="str">
        <f t="shared" si="107"/>
        <v/>
      </c>
      <c r="J1394" s="59" t="str">
        <f t="shared" si="110"/>
        <v/>
      </c>
    </row>
    <row r="1395" spans="4:10" ht="22.5" customHeight="1" x14ac:dyDescent="0.25">
      <c r="D1395" s="59" t="str">
        <f t="shared" si="106"/>
        <v/>
      </c>
      <c r="E1395" s="59" t="str">
        <f t="shared" si="108"/>
        <v/>
      </c>
      <c r="F1395" s="59" t="str">
        <f t="shared" si="109"/>
        <v/>
      </c>
      <c r="G1395" s="59" t="str">
        <f>IF($A1395="","",
   SUMIFS(Transactions!$P:$P,
          Transactions!$G:$G,$A1395,
          Transactions!$C:$C,"IN",
          Transactions!$Q:$Q,"Paid"))</f>
        <v/>
      </c>
      <c r="H1395" s="59" t="str">
        <f>IF($A1395="","",
   SUMIFS(Transactions!$P:$P,
          Transactions!$G:$G,$A1395,
          Transactions!$C:$C,"OUT"))</f>
        <v/>
      </c>
      <c r="I1395" s="65" t="str">
        <f t="shared" si="107"/>
        <v/>
      </c>
      <c r="J1395" s="59" t="str">
        <f t="shared" si="110"/>
        <v/>
      </c>
    </row>
    <row r="1396" spans="4:10" ht="22.5" customHeight="1" x14ac:dyDescent="0.25">
      <c r="D1396" s="59" t="str">
        <f t="shared" si="106"/>
        <v/>
      </c>
      <c r="E1396" s="59" t="str">
        <f t="shared" si="108"/>
        <v/>
      </c>
      <c r="F1396" s="59" t="str">
        <f t="shared" si="109"/>
        <v/>
      </c>
      <c r="G1396" s="59" t="str">
        <f>IF($A1396="","",
   SUMIFS(Transactions!$P:$P,
          Transactions!$G:$G,$A1396,
          Transactions!$C:$C,"IN",
          Transactions!$Q:$Q,"Paid"))</f>
        <v/>
      </c>
      <c r="H1396" s="59" t="str">
        <f>IF($A1396="","",
   SUMIFS(Transactions!$P:$P,
          Transactions!$G:$G,$A1396,
          Transactions!$C:$C,"OUT"))</f>
        <v/>
      </c>
      <c r="I1396" s="65" t="str">
        <f t="shared" si="107"/>
        <v/>
      </c>
      <c r="J1396" s="59" t="str">
        <f t="shared" si="110"/>
        <v/>
      </c>
    </row>
    <row r="1397" spans="4:10" ht="22.5" customHeight="1" x14ac:dyDescent="0.25">
      <c r="D1397" s="59" t="str">
        <f t="shared" si="106"/>
        <v/>
      </c>
      <c r="E1397" s="59" t="str">
        <f t="shared" si="108"/>
        <v/>
      </c>
      <c r="F1397" s="59" t="str">
        <f t="shared" si="109"/>
        <v/>
      </c>
      <c r="G1397" s="59" t="str">
        <f>IF($A1397="","",
   SUMIFS(Transactions!$P:$P,
          Transactions!$G:$G,$A1397,
          Transactions!$C:$C,"IN",
          Transactions!$Q:$Q,"Paid"))</f>
        <v/>
      </c>
      <c r="H1397" s="59" t="str">
        <f>IF($A1397="","",
   SUMIFS(Transactions!$P:$P,
          Transactions!$G:$G,$A1397,
          Transactions!$C:$C,"OUT"))</f>
        <v/>
      </c>
      <c r="I1397" s="65" t="str">
        <f t="shared" si="107"/>
        <v/>
      </c>
      <c r="J1397" s="59" t="str">
        <f t="shared" si="110"/>
        <v/>
      </c>
    </row>
    <row r="1398" spans="4:10" ht="22.5" customHeight="1" x14ac:dyDescent="0.25">
      <c r="D1398" s="59" t="str">
        <f t="shared" si="106"/>
        <v/>
      </c>
      <c r="E1398" s="59" t="str">
        <f t="shared" si="108"/>
        <v/>
      </c>
      <c r="F1398" s="59" t="str">
        <f t="shared" si="109"/>
        <v/>
      </c>
      <c r="G1398" s="59" t="str">
        <f>IF($A1398="","",
   SUMIFS(Transactions!$P:$P,
          Transactions!$G:$G,$A1398,
          Transactions!$C:$C,"IN",
          Transactions!$Q:$Q,"Paid"))</f>
        <v/>
      </c>
      <c r="H1398" s="59" t="str">
        <f>IF($A1398="","",
   SUMIFS(Transactions!$P:$P,
          Transactions!$G:$G,$A1398,
          Transactions!$C:$C,"OUT"))</f>
        <v/>
      </c>
      <c r="I1398" s="65" t="str">
        <f t="shared" si="107"/>
        <v/>
      </c>
      <c r="J1398" s="59" t="str">
        <f t="shared" si="110"/>
        <v/>
      </c>
    </row>
    <row r="1399" spans="4:10" ht="22.5" customHeight="1" x14ac:dyDescent="0.25">
      <c r="D1399" s="59" t="str">
        <f t="shared" si="106"/>
        <v/>
      </c>
      <c r="E1399" s="59" t="str">
        <f t="shared" si="108"/>
        <v/>
      </c>
      <c r="F1399" s="59" t="str">
        <f t="shared" si="109"/>
        <v/>
      </c>
      <c r="G1399" s="59" t="str">
        <f>IF($A1399="","",
   SUMIFS(Transactions!$P:$P,
          Transactions!$G:$G,$A1399,
          Transactions!$C:$C,"IN",
          Transactions!$Q:$Q,"Paid"))</f>
        <v/>
      </c>
      <c r="H1399" s="59" t="str">
        <f>IF($A1399="","",
   SUMIFS(Transactions!$P:$P,
          Transactions!$G:$G,$A1399,
          Transactions!$C:$C,"OUT"))</f>
        <v/>
      </c>
      <c r="I1399" s="65" t="str">
        <f t="shared" si="107"/>
        <v/>
      </c>
      <c r="J1399" s="59" t="str">
        <f t="shared" si="110"/>
        <v/>
      </c>
    </row>
    <row r="1400" spans="4:10" ht="22.5" customHeight="1" x14ac:dyDescent="0.25">
      <c r="D1400" s="59" t="str">
        <f t="shared" si="106"/>
        <v/>
      </c>
      <c r="E1400" s="59" t="str">
        <f t="shared" si="108"/>
        <v/>
      </c>
      <c r="F1400" s="59" t="str">
        <f t="shared" si="109"/>
        <v/>
      </c>
      <c r="G1400" s="59" t="str">
        <f>IF($A1400="","",
   SUMIFS(Transactions!$P:$P,
          Transactions!$G:$G,$A1400,
          Transactions!$C:$C,"IN",
          Transactions!$Q:$Q,"Paid"))</f>
        <v/>
      </c>
      <c r="H1400" s="59" t="str">
        <f>IF($A1400="","",
   SUMIFS(Transactions!$P:$P,
          Transactions!$G:$G,$A1400,
          Transactions!$C:$C,"OUT"))</f>
        <v/>
      </c>
      <c r="I1400" s="65" t="str">
        <f t="shared" si="107"/>
        <v/>
      </c>
      <c r="J1400" s="59" t="str">
        <f t="shared" si="110"/>
        <v/>
      </c>
    </row>
    <row r="1401" spans="4:10" ht="22.5" customHeight="1" x14ac:dyDescent="0.25">
      <c r="D1401" s="59" t="str">
        <f t="shared" si="106"/>
        <v/>
      </c>
      <c r="E1401" s="59" t="str">
        <f t="shared" si="108"/>
        <v/>
      </c>
      <c r="F1401" s="59" t="str">
        <f t="shared" si="109"/>
        <v/>
      </c>
      <c r="G1401" s="59" t="str">
        <f>IF($A1401="","",
   SUMIFS(Transactions!$P:$P,
          Transactions!$G:$G,$A1401,
          Transactions!$C:$C,"IN",
          Transactions!$Q:$Q,"Paid"))</f>
        <v/>
      </c>
      <c r="H1401" s="59" t="str">
        <f>IF($A1401="","",
   SUMIFS(Transactions!$P:$P,
          Transactions!$G:$G,$A1401,
          Transactions!$C:$C,"OUT"))</f>
        <v/>
      </c>
      <c r="I1401" s="65" t="str">
        <f t="shared" si="107"/>
        <v/>
      </c>
      <c r="J1401" s="59" t="str">
        <f t="shared" si="110"/>
        <v/>
      </c>
    </row>
    <row r="1402" spans="4:10" ht="22.5" customHeight="1" x14ac:dyDescent="0.25">
      <c r="D1402" s="59" t="str">
        <f t="shared" si="106"/>
        <v/>
      </c>
      <c r="E1402" s="59" t="str">
        <f t="shared" si="108"/>
        <v/>
      </c>
      <c r="F1402" s="59" t="str">
        <f t="shared" si="109"/>
        <v/>
      </c>
      <c r="G1402" s="59" t="str">
        <f>IF($A1402="","",
   SUMIFS(Transactions!$P:$P,
          Transactions!$G:$G,$A1402,
          Transactions!$C:$C,"IN",
          Transactions!$Q:$Q,"Paid"))</f>
        <v/>
      </c>
      <c r="H1402" s="59" t="str">
        <f>IF($A1402="","",
   SUMIFS(Transactions!$P:$P,
          Transactions!$G:$G,$A1402,
          Transactions!$C:$C,"OUT"))</f>
        <v/>
      </c>
      <c r="I1402" s="65" t="str">
        <f t="shared" si="107"/>
        <v/>
      </c>
      <c r="J1402" s="59" t="str">
        <f t="shared" si="110"/>
        <v/>
      </c>
    </row>
    <row r="1403" spans="4:10" ht="22.5" customHeight="1" x14ac:dyDescent="0.25">
      <c r="D1403" s="59" t="str">
        <f t="shared" si="106"/>
        <v/>
      </c>
      <c r="E1403" s="59" t="str">
        <f t="shared" si="108"/>
        <v/>
      </c>
      <c r="F1403" s="59" t="str">
        <f t="shared" si="109"/>
        <v/>
      </c>
      <c r="G1403" s="59" t="str">
        <f>IF($A1403="","",
   SUMIFS(Transactions!$P:$P,
          Transactions!$G:$G,$A1403,
          Transactions!$C:$C,"IN",
          Transactions!$Q:$Q,"Paid"))</f>
        <v/>
      </c>
      <c r="H1403" s="59" t="str">
        <f>IF($A1403="","",
   SUMIFS(Transactions!$P:$P,
          Transactions!$G:$G,$A1403,
          Transactions!$C:$C,"OUT"))</f>
        <v/>
      </c>
      <c r="I1403" s="65" t="str">
        <f t="shared" si="107"/>
        <v/>
      </c>
      <c r="J1403" s="59" t="str">
        <f t="shared" si="110"/>
        <v/>
      </c>
    </row>
    <row r="1404" spans="4:10" ht="22.5" customHeight="1" x14ac:dyDescent="0.25">
      <c r="D1404" s="59" t="str">
        <f t="shared" si="106"/>
        <v/>
      </c>
      <c r="E1404" s="59" t="str">
        <f t="shared" si="108"/>
        <v/>
      </c>
      <c r="F1404" s="59" t="str">
        <f t="shared" si="109"/>
        <v/>
      </c>
      <c r="G1404" s="59" t="str">
        <f>IF($A1404="","",
   SUMIFS(Transactions!$P:$P,
          Transactions!$G:$G,$A1404,
          Transactions!$C:$C,"IN",
          Transactions!$Q:$Q,"Paid"))</f>
        <v/>
      </c>
      <c r="H1404" s="59" t="str">
        <f>IF($A1404="","",
   SUMIFS(Transactions!$P:$P,
          Transactions!$G:$G,$A1404,
          Transactions!$C:$C,"OUT"))</f>
        <v/>
      </c>
      <c r="I1404" s="65" t="str">
        <f t="shared" si="107"/>
        <v/>
      </c>
      <c r="J1404" s="59" t="str">
        <f t="shared" si="110"/>
        <v/>
      </c>
    </row>
    <row r="1405" spans="4:10" ht="22.5" customHeight="1" x14ac:dyDescent="0.25">
      <c r="D1405" s="59" t="str">
        <f t="shared" si="106"/>
        <v/>
      </c>
      <c r="E1405" s="59" t="str">
        <f t="shared" si="108"/>
        <v/>
      </c>
      <c r="F1405" s="59" t="str">
        <f t="shared" si="109"/>
        <v/>
      </c>
      <c r="G1405" s="59" t="str">
        <f>IF($A1405="","",
   SUMIFS(Transactions!$P:$P,
          Transactions!$G:$G,$A1405,
          Transactions!$C:$C,"IN",
          Transactions!$Q:$Q,"Paid"))</f>
        <v/>
      </c>
      <c r="H1405" s="59" t="str">
        <f>IF($A1405="","",
   SUMIFS(Transactions!$P:$P,
          Transactions!$G:$G,$A1405,
          Transactions!$C:$C,"OUT"))</f>
        <v/>
      </c>
      <c r="I1405" s="65" t="str">
        <f t="shared" si="107"/>
        <v/>
      </c>
      <c r="J1405" s="59" t="str">
        <f t="shared" si="110"/>
        <v/>
      </c>
    </row>
    <row r="1406" spans="4:10" ht="22.5" customHeight="1" x14ac:dyDescent="0.25">
      <c r="D1406" s="59" t="str">
        <f t="shared" si="106"/>
        <v/>
      </c>
      <c r="E1406" s="59" t="str">
        <f t="shared" si="108"/>
        <v/>
      </c>
      <c r="F1406" s="59" t="str">
        <f t="shared" si="109"/>
        <v/>
      </c>
      <c r="G1406" s="59" t="str">
        <f>IF($A1406="","",
   SUMIFS(Transactions!$P:$P,
          Transactions!$G:$G,$A1406,
          Transactions!$C:$C,"IN",
          Transactions!$Q:$Q,"Paid"))</f>
        <v/>
      </c>
      <c r="H1406" s="59" t="str">
        <f>IF($A1406="","",
   SUMIFS(Transactions!$P:$P,
          Transactions!$G:$G,$A1406,
          Transactions!$C:$C,"OUT"))</f>
        <v/>
      </c>
      <c r="I1406" s="65" t="str">
        <f t="shared" si="107"/>
        <v/>
      </c>
      <c r="J1406" s="59" t="str">
        <f t="shared" si="110"/>
        <v/>
      </c>
    </row>
    <row r="1407" spans="4:10" ht="22.5" customHeight="1" x14ac:dyDescent="0.25">
      <c r="D1407" s="59" t="str">
        <f t="shared" si="106"/>
        <v/>
      </c>
      <c r="E1407" s="59" t="str">
        <f t="shared" si="108"/>
        <v/>
      </c>
      <c r="F1407" s="59" t="str">
        <f t="shared" si="109"/>
        <v/>
      </c>
      <c r="G1407" s="59" t="str">
        <f>IF($A1407="","",
   SUMIFS(Transactions!$P:$P,
          Transactions!$G:$G,$A1407,
          Transactions!$C:$C,"IN",
          Transactions!$Q:$Q,"Paid"))</f>
        <v/>
      </c>
      <c r="H1407" s="59" t="str">
        <f>IF($A1407="","",
   SUMIFS(Transactions!$P:$P,
          Transactions!$G:$G,$A1407,
          Transactions!$C:$C,"OUT"))</f>
        <v/>
      </c>
      <c r="I1407" s="65" t="str">
        <f t="shared" si="107"/>
        <v/>
      </c>
      <c r="J1407" s="59" t="str">
        <f t="shared" si="110"/>
        <v/>
      </c>
    </row>
    <row r="1408" spans="4:10" ht="22.5" customHeight="1" x14ac:dyDescent="0.25">
      <c r="D1408" s="59" t="str">
        <f t="shared" si="106"/>
        <v/>
      </c>
      <c r="E1408" s="59" t="str">
        <f t="shared" si="108"/>
        <v/>
      </c>
      <c r="F1408" s="59" t="str">
        <f t="shared" si="109"/>
        <v/>
      </c>
      <c r="G1408" s="59" t="str">
        <f>IF($A1408="","",
   SUMIFS(Transactions!$P:$P,
          Transactions!$G:$G,$A1408,
          Transactions!$C:$C,"IN",
          Transactions!$Q:$Q,"Paid"))</f>
        <v/>
      </c>
      <c r="H1408" s="59" t="str">
        <f>IF($A1408="","",
   SUMIFS(Transactions!$P:$P,
          Transactions!$G:$G,$A1408,
          Transactions!$C:$C,"OUT"))</f>
        <v/>
      </c>
      <c r="I1408" s="65" t="str">
        <f t="shared" si="107"/>
        <v/>
      </c>
      <c r="J1408" s="59" t="str">
        <f t="shared" si="110"/>
        <v/>
      </c>
    </row>
    <row r="1409" spans="4:10" ht="22.5" customHeight="1" x14ac:dyDescent="0.25">
      <c r="D1409" s="59" t="str">
        <f t="shared" si="106"/>
        <v/>
      </c>
      <c r="E1409" s="59" t="str">
        <f t="shared" si="108"/>
        <v/>
      </c>
      <c r="F1409" s="59" t="str">
        <f t="shared" si="109"/>
        <v/>
      </c>
      <c r="G1409" s="59" t="str">
        <f>IF($A1409="","",
   SUMIFS(Transactions!$P:$P,
          Transactions!$G:$G,$A1409,
          Transactions!$C:$C,"IN",
          Transactions!$Q:$Q,"Paid"))</f>
        <v/>
      </c>
      <c r="H1409" s="59" t="str">
        <f>IF($A1409="","",
   SUMIFS(Transactions!$P:$P,
          Transactions!$G:$G,$A1409,
          Transactions!$C:$C,"OUT"))</f>
        <v/>
      </c>
      <c r="I1409" s="65" t="str">
        <f t="shared" si="107"/>
        <v/>
      </c>
      <c r="J1409" s="59" t="str">
        <f t="shared" si="110"/>
        <v/>
      </c>
    </row>
    <row r="1410" spans="4:10" ht="22.5" customHeight="1" x14ac:dyDescent="0.25">
      <c r="D1410" s="59" t="str">
        <f t="shared" si="106"/>
        <v/>
      </c>
      <c r="E1410" s="59" t="str">
        <f t="shared" si="108"/>
        <v/>
      </c>
      <c r="F1410" s="59" t="str">
        <f t="shared" si="109"/>
        <v/>
      </c>
      <c r="G1410" s="59" t="str">
        <f>IF($A1410="","",
   SUMIFS(Transactions!$P:$P,
          Transactions!$G:$G,$A1410,
          Transactions!$C:$C,"IN",
          Transactions!$Q:$Q,"Paid"))</f>
        <v/>
      </c>
      <c r="H1410" s="59" t="str">
        <f>IF($A1410="","",
   SUMIFS(Transactions!$P:$P,
          Transactions!$G:$G,$A1410,
          Transactions!$C:$C,"OUT"))</f>
        <v/>
      </c>
      <c r="I1410" s="65" t="str">
        <f t="shared" si="107"/>
        <v/>
      </c>
      <c r="J1410" s="59" t="str">
        <f t="shared" si="110"/>
        <v/>
      </c>
    </row>
    <row r="1411" spans="4:10" ht="22.5" customHeight="1" x14ac:dyDescent="0.25">
      <c r="D1411" s="59" t="str">
        <f t="shared" ref="D1411:D1474" si="111">IF(C1411="","",ROUND(C1411*0.15,2))</f>
        <v/>
      </c>
      <c r="E1411" s="59" t="str">
        <f t="shared" si="108"/>
        <v/>
      </c>
      <c r="F1411" s="59" t="str">
        <f t="shared" si="109"/>
        <v/>
      </c>
      <c r="G1411" s="59" t="str">
        <f>IF($A1411="","",
   SUMIFS(Transactions!$P:$P,
          Transactions!$G:$G,$A1411,
          Transactions!$C:$C,"IN",
          Transactions!$Q:$Q,"Paid"))</f>
        <v/>
      </c>
      <c r="H1411" s="59" t="str">
        <f>IF($A1411="","",
   SUMIFS(Transactions!$P:$P,
          Transactions!$G:$G,$A1411,
          Transactions!$C:$C,"OUT"))</f>
        <v/>
      </c>
      <c r="I1411" s="65" t="str">
        <f t="shared" ref="I1411:I1474" si="112">IF(C1411="","",C1411-H1411)</f>
        <v/>
      </c>
      <c r="J1411" s="59" t="str">
        <f t="shared" si="110"/>
        <v/>
      </c>
    </row>
    <row r="1412" spans="4:10" ht="22.5" customHeight="1" x14ac:dyDescent="0.25">
      <c r="D1412" s="59" t="str">
        <f t="shared" si="111"/>
        <v/>
      </c>
      <c r="E1412" s="59" t="str">
        <f t="shared" ref="E1412:E1475" si="113">IF(C1412="","",C1412+D1412)</f>
        <v/>
      </c>
      <c r="F1412" s="59" t="str">
        <f t="shared" ref="F1412:F1475" si="114">IF(E1412="","",E1412*0.5)</f>
        <v/>
      </c>
      <c r="G1412" s="59" t="str">
        <f>IF($A1412="","",
   SUMIFS(Transactions!$P:$P,
          Transactions!$G:$G,$A1412,
          Transactions!$C:$C,"IN",
          Transactions!$Q:$Q,"Paid"))</f>
        <v/>
      </c>
      <c r="H1412" s="59" t="str">
        <f>IF($A1412="","",
   SUMIFS(Transactions!$P:$P,
          Transactions!$G:$G,$A1412,
          Transactions!$C:$C,"OUT"))</f>
        <v/>
      </c>
      <c r="I1412" s="65" t="str">
        <f t="shared" si="112"/>
        <v/>
      </c>
      <c r="J1412" s="59" t="str">
        <f t="shared" ref="J1412:J1475" si="115">IF(E1412="","",E1412-G1412)</f>
        <v/>
      </c>
    </row>
    <row r="1413" spans="4:10" ht="22.5" customHeight="1" x14ac:dyDescent="0.25">
      <c r="D1413" s="59" t="str">
        <f t="shared" si="111"/>
        <v/>
      </c>
      <c r="E1413" s="59" t="str">
        <f t="shared" si="113"/>
        <v/>
      </c>
      <c r="F1413" s="59" t="str">
        <f t="shared" si="114"/>
        <v/>
      </c>
      <c r="G1413" s="59" t="str">
        <f>IF($A1413="","",
   SUMIFS(Transactions!$P:$P,
          Transactions!$G:$G,$A1413,
          Transactions!$C:$C,"IN",
          Transactions!$Q:$Q,"Paid"))</f>
        <v/>
      </c>
      <c r="H1413" s="59" t="str">
        <f>IF($A1413="","",
   SUMIFS(Transactions!$P:$P,
          Transactions!$G:$G,$A1413,
          Transactions!$C:$C,"OUT"))</f>
        <v/>
      </c>
      <c r="I1413" s="65" t="str">
        <f t="shared" si="112"/>
        <v/>
      </c>
      <c r="J1413" s="59" t="str">
        <f t="shared" si="115"/>
        <v/>
      </c>
    </row>
    <row r="1414" spans="4:10" ht="22.5" customHeight="1" x14ac:dyDescent="0.25">
      <c r="D1414" s="59" t="str">
        <f t="shared" si="111"/>
        <v/>
      </c>
      <c r="E1414" s="59" t="str">
        <f t="shared" si="113"/>
        <v/>
      </c>
      <c r="F1414" s="59" t="str">
        <f t="shared" si="114"/>
        <v/>
      </c>
      <c r="G1414" s="59" t="str">
        <f>IF($A1414="","",
   SUMIFS(Transactions!$P:$P,
          Transactions!$G:$G,$A1414,
          Transactions!$C:$C,"IN",
          Transactions!$Q:$Q,"Paid"))</f>
        <v/>
      </c>
      <c r="H1414" s="59" t="str">
        <f>IF($A1414="","",
   SUMIFS(Transactions!$P:$P,
          Transactions!$G:$G,$A1414,
          Transactions!$C:$C,"OUT"))</f>
        <v/>
      </c>
      <c r="I1414" s="65" t="str">
        <f t="shared" si="112"/>
        <v/>
      </c>
      <c r="J1414" s="59" t="str">
        <f t="shared" si="115"/>
        <v/>
      </c>
    </row>
    <row r="1415" spans="4:10" ht="22.5" customHeight="1" x14ac:dyDescent="0.25">
      <c r="D1415" s="59" t="str">
        <f t="shared" si="111"/>
        <v/>
      </c>
      <c r="E1415" s="59" t="str">
        <f t="shared" si="113"/>
        <v/>
      </c>
      <c r="F1415" s="59" t="str">
        <f t="shared" si="114"/>
        <v/>
      </c>
      <c r="G1415" s="59" t="str">
        <f>IF($A1415="","",
   SUMIFS(Transactions!$P:$P,
          Transactions!$G:$G,$A1415,
          Transactions!$C:$C,"IN",
          Transactions!$Q:$Q,"Paid"))</f>
        <v/>
      </c>
      <c r="H1415" s="59" t="str">
        <f>IF($A1415="","",
   SUMIFS(Transactions!$P:$P,
          Transactions!$G:$G,$A1415,
          Transactions!$C:$C,"OUT"))</f>
        <v/>
      </c>
      <c r="I1415" s="65" t="str">
        <f t="shared" si="112"/>
        <v/>
      </c>
      <c r="J1415" s="59" t="str">
        <f t="shared" si="115"/>
        <v/>
      </c>
    </row>
    <row r="1416" spans="4:10" ht="22.5" customHeight="1" x14ac:dyDescent="0.25">
      <c r="D1416" s="59" t="str">
        <f t="shared" si="111"/>
        <v/>
      </c>
      <c r="E1416" s="59" t="str">
        <f t="shared" si="113"/>
        <v/>
      </c>
      <c r="F1416" s="59" t="str">
        <f t="shared" si="114"/>
        <v/>
      </c>
      <c r="G1416" s="59" t="str">
        <f>IF($A1416="","",
   SUMIFS(Transactions!$P:$P,
          Transactions!$G:$G,$A1416,
          Transactions!$C:$C,"IN",
          Transactions!$Q:$Q,"Paid"))</f>
        <v/>
      </c>
      <c r="H1416" s="59" t="str">
        <f>IF($A1416="","",
   SUMIFS(Transactions!$P:$P,
          Transactions!$G:$G,$A1416,
          Transactions!$C:$C,"OUT"))</f>
        <v/>
      </c>
      <c r="I1416" s="65" t="str">
        <f t="shared" si="112"/>
        <v/>
      </c>
      <c r="J1416" s="59" t="str">
        <f t="shared" si="115"/>
        <v/>
      </c>
    </row>
    <row r="1417" spans="4:10" ht="22.5" customHeight="1" x14ac:dyDescent="0.25">
      <c r="D1417" s="59" t="str">
        <f t="shared" si="111"/>
        <v/>
      </c>
      <c r="E1417" s="59" t="str">
        <f t="shared" si="113"/>
        <v/>
      </c>
      <c r="F1417" s="59" t="str">
        <f t="shared" si="114"/>
        <v/>
      </c>
      <c r="G1417" s="59" t="str">
        <f>IF($A1417="","",
   SUMIFS(Transactions!$P:$P,
          Transactions!$G:$G,$A1417,
          Transactions!$C:$C,"IN",
          Transactions!$Q:$Q,"Paid"))</f>
        <v/>
      </c>
      <c r="H1417" s="59" t="str">
        <f>IF($A1417="","",
   SUMIFS(Transactions!$P:$P,
          Transactions!$G:$G,$A1417,
          Transactions!$C:$C,"OUT"))</f>
        <v/>
      </c>
      <c r="I1417" s="65" t="str">
        <f t="shared" si="112"/>
        <v/>
      </c>
      <c r="J1417" s="59" t="str">
        <f t="shared" si="115"/>
        <v/>
      </c>
    </row>
    <row r="1418" spans="4:10" ht="22.5" customHeight="1" x14ac:dyDescent="0.25">
      <c r="D1418" s="59" t="str">
        <f t="shared" si="111"/>
        <v/>
      </c>
      <c r="E1418" s="59" t="str">
        <f t="shared" si="113"/>
        <v/>
      </c>
      <c r="F1418" s="59" t="str">
        <f t="shared" si="114"/>
        <v/>
      </c>
      <c r="G1418" s="59" t="str">
        <f>IF($A1418="","",
   SUMIFS(Transactions!$P:$P,
          Transactions!$G:$G,$A1418,
          Transactions!$C:$C,"IN",
          Transactions!$Q:$Q,"Paid"))</f>
        <v/>
      </c>
      <c r="H1418" s="59" t="str">
        <f>IF($A1418="","",
   SUMIFS(Transactions!$P:$P,
          Transactions!$G:$G,$A1418,
          Transactions!$C:$C,"OUT"))</f>
        <v/>
      </c>
      <c r="I1418" s="65" t="str">
        <f t="shared" si="112"/>
        <v/>
      </c>
      <c r="J1418" s="59" t="str">
        <f t="shared" si="115"/>
        <v/>
      </c>
    </row>
    <row r="1419" spans="4:10" ht="22.5" customHeight="1" x14ac:dyDescent="0.25">
      <c r="D1419" s="59" t="str">
        <f t="shared" si="111"/>
        <v/>
      </c>
      <c r="E1419" s="59" t="str">
        <f t="shared" si="113"/>
        <v/>
      </c>
      <c r="F1419" s="59" t="str">
        <f t="shared" si="114"/>
        <v/>
      </c>
      <c r="G1419" s="59" t="str">
        <f>IF($A1419="","",
   SUMIFS(Transactions!$P:$P,
          Transactions!$G:$G,$A1419,
          Transactions!$C:$C,"IN",
          Transactions!$Q:$Q,"Paid"))</f>
        <v/>
      </c>
      <c r="H1419" s="59" t="str">
        <f>IF($A1419="","",
   SUMIFS(Transactions!$P:$P,
          Transactions!$G:$G,$A1419,
          Transactions!$C:$C,"OUT"))</f>
        <v/>
      </c>
      <c r="I1419" s="65" t="str">
        <f t="shared" si="112"/>
        <v/>
      </c>
      <c r="J1419" s="59" t="str">
        <f t="shared" si="115"/>
        <v/>
      </c>
    </row>
    <row r="1420" spans="4:10" ht="22.5" customHeight="1" x14ac:dyDescent="0.25">
      <c r="D1420" s="59" t="str">
        <f t="shared" si="111"/>
        <v/>
      </c>
      <c r="E1420" s="59" t="str">
        <f t="shared" si="113"/>
        <v/>
      </c>
      <c r="F1420" s="59" t="str">
        <f t="shared" si="114"/>
        <v/>
      </c>
      <c r="G1420" s="59" t="str">
        <f>IF($A1420="","",
   SUMIFS(Transactions!$P:$P,
          Transactions!$G:$G,$A1420,
          Transactions!$C:$C,"IN",
          Transactions!$Q:$Q,"Paid"))</f>
        <v/>
      </c>
      <c r="H1420" s="59" t="str">
        <f>IF($A1420="","",
   SUMIFS(Transactions!$P:$P,
          Transactions!$G:$G,$A1420,
          Transactions!$C:$C,"OUT"))</f>
        <v/>
      </c>
      <c r="I1420" s="65" t="str">
        <f t="shared" si="112"/>
        <v/>
      </c>
      <c r="J1420" s="59" t="str">
        <f t="shared" si="115"/>
        <v/>
      </c>
    </row>
    <row r="1421" spans="4:10" ht="22.5" customHeight="1" x14ac:dyDescent="0.25">
      <c r="D1421" s="59" t="str">
        <f t="shared" si="111"/>
        <v/>
      </c>
      <c r="E1421" s="59" t="str">
        <f t="shared" si="113"/>
        <v/>
      </c>
      <c r="F1421" s="59" t="str">
        <f t="shared" si="114"/>
        <v/>
      </c>
      <c r="G1421" s="59" t="str">
        <f>IF($A1421="","",
   SUMIFS(Transactions!$P:$P,
          Transactions!$G:$G,$A1421,
          Transactions!$C:$C,"IN",
          Transactions!$Q:$Q,"Paid"))</f>
        <v/>
      </c>
      <c r="H1421" s="59" t="str">
        <f>IF($A1421="","",
   SUMIFS(Transactions!$P:$P,
          Transactions!$G:$G,$A1421,
          Transactions!$C:$C,"OUT"))</f>
        <v/>
      </c>
      <c r="I1421" s="65" t="str">
        <f t="shared" si="112"/>
        <v/>
      </c>
      <c r="J1421" s="59" t="str">
        <f t="shared" si="115"/>
        <v/>
      </c>
    </row>
    <row r="1422" spans="4:10" ht="22.5" customHeight="1" x14ac:dyDescent="0.25">
      <c r="D1422" s="59" t="str">
        <f t="shared" si="111"/>
        <v/>
      </c>
      <c r="E1422" s="59" t="str">
        <f t="shared" si="113"/>
        <v/>
      </c>
      <c r="F1422" s="59" t="str">
        <f t="shared" si="114"/>
        <v/>
      </c>
      <c r="G1422" s="59" t="str">
        <f>IF($A1422="","",
   SUMIFS(Transactions!$P:$P,
          Transactions!$G:$G,$A1422,
          Transactions!$C:$C,"IN",
          Transactions!$Q:$Q,"Paid"))</f>
        <v/>
      </c>
      <c r="H1422" s="59" t="str">
        <f>IF($A1422="","",
   SUMIFS(Transactions!$P:$P,
          Transactions!$G:$G,$A1422,
          Transactions!$C:$C,"OUT"))</f>
        <v/>
      </c>
      <c r="I1422" s="65" t="str">
        <f t="shared" si="112"/>
        <v/>
      </c>
      <c r="J1422" s="59" t="str">
        <f t="shared" si="115"/>
        <v/>
      </c>
    </row>
    <row r="1423" spans="4:10" ht="22.5" customHeight="1" x14ac:dyDescent="0.25">
      <c r="D1423" s="59" t="str">
        <f t="shared" si="111"/>
        <v/>
      </c>
      <c r="E1423" s="59" t="str">
        <f t="shared" si="113"/>
        <v/>
      </c>
      <c r="F1423" s="59" t="str">
        <f t="shared" si="114"/>
        <v/>
      </c>
      <c r="G1423" s="59" t="str">
        <f>IF($A1423="","",
   SUMIFS(Transactions!$P:$P,
          Transactions!$G:$G,$A1423,
          Transactions!$C:$C,"IN",
          Transactions!$Q:$Q,"Paid"))</f>
        <v/>
      </c>
      <c r="H1423" s="59" t="str">
        <f>IF($A1423="","",
   SUMIFS(Transactions!$P:$P,
          Transactions!$G:$G,$A1423,
          Transactions!$C:$C,"OUT"))</f>
        <v/>
      </c>
      <c r="I1423" s="65" t="str">
        <f t="shared" si="112"/>
        <v/>
      </c>
      <c r="J1423" s="59" t="str">
        <f t="shared" si="115"/>
        <v/>
      </c>
    </row>
    <row r="1424" spans="4:10" ht="22.5" customHeight="1" x14ac:dyDescent="0.25">
      <c r="D1424" s="59" t="str">
        <f t="shared" si="111"/>
        <v/>
      </c>
      <c r="E1424" s="59" t="str">
        <f t="shared" si="113"/>
        <v/>
      </c>
      <c r="F1424" s="59" t="str">
        <f t="shared" si="114"/>
        <v/>
      </c>
      <c r="G1424" s="59" t="str">
        <f>IF($A1424="","",
   SUMIFS(Transactions!$P:$P,
          Transactions!$G:$G,$A1424,
          Transactions!$C:$C,"IN",
          Transactions!$Q:$Q,"Paid"))</f>
        <v/>
      </c>
      <c r="H1424" s="59" t="str">
        <f>IF($A1424="","",
   SUMIFS(Transactions!$P:$P,
          Transactions!$G:$G,$A1424,
          Transactions!$C:$C,"OUT"))</f>
        <v/>
      </c>
      <c r="I1424" s="65" t="str">
        <f t="shared" si="112"/>
        <v/>
      </c>
      <c r="J1424" s="59" t="str">
        <f t="shared" si="115"/>
        <v/>
      </c>
    </row>
    <row r="1425" spans="4:10" ht="22.5" customHeight="1" x14ac:dyDescent="0.25">
      <c r="D1425" s="59" t="str">
        <f t="shared" si="111"/>
        <v/>
      </c>
      <c r="E1425" s="59" t="str">
        <f t="shared" si="113"/>
        <v/>
      </c>
      <c r="F1425" s="59" t="str">
        <f t="shared" si="114"/>
        <v/>
      </c>
      <c r="G1425" s="59" t="str">
        <f>IF($A1425="","",
   SUMIFS(Transactions!$P:$P,
          Transactions!$G:$G,$A1425,
          Transactions!$C:$C,"IN",
          Transactions!$Q:$Q,"Paid"))</f>
        <v/>
      </c>
      <c r="H1425" s="59" t="str">
        <f>IF($A1425="","",
   SUMIFS(Transactions!$P:$P,
          Transactions!$G:$G,$A1425,
          Transactions!$C:$C,"OUT"))</f>
        <v/>
      </c>
      <c r="I1425" s="65" t="str">
        <f t="shared" si="112"/>
        <v/>
      </c>
      <c r="J1425" s="59" t="str">
        <f t="shared" si="115"/>
        <v/>
      </c>
    </row>
    <row r="1426" spans="4:10" ht="22.5" customHeight="1" x14ac:dyDescent="0.25">
      <c r="D1426" s="59" t="str">
        <f t="shared" si="111"/>
        <v/>
      </c>
      <c r="E1426" s="59" t="str">
        <f t="shared" si="113"/>
        <v/>
      </c>
      <c r="F1426" s="59" t="str">
        <f t="shared" si="114"/>
        <v/>
      </c>
      <c r="G1426" s="59" t="str">
        <f>IF($A1426="","",
   SUMIFS(Transactions!$P:$P,
          Transactions!$G:$G,$A1426,
          Transactions!$C:$C,"IN",
          Transactions!$Q:$Q,"Paid"))</f>
        <v/>
      </c>
      <c r="H1426" s="59" t="str">
        <f>IF($A1426="","",
   SUMIFS(Transactions!$P:$P,
          Transactions!$G:$G,$A1426,
          Transactions!$C:$C,"OUT"))</f>
        <v/>
      </c>
      <c r="I1426" s="65" t="str">
        <f t="shared" si="112"/>
        <v/>
      </c>
      <c r="J1426" s="59" t="str">
        <f t="shared" si="115"/>
        <v/>
      </c>
    </row>
    <row r="1427" spans="4:10" ht="22.5" customHeight="1" x14ac:dyDescent="0.25">
      <c r="D1427" s="59" t="str">
        <f t="shared" si="111"/>
        <v/>
      </c>
      <c r="E1427" s="59" t="str">
        <f t="shared" si="113"/>
        <v/>
      </c>
      <c r="F1427" s="59" t="str">
        <f t="shared" si="114"/>
        <v/>
      </c>
      <c r="G1427" s="59" t="str">
        <f>IF($A1427="","",
   SUMIFS(Transactions!$P:$P,
          Transactions!$G:$G,$A1427,
          Transactions!$C:$C,"IN",
          Transactions!$Q:$Q,"Paid"))</f>
        <v/>
      </c>
      <c r="H1427" s="59" t="str">
        <f>IF($A1427="","",
   SUMIFS(Transactions!$P:$P,
          Transactions!$G:$G,$A1427,
          Transactions!$C:$C,"OUT"))</f>
        <v/>
      </c>
      <c r="I1427" s="65" t="str">
        <f t="shared" si="112"/>
        <v/>
      </c>
      <c r="J1427" s="59" t="str">
        <f t="shared" si="115"/>
        <v/>
      </c>
    </row>
    <row r="1428" spans="4:10" ht="22.5" customHeight="1" x14ac:dyDescent="0.25">
      <c r="D1428" s="59" t="str">
        <f t="shared" si="111"/>
        <v/>
      </c>
      <c r="E1428" s="59" t="str">
        <f t="shared" si="113"/>
        <v/>
      </c>
      <c r="F1428" s="59" t="str">
        <f t="shared" si="114"/>
        <v/>
      </c>
      <c r="G1428" s="59" t="str">
        <f>IF($A1428="","",
   SUMIFS(Transactions!$P:$P,
          Transactions!$G:$G,$A1428,
          Transactions!$C:$C,"IN",
          Transactions!$Q:$Q,"Paid"))</f>
        <v/>
      </c>
      <c r="H1428" s="59" t="str">
        <f>IF($A1428="","",
   SUMIFS(Transactions!$P:$P,
          Transactions!$G:$G,$A1428,
          Transactions!$C:$C,"OUT"))</f>
        <v/>
      </c>
      <c r="I1428" s="65" t="str">
        <f t="shared" si="112"/>
        <v/>
      </c>
      <c r="J1428" s="59" t="str">
        <f t="shared" si="115"/>
        <v/>
      </c>
    </row>
    <row r="1429" spans="4:10" ht="22.5" customHeight="1" x14ac:dyDescent="0.25">
      <c r="D1429" s="59" t="str">
        <f t="shared" si="111"/>
        <v/>
      </c>
      <c r="E1429" s="59" t="str">
        <f t="shared" si="113"/>
        <v/>
      </c>
      <c r="F1429" s="59" t="str">
        <f t="shared" si="114"/>
        <v/>
      </c>
      <c r="G1429" s="59" t="str">
        <f>IF($A1429="","",
   SUMIFS(Transactions!$P:$P,
          Transactions!$G:$G,$A1429,
          Transactions!$C:$C,"IN",
          Transactions!$Q:$Q,"Paid"))</f>
        <v/>
      </c>
      <c r="H1429" s="59" t="str">
        <f>IF($A1429="","",
   SUMIFS(Transactions!$P:$P,
          Transactions!$G:$G,$A1429,
          Transactions!$C:$C,"OUT"))</f>
        <v/>
      </c>
      <c r="I1429" s="65" t="str">
        <f t="shared" si="112"/>
        <v/>
      </c>
      <c r="J1429" s="59" t="str">
        <f t="shared" si="115"/>
        <v/>
      </c>
    </row>
    <row r="1430" spans="4:10" ht="22.5" customHeight="1" x14ac:dyDescent="0.25">
      <c r="D1430" s="59" t="str">
        <f t="shared" si="111"/>
        <v/>
      </c>
      <c r="E1430" s="59" t="str">
        <f t="shared" si="113"/>
        <v/>
      </c>
      <c r="F1430" s="59" t="str">
        <f t="shared" si="114"/>
        <v/>
      </c>
      <c r="G1430" s="59" t="str">
        <f>IF($A1430="","",
   SUMIFS(Transactions!$P:$P,
          Transactions!$G:$G,$A1430,
          Transactions!$C:$C,"IN",
          Transactions!$Q:$Q,"Paid"))</f>
        <v/>
      </c>
      <c r="H1430" s="59" t="str">
        <f>IF($A1430="","",
   SUMIFS(Transactions!$P:$P,
          Transactions!$G:$G,$A1430,
          Transactions!$C:$C,"OUT"))</f>
        <v/>
      </c>
      <c r="I1430" s="65" t="str">
        <f t="shared" si="112"/>
        <v/>
      </c>
      <c r="J1430" s="59" t="str">
        <f t="shared" si="115"/>
        <v/>
      </c>
    </row>
    <row r="1431" spans="4:10" ht="22.5" customHeight="1" x14ac:dyDescent="0.25">
      <c r="D1431" s="59" t="str">
        <f t="shared" si="111"/>
        <v/>
      </c>
      <c r="E1431" s="59" t="str">
        <f t="shared" si="113"/>
        <v/>
      </c>
      <c r="F1431" s="59" t="str">
        <f t="shared" si="114"/>
        <v/>
      </c>
      <c r="G1431" s="59" t="str">
        <f>IF($A1431="","",
   SUMIFS(Transactions!$P:$P,
          Transactions!$G:$G,$A1431,
          Transactions!$C:$C,"IN",
          Transactions!$Q:$Q,"Paid"))</f>
        <v/>
      </c>
      <c r="H1431" s="59" t="str">
        <f>IF($A1431="","",
   SUMIFS(Transactions!$P:$P,
          Transactions!$G:$G,$A1431,
          Transactions!$C:$C,"OUT"))</f>
        <v/>
      </c>
      <c r="I1431" s="65" t="str">
        <f t="shared" si="112"/>
        <v/>
      </c>
      <c r="J1431" s="59" t="str">
        <f t="shared" si="115"/>
        <v/>
      </c>
    </row>
    <row r="1432" spans="4:10" ht="22.5" customHeight="1" x14ac:dyDescent="0.25">
      <c r="D1432" s="59" t="str">
        <f t="shared" si="111"/>
        <v/>
      </c>
      <c r="E1432" s="59" t="str">
        <f t="shared" si="113"/>
        <v/>
      </c>
      <c r="F1432" s="59" t="str">
        <f t="shared" si="114"/>
        <v/>
      </c>
      <c r="G1432" s="59" t="str">
        <f>IF($A1432="","",
   SUMIFS(Transactions!$P:$P,
          Transactions!$G:$G,$A1432,
          Transactions!$C:$C,"IN",
          Transactions!$Q:$Q,"Paid"))</f>
        <v/>
      </c>
      <c r="H1432" s="59" t="str">
        <f>IF($A1432="","",
   SUMIFS(Transactions!$P:$P,
          Transactions!$G:$G,$A1432,
          Transactions!$C:$C,"OUT"))</f>
        <v/>
      </c>
      <c r="I1432" s="65" t="str">
        <f t="shared" si="112"/>
        <v/>
      </c>
      <c r="J1432" s="59" t="str">
        <f t="shared" si="115"/>
        <v/>
      </c>
    </row>
    <row r="1433" spans="4:10" ht="22.5" customHeight="1" x14ac:dyDescent="0.25">
      <c r="D1433" s="59" t="str">
        <f t="shared" si="111"/>
        <v/>
      </c>
      <c r="E1433" s="59" t="str">
        <f t="shared" si="113"/>
        <v/>
      </c>
      <c r="F1433" s="59" t="str">
        <f t="shared" si="114"/>
        <v/>
      </c>
      <c r="G1433" s="59" t="str">
        <f>IF($A1433="","",
   SUMIFS(Transactions!$P:$P,
          Transactions!$G:$G,$A1433,
          Transactions!$C:$C,"IN",
          Transactions!$Q:$Q,"Paid"))</f>
        <v/>
      </c>
      <c r="H1433" s="59" t="str">
        <f>IF($A1433="","",
   SUMIFS(Transactions!$P:$P,
          Transactions!$G:$G,$A1433,
          Transactions!$C:$C,"OUT"))</f>
        <v/>
      </c>
      <c r="I1433" s="65" t="str">
        <f t="shared" si="112"/>
        <v/>
      </c>
      <c r="J1433" s="59" t="str">
        <f t="shared" si="115"/>
        <v/>
      </c>
    </row>
    <row r="1434" spans="4:10" ht="22.5" customHeight="1" x14ac:dyDescent="0.25">
      <c r="D1434" s="59" t="str">
        <f t="shared" si="111"/>
        <v/>
      </c>
      <c r="E1434" s="59" t="str">
        <f t="shared" si="113"/>
        <v/>
      </c>
      <c r="F1434" s="59" t="str">
        <f t="shared" si="114"/>
        <v/>
      </c>
      <c r="G1434" s="59" t="str">
        <f>IF($A1434="","",
   SUMIFS(Transactions!$P:$P,
          Transactions!$G:$G,$A1434,
          Transactions!$C:$C,"IN",
          Transactions!$Q:$Q,"Paid"))</f>
        <v/>
      </c>
      <c r="H1434" s="59" t="str">
        <f>IF($A1434="","",
   SUMIFS(Transactions!$P:$P,
          Transactions!$G:$G,$A1434,
          Transactions!$C:$C,"OUT"))</f>
        <v/>
      </c>
      <c r="I1434" s="65" t="str">
        <f t="shared" si="112"/>
        <v/>
      </c>
      <c r="J1434" s="59" t="str">
        <f t="shared" si="115"/>
        <v/>
      </c>
    </row>
    <row r="1435" spans="4:10" ht="22.5" customHeight="1" x14ac:dyDescent="0.25">
      <c r="D1435" s="59" t="str">
        <f t="shared" si="111"/>
        <v/>
      </c>
      <c r="E1435" s="59" t="str">
        <f t="shared" si="113"/>
        <v/>
      </c>
      <c r="F1435" s="59" t="str">
        <f t="shared" si="114"/>
        <v/>
      </c>
      <c r="G1435" s="59" t="str">
        <f>IF($A1435="","",
   SUMIFS(Transactions!$P:$P,
          Transactions!$G:$G,$A1435,
          Transactions!$C:$C,"IN",
          Transactions!$Q:$Q,"Paid"))</f>
        <v/>
      </c>
      <c r="H1435" s="59" t="str">
        <f>IF($A1435="","",
   SUMIFS(Transactions!$P:$P,
          Transactions!$G:$G,$A1435,
          Transactions!$C:$C,"OUT"))</f>
        <v/>
      </c>
      <c r="I1435" s="65" t="str">
        <f t="shared" si="112"/>
        <v/>
      </c>
      <c r="J1435" s="59" t="str">
        <f t="shared" si="115"/>
        <v/>
      </c>
    </row>
    <row r="1436" spans="4:10" ht="22.5" customHeight="1" x14ac:dyDescent="0.25">
      <c r="D1436" s="59" t="str">
        <f t="shared" si="111"/>
        <v/>
      </c>
      <c r="E1436" s="59" t="str">
        <f t="shared" si="113"/>
        <v/>
      </c>
      <c r="F1436" s="59" t="str">
        <f t="shared" si="114"/>
        <v/>
      </c>
      <c r="G1436" s="59" t="str">
        <f>IF($A1436="","",
   SUMIFS(Transactions!$P:$P,
          Transactions!$G:$G,$A1436,
          Transactions!$C:$C,"IN",
          Transactions!$Q:$Q,"Paid"))</f>
        <v/>
      </c>
      <c r="H1436" s="59" t="str">
        <f>IF($A1436="","",
   SUMIFS(Transactions!$P:$P,
          Transactions!$G:$G,$A1436,
          Transactions!$C:$C,"OUT"))</f>
        <v/>
      </c>
      <c r="I1436" s="65" t="str">
        <f t="shared" si="112"/>
        <v/>
      </c>
      <c r="J1436" s="59" t="str">
        <f t="shared" si="115"/>
        <v/>
      </c>
    </row>
    <row r="1437" spans="4:10" ht="22.5" customHeight="1" x14ac:dyDescent="0.25">
      <c r="D1437" s="59" t="str">
        <f t="shared" si="111"/>
        <v/>
      </c>
      <c r="E1437" s="59" t="str">
        <f t="shared" si="113"/>
        <v/>
      </c>
      <c r="F1437" s="59" t="str">
        <f t="shared" si="114"/>
        <v/>
      </c>
      <c r="G1437" s="59" t="str">
        <f>IF($A1437="","",
   SUMIFS(Transactions!$P:$P,
          Transactions!$G:$G,$A1437,
          Transactions!$C:$C,"IN",
          Transactions!$Q:$Q,"Paid"))</f>
        <v/>
      </c>
      <c r="H1437" s="59" t="str">
        <f>IF($A1437="","",
   SUMIFS(Transactions!$P:$P,
          Transactions!$G:$G,$A1437,
          Transactions!$C:$C,"OUT"))</f>
        <v/>
      </c>
      <c r="I1437" s="65" t="str">
        <f t="shared" si="112"/>
        <v/>
      </c>
      <c r="J1437" s="59" t="str">
        <f t="shared" si="115"/>
        <v/>
      </c>
    </row>
    <row r="1438" spans="4:10" ht="22.5" customHeight="1" x14ac:dyDescent="0.25">
      <c r="D1438" s="59" t="str">
        <f t="shared" si="111"/>
        <v/>
      </c>
      <c r="E1438" s="59" t="str">
        <f t="shared" si="113"/>
        <v/>
      </c>
      <c r="F1438" s="59" t="str">
        <f t="shared" si="114"/>
        <v/>
      </c>
      <c r="G1438" s="59" t="str">
        <f>IF($A1438="","",
   SUMIFS(Transactions!$P:$P,
          Transactions!$G:$G,$A1438,
          Transactions!$C:$C,"IN",
          Transactions!$Q:$Q,"Paid"))</f>
        <v/>
      </c>
      <c r="H1438" s="59" t="str">
        <f>IF($A1438="","",
   SUMIFS(Transactions!$P:$P,
          Transactions!$G:$G,$A1438,
          Transactions!$C:$C,"OUT"))</f>
        <v/>
      </c>
      <c r="I1438" s="65" t="str">
        <f t="shared" si="112"/>
        <v/>
      </c>
      <c r="J1438" s="59" t="str">
        <f t="shared" si="115"/>
        <v/>
      </c>
    </row>
    <row r="1439" spans="4:10" ht="22.5" customHeight="1" x14ac:dyDescent="0.25">
      <c r="D1439" s="59" t="str">
        <f t="shared" si="111"/>
        <v/>
      </c>
      <c r="E1439" s="59" t="str">
        <f t="shared" si="113"/>
        <v/>
      </c>
      <c r="F1439" s="59" t="str">
        <f t="shared" si="114"/>
        <v/>
      </c>
      <c r="G1439" s="59" t="str">
        <f>IF($A1439="","",
   SUMIFS(Transactions!$P:$P,
          Transactions!$G:$G,$A1439,
          Transactions!$C:$C,"IN",
          Transactions!$Q:$Q,"Paid"))</f>
        <v/>
      </c>
      <c r="H1439" s="59" t="str">
        <f>IF($A1439="","",
   SUMIFS(Transactions!$P:$P,
          Transactions!$G:$G,$A1439,
          Transactions!$C:$C,"OUT"))</f>
        <v/>
      </c>
      <c r="I1439" s="65" t="str">
        <f t="shared" si="112"/>
        <v/>
      </c>
      <c r="J1439" s="59" t="str">
        <f t="shared" si="115"/>
        <v/>
      </c>
    </row>
    <row r="1440" spans="4:10" ht="22.5" customHeight="1" x14ac:dyDescent="0.25">
      <c r="D1440" s="59" t="str">
        <f t="shared" si="111"/>
        <v/>
      </c>
      <c r="E1440" s="59" t="str">
        <f t="shared" si="113"/>
        <v/>
      </c>
      <c r="F1440" s="59" t="str">
        <f t="shared" si="114"/>
        <v/>
      </c>
      <c r="G1440" s="59" t="str">
        <f>IF($A1440="","",
   SUMIFS(Transactions!$P:$P,
          Transactions!$G:$G,$A1440,
          Transactions!$C:$C,"IN",
          Transactions!$Q:$Q,"Paid"))</f>
        <v/>
      </c>
      <c r="H1440" s="59" t="str">
        <f>IF($A1440="","",
   SUMIFS(Transactions!$P:$P,
          Transactions!$G:$G,$A1440,
          Transactions!$C:$C,"OUT"))</f>
        <v/>
      </c>
      <c r="I1440" s="65" t="str">
        <f t="shared" si="112"/>
        <v/>
      </c>
      <c r="J1440" s="59" t="str">
        <f t="shared" si="115"/>
        <v/>
      </c>
    </row>
    <row r="1441" spans="4:10" ht="22.5" customHeight="1" x14ac:dyDescent="0.25">
      <c r="D1441" s="59" t="str">
        <f t="shared" si="111"/>
        <v/>
      </c>
      <c r="E1441" s="59" t="str">
        <f t="shared" si="113"/>
        <v/>
      </c>
      <c r="F1441" s="59" t="str">
        <f t="shared" si="114"/>
        <v/>
      </c>
      <c r="G1441" s="59" t="str">
        <f>IF($A1441="","",
   SUMIFS(Transactions!$P:$P,
          Transactions!$G:$G,$A1441,
          Transactions!$C:$C,"IN",
          Transactions!$Q:$Q,"Paid"))</f>
        <v/>
      </c>
      <c r="H1441" s="59" t="str">
        <f>IF($A1441="","",
   SUMIFS(Transactions!$P:$P,
          Transactions!$G:$G,$A1441,
          Transactions!$C:$C,"OUT"))</f>
        <v/>
      </c>
      <c r="I1441" s="65" t="str">
        <f t="shared" si="112"/>
        <v/>
      </c>
      <c r="J1441" s="59" t="str">
        <f t="shared" si="115"/>
        <v/>
      </c>
    </row>
    <row r="1442" spans="4:10" ht="22.5" customHeight="1" x14ac:dyDescent="0.25">
      <c r="D1442" s="59" t="str">
        <f t="shared" si="111"/>
        <v/>
      </c>
      <c r="E1442" s="59" t="str">
        <f t="shared" si="113"/>
        <v/>
      </c>
      <c r="F1442" s="59" t="str">
        <f t="shared" si="114"/>
        <v/>
      </c>
      <c r="G1442" s="59" t="str">
        <f>IF($A1442="","",
   SUMIFS(Transactions!$P:$P,
          Transactions!$G:$G,$A1442,
          Transactions!$C:$C,"IN",
          Transactions!$Q:$Q,"Paid"))</f>
        <v/>
      </c>
      <c r="H1442" s="59" t="str">
        <f>IF($A1442="","",
   SUMIFS(Transactions!$P:$P,
          Transactions!$G:$G,$A1442,
          Transactions!$C:$C,"OUT"))</f>
        <v/>
      </c>
      <c r="I1442" s="65" t="str">
        <f t="shared" si="112"/>
        <v/>
      </c>
      <c r="J1442" s="59" t="str">
        <f t="shared" si="115"/>
        <v/>
      </c>
    </row>
    <row r="1443" spans="4:10" ht="22.5" customHeight="1" x14ac:dyDescent="0.25">
      <c r="D1443" s="59" t="str">
        <f t="shared" si="111"/>
        <v/>
      </c>
      <c r="E1443" s="59" t="str">
        <f t="shared" si="113"/>
        <v/>
      </c>
      <c r="F1443" s="59" t="str">
        <f t="shared" si="114"/>
        <v/>
      </c>
      <c r="G1443" s="59" t="str">
        <f>IF($A1443="","",
   SUMIFS(Transactions!$P:$P,
          Transactions!$G:$G,$A1443,
          Transactions!$C:$C,"IN",
          Transactions!$Q:$Q,"Paid"))</f>
        <v/>
      </c>
      <c r="H1443" s="59" t="str">
        <f>IF($A1443="","",
   SUMIFS(Transactions!$P:$P,
          Transactions!$G:$G,$A1443,
          Transactions!$C:$C,"OUT"))</f>
        <v/>
      </c>
      <c r="I1443" s="65" t="str">
        <f t="shared" si="112"/>
        <v/>
      </c>
      <c r="J1443" s="59" t="str">
        <f t="shared" si="115"/>
        <v/>
      </c>
    </row>
    <row r="1444" spans="4:10" ht="22.5" customHeight="1" x14ac:dyDescent="0.25">
      <c r="D1444" s="59" t="str">
        <f t="shared" si="111"/>
        <v/>
      </c>
      <c r="E1444" s="59" t="str">
        <f t="shared" si="113"/>
        <v/>
      </c>
      <c r="F1444" s="59" t="str">
        <f t="shared" si="114"/>
        <v/>
      </c>
      <c r="G1444" s="59" t="str">
        <f>IF($A1444="","",
   SUMIFS(Transactions!$P:$P,
          Transactions!$G:$G,$A1444,
          Transactions!$C:$C,"IN",
          Transactions!$Q:$Q,"Paid"))</f>
        <v/>
      </c>
      <c r="H1444" s="59" t="str">
        <f>IF($A1444="","",
   SUMIFS(Transactions!$P:$P,
          Transactions!$G:$G,$A1444,
          Transactions!$C:$C,"OUT"))</f>
        <v/>
      </c>
      <c r="I1444" s="65" t="str">
        <f t="shared" si="112"/>
        <v/>
      </c>
      <c r="J1444" s="59" t="str">
        <f t="shared" si="115"/>
        <v/>
      </c>
    </row>
    <row r="1445" spans="4:10" ht="22.5" customHeight="1" x14ac:dyDescent="0.25">
      <c r="D1445" s="59" t="str">
        <f t="shared" si="111"/>
        <v/>
      </c>
      <c r="E1445" s="59" t="str">
        <f t="shared" si="113"/>
        <v/>
      </c>
      <c r="F1445" s="59" t="str">
        <f t="shared" si="114"/>
        <v/>
      </c>
      <c r="G1445" s="59" t="str">
        <f>IF($A1445="","",
   SUMIFS(Transactions!$P:$P,
          Transactions!$G:$G,$A1445,
          Transactions!$C:$C,"IN",
          Transactions!$Q:$Q,"Paid"))</f>
        <v/>
      </c>
      <c r="H1445" s="59" t="str">
        <f>IF($A1445="","",
   SUMIFS(Transactions!$P:$P,
          Transactions!$G:$G,$A1445,
          Transactions!$C:$C,"OUT"))</f>
        <v/>
      </c>
      <c r="I1445" s="65" t="str">
        <f t="shared" si="112"/>
        <v/>
      </c>
      <c r="J1445" s="59" t="str">
        <f t="shared" si="115"/>
        <v/>
      </c>
    </row>
    <row r="1446" spans="4:10" ht="22.5" customHeight="1" x14ac:dyDescent="0.25">
      <c r="D1446" s="59" t="str">
        <f t="shared" si="111"/>
        <v/>
      </c>
      <c r="E1446" s="59" t="str">
        <f t="shared" si="113"/>
        <v/>
      </c>
      <c r="F1446" s="59" t="str">
        <f t="shared" si="114"/>
        <v/>
      </c>
      <c r="G1446" s="59" t="str">
        <f>IF($A1446="","",
   SUMIFS(Transactions!$P:$P,
          Transactions!$G:$G,$A1446,
          Transactions!$C:$C,"IN",
          Transactions!$Q:$Q,"Paid"))</f>
        <v/>
      </c>
      <c r="H1446" s="59" t="str">
        <f>IF($A1446="","",
   SUMIFS(Transactions!$P:$P,
          Transactions!$G:$G,$A1446,
          Transactions!$C:$C,"OUT"))</f>
        <v/>
      </c>
      <c r="I1446" s="65" t="str">
        <f t="shared" si="112"/>
        <v/>
      </c>
      <c r="J1446" s="59" t="str">
        <f t="shared" si="115"/>
        <v/>
      </c>
    </row>
    <row r="1447" spans="4:10" ht="22.5" customHeight="1" x14ac:dyDescent="0.25">
      <c r="D1447" s="59" t="str">
        <f t="shared" si="111"/>
        <v/>
      </c>
      <c r="E1447" s="59" t="str">
        <f t="shared" si="113"/>
        <v/>
      </c>
      <c r="F1447" s="59" t="str">
        <f t="shared" si="114"/>
        <v/>
      </c>
      <c r="G1447" s="59" t="str">
        <f>IF($A1447="","",
   SUMIFS(Transactions!$P:$P,
          Transactions!$G:$G,$A1447,
          Transactions!$C:$C,"IN",
          Transactions!$Q:$Q,"Paid"))</f>
        <v/>
      </c>
      <c r="H1447" s="59" t="str">
        <f>IF($A1447="","",
   SUMIFS(Transactions!$P:$P,
          Transactions!$G:$G,$A1447,
          Transactions!$C:$C,"OUT"))</f>
        <v/>
      </c>
      <c r="I1447" s="65" t="str">
        <f t="shared" si="112"/>
        <v/>
      </c>
      <c r="J1447" s="59" t="str">
        <f t="shared" si="115"/>
        <v/>
      </c>
    </row>
    <row r="1448" spans="4:10" ht="22.5" customHeight="1" x14ac:dyDescent="0.25">
      <c r="D1448" s="59" t="str">
        <f t="shared" si="111"/>
        <v/>
      </c>
      <c r="E1448" s="59" t="str">
        <f t="shared" si="113"/>
        <v/>
      </c>
      <c r="F1448" s="59" t="str">
        <f t="shared" si="114"/>
        <v/>
      </c>
      <c r="G1448" s="59" t="str">
        <f>IF($A1448="","",
   SUMIFS(Transactions!$P:$P,
          Transactions!$G:$G,$A1448,
          Transactions!$C:$C,"IN",
          Transactions!$Q:$Q,"Paid"))</f>
        <v/>
      </c>
      <c r="H1448" s="59" t="str">
        <f>IF($A1448="","",
   SUMIFS(Transactions!$P:$P,
          Transactions!$G:$G,$A1448,
          Transactions!$C:$C,"OUT"))</f>
        <v/>
      </c>
      <c r="I1448" s="65" t="str">
        <f t="shared" si="112"/>
        <v/>
      </c>
      <c r="J1448" s="59" t="str">
        <f t="shared" si="115"/>
        <v/>
      </c>
    </row>
    <row r="1449" spans="4:10" ht="22.5" customHeight="1" x14ac:dyDescent="0.25">
      <c r="D1449" s="59" t="str">
        <f t="shared" si="111"/>
        <v/>
      </c>
      <c r="E1449" s="59" t="str">
        <f t="shared" si="113"/>
        <v/>
      </c>
      <c r="F1449" s="59" t="str">
        <f t="shared" si="114"/>
        <v/>
      </c>
      <c r="G1449" s="59" t="str">
        <f>IF($A1449="","",
   SUMIFS(Transactions!$P:$P,
          Transactions!$G:$G,$A1449,
          Transactions!$C:$C,"IN",
          Transactions!$Q:$Q,"Paid"))</f>
        <v/>
      </c>
      <c r="H1449" s="59" t="str">
        <f>IF($A1449="","",
   SUMIFS(Transactions!$P:$P,
          Transactions!$G:$G,$A1449,
          Transactions!$C:$C,"OUT"))</f>
        <v/>
      </c>
      <c r="I1449" s="65" t="str">
        <f t="shared" si="112"/>
        <v/>
      </c>
      <c r="J1449" s="59" t="str">
        <f t="shared" si="115"/>
        <v/>
      </c>
    </row>
    <row r="1450" spans="4:10" ht="22.5" customHeight="1" x14ac:dyDescent="0.25">
      <c r="D1450" s="59" t="str">
        <f t="shared" si="111"/>
        <v/>
      </c>
      <c r="E1450" s="59" t="str">
        <f t="shared" si="113"/>
        <v/>
      </c>
      <c r="F1450" s="59" t="str">
        <f t="shared" si="114"/>
        <v/>
      </c>
      <c r="G1450" s="59" t="str">
        <f>IF($A1450="","",
   SUMIFS(Transactions!$P:$P,
          Transactions!$G:$G,$A1450,
          Transactions!$C:$C,"IN",
          Transactions!$Q:$Q,"Paid"))</f>
        <v/>
      </c>
      <c r="H1450" s="59" t="str">
        <f>IF($A1450="","",
   SUMIFS(Transactions!$P:$P,
          Transactions!$G:$G,$A1450,
          Transactions!$C:$C,"OUT"))</f>
        <v/>
      </c>
      <c r="I1450" s="65" t="str">
        <f t="shared" si="112"/>
        <v/>
      </c>
      <c r="J1450" s="59" t="str">
        <f t="shared" si="115"/>
        <v/>
      </c>
    </row>
    <row r="1451" spans="4:10" ht="22.5" customHeight="1" x14ac:dyDescent="0.25">
      <c r="D1451" s="59" t="str">
        <f t="shared" si="111"/>
        <v/>
      </c>
      <c r="E1451" s="59" t="str">
        <f t="shared" si="113"/>
        <v/>
      </c>
      <c r="F1451" s="59" t="str">
        <f t="shared" si="114"/>
        <v/>
      </c>
      <c r="G1451" s="59" t="str">
        <f>IF($A1451="","",
   SUMIFS(Transactions!$P:$P,
          Transactions!$G:$G,$A1451,
          Transactions!$C:$C,"IN",
          Transactions!$Q:$Q,"Paid"))</f>
        <v/>
      </c>
      <c r="H1451" s="59" t="str">
        <f>IF($A1451="","",
   SUMIFS(Transactions!$P:$P,
          Transactions!$G:$G,$A1451,
          Transactions!$C:$C,"OUT"))</f>
        <v/>
      </c>
      <c r="I1451" s="65" t="str">
        <f t="shared" si="112"/>
        <v/>
      </c>
      <c r="J1451" s="59" t="str">
        <f t="shared" si="115"/>
        <v/>
      </c>
    </row>
    <row r="1452" spans="4:10" ht="22.5" customHeight="1" x14ac:dyDescent="0.25">
      <c r="D1452" s="59" t="str">
        <f t="shared" si="111"/>
        <v/>
      </c>
      <c r="E1452" s="59" t="str">
        <f t="shared" si="113"/>
        <v/>
      </c>
      <c r="F1452" s="59" t="str">
        <f t="shared" si="114"/>
        <v/>
      </c>
      <c r="G1452" s="59" t="str">
        <f>IF($A1452="","",
   SUMIFS(Transactions!$P:$P,
          Transactions!$G:$G,$A1452,
          Transactions!$C:$C,"IN",
          Transactions!$Q:$Q,"Paid"))</f>
        <v/>
      </c>
      <c r="H1452" s="59" t="str">
        <f>IF($A1452="","",
   SUMIFS(Transactions!$P:$P,
          Transactions!$G:$G,$A1452,
          Transactions!$C:$C,"OUT"))</f>
        <v/>
      </c>
      <c r="I1452" s="65" t="str">
        <f t="shared" si="112"/>
        <v/>
      </c>
      <c r="J1452" s="59" t="str">
        <f t="shared" si="115"/>
        <v/>
      </c>
    </row>
    <row r="1453" spans="4:10" ht="22.5" customHeight="1" x14ac:dyDescent="0.25">
      <c r="D1453" s="59" t="str">
        <f t="shared" si="111"/>
        <v/>
      </c>
      <c r="E1453" s="59" t="str">
        <f t="shared" si="113"/>
        <v/>
      </c>
      <c r="F1453" s="59" t="str">
        <f t="shared" si="114"/>
        <v/>
      </c>
      <c r="G1453" s="59" t="str">
        <f>IF($A1453="","",
   SUMIFS(Transactions!$P:$P,
          Transactions!$G:$G,$A1453,
          Transactions!$C:$C,"IN",
          Transactions!$Q:$Q,"Paid"))</f>
        <v/>
      </c>
      <c r="H1453" s="59" t="str">
        <f>IF($A1453="","",
   SUMIFS(Transactions!$P:$P,
          Transactions!$G:$G,$A1453,
          Transactions!$C:$C,"OUT"))</f>
        <v/>
      </c>
      <c r="I1453" s="65" t="str">
        <f t="shared" si="112"/>
        <v/>
      </c>
      <c r="J1453" s="59" t="str">
        <f t="shared" si="115"/>
        <v/>
      </c>
    </row>
    <row r="1454" spans="4:10" ht="22.5" customHeight="1" x14ac:dyDescent="0.25">
      <c r="D1454" s="59" t="str">
        <f t="shared" si="111"/>
        <v/>
      </c>
      <c r="E1454" s="59" t="str">
        <f t="shared" si="113"/>
        <v/>
      </c>
      <c r="F1454" s="59" t="str">
        <f t="shared" si="114"/>
        <v/>
      </c>
      <c r="G1454" s="59" t="str">
        <f>IF($A1454="","",
   SUMIFS(Transactions!$P:$P,
          Transactions!$G:$G,$A1454,
          Transactions!$C:$C,"IN",
          Transactions!$Q:$Q,"Paid"))</f>
        <v/>
      </c>
      <c r="H1454" s="59" t="str">
        <f>IF($A1454="","",
   SUMIFS(Transactions!$P:$P,
          Transactions!$G:$G,$A1454,
          Transactions!$C:$C,"OUT"))</f>
        <v/>
      </c>
      <c r="I1454" s="65" t="str">
        <f t="shared" si="112"/>
        <v/>
      </c>
      <c r="J1454" s="59" t="str">
        <f t="shared" si="115"/>
        <v/>
      </c>
    </row>
    <row r="1455" spans="4:10" ht="22.5" customHeight="1" x14ac:dyDescent="0.25">
      <c r="D1455" s="59" t="str">
        <f t="shared" si="111"/>
        <v/>
      </c>
      <c r="E1455" s="59" t="str">
        <f t="shared" si="113"/>
        <v/>
      </c>
      <c r="F1455" s="59" t="str">
        <f t="shared" si="114"/>
        <v/>
      </c>
      <c r="G1455" s="59" t="str">
        <f>IF($A1455="","",
   SUMIFS(Transactions!$P:$P,
          Transactions!$G:$G,$A1455,
          Transactions!$C:$C,"IN",
          Transactions!$Q:$Q,"Paid"))</f>
        <v/>
      </c>
      <c r="H1455" s="59" t="str">
        <f>IF($A1455="","",
   SUMIFS(Transactions!$P:$P,
          Transactions!$G:$G,$A1455,
          Transactions!$C:$C,"OUT"))</f>
        <v/>
      </c>
      <c r="I1455" s="65" t="str">
        <f t="shared" si="112"/>
        <v/>
      </c>
      <c r="J1455" s="59" t="str">
        <f t="shared" si="115"/>
        <v/>
      </c>
    </row>
    <row r="1456" spans="4:10" ht="22.5" customHeight="1" x14ac:dyDescent="0.25">
      <c r="D1456" s="59" t="str">
        <f t="shared" si="111"/>
        <v/>
      </c>
      <c r="E1456" s="59" t="str">
        <f t="shared" si="113"/>
        <v/>
      </c>
      <c r="F1456" s="59" t="str">
        <f t="shared" si="114"/>
        <v/>
      </c>
      <c r="G1456" s="59" t="str">
        <f>IF($A1456="","",
   SUMIFS(Transactions!$P:$P,
          Transactions!$G:$G,$A1456,
          Transactions!$C:$C,"IN",
          Transactions!$Q:$Q,"Paid"))</f>
        <v/>
      </c>
      <c r="H1456" s="59" t="str">
        <f>IF($A1456="","",
   SUMIFS(Transactions!$P:$P,
          Transactions!$G:$G,$A1456,
          Transactions!$C:$C,"OUT"))</f>
        <v/>
      </c>
      <c r="I1456" s="65" t="str">
        <f t="shared" si="112"/>
        <v/>
      </c>
      <c r="J1456" s="59" t="str">
        <f t="shared" si="115"/>
        <v/>
      </c>
    </row>
    <row r="1457" spans="4:10" ht="22.5" customHeight="1" x14ac:dyDescent="0.25">
      <c r="D1457" s="59" t="str">
        <f t="shared" si="111"/>
        <v/>
      </c>
      <c r="E1457" s="59" t="str">
        <f t="shared" si="113"/>
        <v/>
      </c>
      <c r="F1457" s="59" t="str">
        <f t="shared" si="114"/>
        <v/>
      </c>
      <c r="G1457" s="59" t="str">
        <f>IF($A1457="","",
   SUMIFS(Transactions!$P:$P,
          Transactions!$G:$G,$A1457,
          Transactions!$C:$C,"IN",
          Transactions!$Q:$Q,"Paid"))</f>
        <v/>
      </c>
      <c r="H1457" s="59" t="str">
        <f>IF($A1457="","",
   SUMIFS(Transactions!$P:$P,
          Transactions!$G:$G,$A1457,
          Transactions!$C:$C,"OUT"))</f>
        <v/>
      </c>
      <c r="I1457" s="65" t="str">
        <f t="shared" si="112"/>
        <v/>
      </c>
      <c r="J1457" s="59" t="str">
        <f t="shared" si="115"/>
        <v/>
      </c>
    </row>
    <row r="1458" spans="4:10" ht="22.5" customHeight="1" x14ac:dyDescent="0.25">
      <c r="D1458" s="59" t="str">
        <f t="shared" si="111"/>
        <v/>
      </c>
      <c r="E1458" s="59" t="str">
        <f t="shared" si="113"/>
        <v/>
      </c>
      <c r="F1458" s="59" t="str">
        <f t="shared" si="114"/>
        <v/>
      </c>
      <c r="G1458" s="59" t="str">
        <f>IF($A1458="","",
   SUMIFS(Transactions!$P:$P,
          Transactions!$G:$G,$A1458,
          Transactions!$C:$C,"IN",
          Transactions!$Q:$Q,"Paid"))</f>
        <v/>
      </c>
      <c r="H1458" s="59" t="str">
        <f>IF($A1458="","",
   SUMIFS(Transactions!$P:$P,
          Transactions!$G:$G,$A1458,
          Transactions!$C:$C,"OUT"))</f>
        <v/>
      </c>
      <c r="I1458" s="65" t="str">
        <f t="shared" si="112"/>
        <v/>
      </c>
      <c r="J1458" s="59" t="str">
        <f t="shared" si="115"/>
        <v/>
      </c>
    </row>
    <row r="1459" spans="4:10" ht="22.5" customHeight="1" x14ac:dyDescent="0.25">
      <c r="D1459" s="59" t="str">
        <f t="shared" si="111"/>
        <v/>
      </c>
      <c r="E1459" s="59" t="str">
        <f t="shared" si="113"/>
        <v/>
      </c>
      <c r="F1459" s="59" t="str">
        <f t="shared" si="114"/>
        <v/>
      </c>
      <c r="G1459" s="59" t="str">
        <f>IF($A1459="","",
   SUMIFS(Transactions!$P:$P,
          Transactions!$G:$G,$A1459,
          Transactions!$C:$C,"IN",
          Transactions!$Q:$Q,"Paid"))</f>
        <v/>
      </c>
      <c r="H1459" s="59" t="str">
        <f>IF($A1459="","",
   SUMIFS(Transactions!$P:$P,
          Transactions!$G:$G,$A1459,
          Transactions!$C:$C,"OUT"))</f>
        <v/>
      </c>
      <c r="I1459" s="65" t="str">
        <f t="shared" si="112"/>
        <v/>
      </c>
      <c r="J1459" s="59" t="str">
        <f t="shared" si="115"/>
        <v/>
      </c>
    </row>
    <row r="1460" spans="4:10" ht="22.5" customHeight="1" x14ac:dyDescent="0.25">
      <c r="D1460" s="59" t="str">
        <f t="shared" si="111"/>
        <v/>
      </c>
      <c r="E1460" s="59" t="str">
        <f t="shared" si="113"/>
        <v/>
      </c>
      <c r="F1460" s="59" t="str">
        <f t="shared" si="114"/>
        <v/>
      </c>
      <c r="G1460" s="59" t="str">
        <f>IF($A1460="","",
   SUMIFS(Transactions!$P:$P,
          Transactions!$G:$G,$A1460,
          Transactions!$C:$C,"IN",
          Transactions!$Q:$Q,"Paid"))</f>
        <v/>
      </c>
      <c r="H1460" s="59" t="str">
        <f>IF($A1460="","",
   SUMIFS(Transactions!$P:$P,
          Transactions!$G:$G,$A1460,
          Transactions!$C:$C,"OUT"))</f>
        <v/>
      </c>
      <c r="I1460" s="65" t="str">
        <f t="shared" si="112"/>
        <v/>
      </c>
      <c r="J1460" s="59" t="str">
        <f t="shared" si="115"/>
        <v/>
      </c>
    </row>
    <row r="1461" spans="4:10" ht="22.5" customHeight="1" x14ac:dyDescent="0.25">
      <c r="D1461" s="59" t="str">
        <f t="shared" si="111"/>
        <v/>
      </c>
      <c r="E1461" s="59" t="str">
        <f t="shared" si="113"/>
        <v/>
      </c>
      <c r="F1461" s="59" t="str">
        <f t="shared" si="114"/>
        <v/>
      </c>
      <c r="G1461" s="59" t="str">
        <f>IF($A1461="","",
   SUMIFS(Transactions!$P:$P,
          Transactions!$G:$G,$A1461,
          Transactions!$C:$C,"IN",
          Transactions!$Q:$Q,"Paid"))</f>
        <v/>
      </c>
      <c r="H1461" s="59" t="str">
        <f>IF($A1461="","",
   SUMIFS(Transactions!$P:$P,
          Transactions!$G:$G,$A1461,
          Transactions!$C:$C,"OUT"))</f>
        <v/>
      </c>
      <c r="I1461" s="65" t="str">
        <f t="shared" si="112"/>
        <v/>
      </c>
      <c r="J1461" s="59" t="str">
        <f t="shared" si="115"/>
        <v/>
      </c>
    </row>
    <row r="1462" spans="4:10" ht="22.5" customHeight="1" x14ac:dyDescent="0.25">
      <c r="D1462" s="59" t="str">
        <f t="shared" si="111"/>
        <v/>
      </c>
      <c r="E1462" s="59" t="str">
        <f t="shared" si="113"/>
        <v/>
      </c>
      <c r="F1462" s="59" t="str">
        <f t="shared" si="114"/>
        <v/>
      </c>
      <c r="G1462" s="59" t="str">
        <f>IF($A1462="","",
   SUMIFS(Transactions!$P:$P,
          Transactions!$G:$G,$A1462,
          Transactions!$C:$C,"IN",
          Transactions!$Q:$Q,"Paid"))</f>
        <v/>
      </c>
      <c r="H1462" s="59" t="str">
        <f>IF($A1462="","",
   SUMIFS(Transactions!$P:$P,
          Transactions!$G:$G,$A1462,
          Transactions!$C:$C,"OUT"))</f>
        <v/>
      </c>
      <c r="I1462" s="65" t="str">
        <f t="shared" si="112"/>
        <v/>
      </c>
      <c r="J1462" s="59" t="str">
        <f t="shared" si="115"/>
        <v/>
      </c>
    </row>
    <row r="1463" spans="4:10" ht="22.5" customHeight="1" x14ac:dyDescent="0.25">
      <c r="D1463" s="59" t="str">
        <f t="shared" si="111"/>
        <v/>
      </c>
      <c r="E1463" s="59" t="str">
        <f t="shared" si="113"/>
        <v/>
      </c>
      <c r="F1463" s="59" t="str">
        <f t="shared" si="114"/>
        <v/>
      </c>
      <c r="G1463" s="59" t="str">
        <f>IF($A1463="","",
   SUMIFS(Transactions!$P:$P,
          Transactions!$G:$G,$A1463,
          Transactions!$C:$C,"IN",
          Transactions!$Q:$Q,"Paid"))</f>
        <v/>
      </c>
      <c r="H1463" s="59" t="str">
        <f>IF($A1463="","",
   SUMIFS(Transactions!$P:$P,
          Transactions!$G:$G,$A1463,
          Transactions!$C:$C,"OUT"))</f>
        <v/>
      </c>
      <c r="I1463" s="65" t="str">
        <f t="shared" si="112"/>
        <v/>
      </c>
      <c r="J1463" s="59" t="str">
        <f t="shared" si="115"/>
        <v/>
      </c>
    </row>
    <row r="1464" spans="4:10" ht="22.5" customHeight="1" x14ac:dyDescent="0.25">
      <c r="D1464" s="59" t="str">
        <f t="shared" si="111"/>
        <v/>
      </c>
      <c r="E1464" s="59" t="str">
        <f t="shared" si="113"/>
        <v/>
      </c>
      <c r="F1464" s="59" t="str">
        <f t="shared" si="114"/>
        <v/>
      </c>
      <c r="G1464" s="59" t="str">
        <f>IF($A1464="","",
   SUMIFS(Transactions!$P:$P,
          Transactions!$G:$G,$A1464,
          Transactions!$C:$C,"IN",
          Transactions!$Q:$Q,"Paid"))</f>
        <v/>
      </c>
      <c r="H1464" s="59" t="str">
        <f>IF($A1464="","",
   SUMIFS(Transactions!$P:$P,
          Transactions!$G:$G,$A1464,
          Transactions!$C:$C,"OUT"))</f>
        <v/>
      </c>
      <c r="I1464" s="65" t="str">
        <f t="shared" si="112"/>
        <v/>
      </c>
      <c r="J1464" s="59" t="str">
        <f t="shared" si="115"/>
        <v/>
      </c>
    </row>
    <row r="1465" spans="4:10" ht="22.5" customHeight="1" x14ac:dyDescent="0.25">
      <c r="D1465" s="59" t="str">
        <f t="shared" si="111"/>
        <v/>
      </c>
      <c r="E1465" s="59" t="str">
        <f t="shared" si="113"/>
        <v/>
      </c>
      <c r="F1465" s="59" t="str">
        <f t="shared" si="114"/>
        <v/>
      </c>
      <c r="G1465" s="59" t="str">
        <f>IF($A1465="","",
   SUMIFS(Transactions!$P:$P,
          Transactions!$G:$G,$A1465,
          Transactions!$C:$C,"IN",
          Transactions!$Q:$Q,"Paid"))</f>
        <v/>
      </c>
      <c r="H1465" s="59" t="str">
        <f>IF($A1465="","",
   SUMIFS(Transactions!$P:$P,
          Transactions!$G:$G,$A1465,
          Transactions!$C:$C,"OUT"))</f>
        <v/>
      </c>
      <c r="I1465" s="65" t="str">
        <f t="shared" si="112"/>
        <v/>
      </c>
      <c r="J1465" s="59" t="str">
        <f t="shared" si="115"/>
        <v/>
      </c>
    </row>
    <row r="1466" spans="4:10" ht="22.5" customHeight="1" x14ac:dyDescent="0.25">
      <c r="D1466" s="59" t="str">
        <f t="shared" si="111"/>
        <v/>
      </c>
      <c r="E1466" s="59" t="str">
        <f t="shared" si="113"/>
        <v/>
      </c>
      <c r="F1466" s="59" t="str">
        <f t="shared" si="114"/>
        <v/>
      </c>
      <c r="G1466" s="59" t="str">
        <f>IF($A1466="","",
   SUMIFS(Transactions!$P:$P,
          Transactions!$G:$G,$A1466,
          Transactions!$C:$C,"IN",
          Transactions!$Q:$Q,"Paid"))</f>
        <v/>
      </c>
      <c r="H1466" s="59" t="str">
        <f>IF($A1466="","",
   SUMIFS(Transactions!$P:$P,
          Transactions!$G:$G,$A1466,
          Transactions!$C:$C,"OUT"))</f>
        <v/>
      </c>
      <c r="I1466" s="65" t="str">
        <f t="shared" si="112"/>
        <v/>
      </c>
      <c r="J1466" s="59" t="str">
        <f t="shared" si="115"/>
        <v/>
      </c>
    </row>
    <row r="1467" spans="4:10" ht="22.5" customHeight="1" x14ac:dyDescent="0.25">
      <c r="D1467" s="59" t="str">
        <f t="shared" si="111"/>
        <v/>
      </c>
      <c r="E1467" s="59" t="str">
        <f t="shared" si="113"/>
        <v/>
      </c>
      <c r="F1467" s="59" t="str">
        <f t="shared" si="114"/>
        <v/>
      </c>
      <c r="G1467" s="59" t="str">
        <f>IF($A1467="","",
   SUMIFS(Transactions!$P:$P,
          Transactions!$G:$G,$A1467,
          Transactions!$C:$C,"IN",
          Transactions!$Q:$Q,"Paid"))</f>
        <v/>
      </c>
      <c r="H1467" s="59" t="str">
        <f>IF($A1467="","",
   SUMIFS(Transactions!$P:$P,
          Transactions!$G:$G,$A1467,
          Transactions!$C:$C,"OUT"))</f>
        <v/>
      </c>
      <c r="I1467" s="65" t="str">
        <f t="shared" si="112"/>
        <v/>
      </c>
      <c r="J1467" s="59" t="str">
        <f t="shared" si="115"/>
        <v/>
      </c>
    </row>
    <row r="1468" spans="4:10" ht="22.5" customHeight="1" x14ac:dyDescent="0.25">
      <c r="D1468" s="59" t="str">
        <f t="shared" si="111"/>
        <v/>
      </c>
      <c r="E1468" s="59" t="str">
        <f t="shared" si="113"/>
        <v/>
      </c>
      <c r="F1468" s="59" t="str">
        <f t="shared" si="114"/>
        <v/>
      </c>
      <c r="G1468" s="59" t="str">
        <f>IF($A1468="","",
   SUMIFS(Transactions!$P:$P,
          Transactions!$G:$G,$A1468,
          Transactions!$C:$C,"IN",
          Transactions!$Q:$Q,"Paid"))</f>
        <v/>
      </c>
      <c r="H1468" s="59" t="str">
        <f>IF($A1468="","",
   SUMIFS(Transactions!$P:$P,
          Transactions!$G:$G,$A1468,
          Transactions!$C:$C,"OUT"))</f>
        <v/>
      </c>
      <c r="I1468" s="65" t="str">
        <f t="shared" si="112"/>
        <v/>
      </c>
      <c r="J1468" s="59" t="str">
        <f t="shared" si="115"/>
        <v/>
      </c>
    </row>
    <row r="1469" spans="4:10" ht="22.5" customHeight="1" x14ac:dyDescent="0.25">
      <c r="D1469" s="59" t="str">
        <f t="shared" si="111"/>
        <v/>
      </c>
      <c r="E1469" s="59" t="str">
        <f t="shared" si="113"/>
        <v/>
      </c>
      <c r="F1469" s="59" t="str">
        <f t="shared" si="114"/>
        <v/>
      </c>
      <c r="G1469" s="59" t="str">
        <f>IF($A1469="","",
   SUMIFS(Transactions!$P:$P,
          Transactions!$G:$G,$A1469,
          Transactions!$C:$C,"IN",
          Transactions!$Q:$Q,"Paid"))</f>
        <v/>
      </c>
      <c r="H1469" s="59" t="str">
        <f>IF($A1469="","",
   SUMIFS(Transactions!$P:$P,
          Transactions!$G:$G,$A1469,
          Transactions!$C:$C,"OUT"))</f>
        <v/>
      </c>
      <c r="I1469" s="65" t="str">
        <f t="shared" si="112"/>
        <v/>
      </c>
      <c r="J1469" s="59" t="str">
        <f t="shared" si="115"/>
        <v/>
      </c>
    </row>
    <row r="1470" spans="4:10" ht="22.5" customHeight="1" x14ac:dyDescent="0.25">
      <c r="D1470" s="59" t="str">
        <f t="shared" si="111"/>
        <v/>
      </c>
      <c r="E1470" s="59" t="str">
        <f t="shared" si="113"/>
        <v/>
      </c>
      <c r="F1470" s="59" t="str">
        <f t="shared" si="114"/>
        <v/>
      </c>
      <c r="G1470" s="59" t="str">
        <f>IF($A1470="","",
   SUMIFS(Transactions!$P:$P,
          Transactions!$G:$G,$A1470,
          Transactions!$C:$C,"IN",
          Transactions!$Q:$Q,"Paid"))</f>
        <v/>
      </c>
      <c r="H1470" s="59" t="str">
        <f>IF($A1470="","",
   SUMIFS(Transactions!$P:$P,
          Transactions!$G:$G,$A1470,
          Transactions!$C:$C,"OUT"))</f>
        <v/>
      </c>
      <c r="I1470" s="65" t="str">
        <f t="shared" si="112"/>
        <v/>
      </c>
      <c r="J1470" s="59" t="str">
        <f t="shared" si="115"/>
        <v/>
      </c>
    </row>
    <row r="1471" spans="4:10" ht="22.5" customHeight="1" x14ac:dyDescent="0.25">
      <c r="D1471" s="59" t="str">
        <f t="shared" si="111"/>
        <v/>
      </c>
      <c r="E1471" s="59" t="str">
        <f t="shared" si="113"/>
        <v/>
      </c>
      <c r="F1471" s="59" t="str">
        <f t="shared" si="114"/>
        <v/>
      </c>
      <c r="G1471" s="59" t="str">
        <f>IF($A1471="","",
   SUMIFS(Transactions!$P:$P,
          Transactions!$G:$G,$A1471,
          Transactions!$C:$C,"IN",
          Transactions!$Q:$Q,"Paid"))</f>
        <v/>
      </c>
      <c r="H1471" s="59" t="str">
        <f>IF($A1471="","",
   SUMIFS(Transactions!$P:$P,
          Transactions!$G:$G,$A1471,
          Transactions!$C:$C,"OUT"))</f>
        <v/>
      </c>
      <c r="I1471" s="65" t="str">
        <f t="shared" si="112"/>
        <v/>
      </c>
      <c r="J1471" s="59" t="str">
        <f t="shared" si="115"/>
        <v/>
      </c>
    </row>
    <row r="1472" spans="4:10" ht="22.5" customHeight="1" x14ac:dyDescent="0.25">
      <c r="D1472" s="59" t="str">
        <f t="shared" si="111"/>
        <v/>
      </c>
      <c r="E1472" s="59" t="str">
        <f t="shared" si="113"/>
        <v/>
      </c>
      <c r="F1472" s="59" t="str">
        <f t="shared" si="114"/>
        <v/>
      </c>
      <c r="G1472" s="59" t="str">
        <f>IF($A1472="","",
   SUMIFS(Transactions!$P:$P,
          Transactions!$G:$G,$A1472,
          Transactions!$C:$C,"IN",
          Transactions!$Q:$Q,"Paid"))</f>
        <v/>
      </c>
      <c r="H1472" s="59" t="str">
        <f>IF($A1472="","",
   SUMIFS(Transactions!$P:$P,
          Transactions!$G:$G,$A1472,
          Transactions!$C:$C,"OUT"))</f>
        <v/>
      </c>
      <c r="I1472" s="65" t="str">
        <f t="shared" si="112"/>
        <v/>
      </c>
      <c r="J1472" s="59" t="str">
        <f t="shared" si="115"/>
        <v/>
      </c>
    </row>
    <row r="1473" spans="4:10" ht="22.5" customHeight="1" x14ac:dyDescent="0.25">
      <c r="D1473" s="59" t="str">
        <f t="shared" si="111"/>
        <v/>
      </c>
      <c r="E1473" s="59" t="str">
        <f t="shared" si="113"/>
        <v/>
      </c>
      <c r="F1473" s="59" t="str">
        <f t="shared" si="114"/>
        <v/>
      </c>
      <c r="G1473" s="59" t="str">
        <f>IF($A1473="","",
   SUMIFS(Transactions!$P:$P,
          Transactions!$G:$G,$A1473,
          Transactions!$C:$C,"IN",
          Transactions!$Q:$Q,"Paid"))</f>
        <v/>
      </c>
      <c r="H1473" s="59" t="str">
        <f>IF($A1473="","",
   SUMIFS(Transactions!$P:$P,
          Transactions!$G:$G,$A1473,
          Transactions!$C:$C,"OUT"))</f>
        <v/>
      </c>
      <c r="I1473" s="65" t="str">
        <f t="shared" si="112"/>
        <v/>
      </c>
      <c r="J1473" s="59" t="str">
        <f t="shared" si="115"/>
        <v/>
      </c>
    </row>
    <row r="1474" spans="4:10" ht="22.5" customHeight="1" x14ac:dyDescent="0.25">
      <c r="D1474" s="59" t="str">
        <f t="shared" si="111"/>
        <v/>
      </c>
      <c r="E1474" s="59" t="str">
        <f t="shared" si="113"/>
        <v/>
      </c>
      <c r="F1474" s="59" t="str">
        <f t="shared" si="114"/>
        <v/>
      </c>
      <c r="G1474" s="59" t="str">
        <f>IF($A1474="","",
   SUMIFS(Transactions!$P:$P,
          Transactions!$G:$G,$A1474,
          Transactions!$C:$C,"IN",
          Transactions!$Q:$Q,"Paid"))</f>
        <v/>
      </c>
      <c r="H1474" s="59" t="str">
        <f>IF($A1474="","",
   SUMIFS(Transactions!$P:$P,
          Transactions!$G:$G,$A1474,
          Transactions!$C:$C,"OUT"))</f>
        <v/>
      </c>
      <c r="I1474" s="65" t="str">
        <f t="shared" si="112"/>
        <v/>
      </c>
      <c r="J1474" s="59" t="str">
        <f t="shared" si="115"/>
        <v/>
      </c>
    </row>
    <row r="1475" spans="4:10" ht="22.5" customHeight="1" x14ac:dyDescent="0.25">
      <c r="D1475" s="59" t="str">
        <f t="shared" ref="D1475:D1538" si="116">IF(C1475="","",ROUND(C1475*0.15,2))</f>
        <v/>
      </c>
      <c r="E1475" s="59" t="str">
        <f t="shared" si="113"/>
        <v/>
      </c>
      <c r="F1475" s="59" t="str">
        <f t="shared" si="114"/>
        <v/>
      </c>
      <c r="G1475" s="59" t="str">
        <f>IF($A1475="","",
   SUMIFS(Transactions!$P:$P,
          Transactions!$G:$G,$A1475,
          Transactions!$C:$C,"IN",
          Transactions!$Q:$Q,"Paid"))</f>
        <v/>
      </c>
      <c r="H1475" s="59" t="str">
        <f>IF($A1475="","",
   SUMIFS(Transactions!$P:$P,
          Transactions!$G:$G,$A1475,
          Transactions!$C:$C,"OUT"))</f>
        <v/>
      </c>
      <c r="I1475" s="65" t="str">
        <f t="shared" ref="I1475:I1538" si="117">IF(C1475="","",C1475-H1475)</f>
        <v/>
      </c>
      <c r="J1475" s="59" t="str">
        <f t="shared" si="115"/>
        <v/>
      </c>
    </row>
    <row r="1476" spans="4:10" ht="22.5" customHeight="1" x14ac:dyDescent="0.25">
      <c r="D1476" s="59" t="str">
        <f t="shared" si="116"/>
        <v/>
      </c>
      <c r="E1476" s="59" t="str">
        <f t="shared" ref="E1476:E1539" si="118">IF(C1476="","",C1476+D1476)</f>
        <v/>
      </c>
      <c r="F1476" s="59" t="str">
        <f t="shared" ref="F1476:F1539" si="119">IF(E1476="","",E1476*0.5)</f>
        <v/>
      </c>
      <c r="G1476" s="59" t="str">
        <f>IF($A1476="","",
   SUMIFS(Transactions!$P:$P,
          Transactions!$G:$G,$A1476,
          Transactions!$C:$C,"IN",
          Transactions!$Q:$Q,"Paid"))</f>
        <v/>
      </c>
      <c r="H1476" s="59" t="str">
        <f>IF($A1476="","",
   SUMIFS(Transactions!$P:$P,
          Transactions!$G:$G,$A1476,
          Transactions!$C:$C,"OUT"))</f>
        <v/>
      </c>
      <c r="I1476" s="65" t="str">
        <f t="shared" si="117"/>
        <v/>
      </c>
      <c r="J1476" s="59" t="str">
        <f t="shared" ref="J1476:J1539" si="120">IF(E1476="","",E1476-G1476)</f>
        <v/>
      </c>
    </row>
    <row r="1477" spans="4:10" ht="22.5" customHeight="1" x14ac:dyDescent="0.25">
      <c r="D1477" s="59" t="str">
        <f t="shared" si="116"/>
        <v/>
      </c>
      <c r="E1477" s="59" t="str">
        <f t="shared" si="118"/>
        <v/>
      </c>
      <c r="F1477" s="59" t="str">
        <f t="shared" si="119"/>
        <v/>
      </c>
      <c r="G1477" s="59" t="str">
        <f>IF($A1477="","",
   SUMIFS(Transactions!$P:$P,
          Transactions!$G:$G,$A1477,
          Transactions!$C:$C,"IN",
          Transactions!$Q:$Q,"Paid"))</f>
        <v/>
      </c>
      <c r="H1477" s="59" t="str">
        <f>IF($A1477="","",
   SUMIFS(Transactions!$P:$P,
          Transactions!$G:$G,$A1477,
          Transactions!$C:$C,"OUT"))</f>
        <v/>
      </c>
      <c r="I1477" s="65" t="str">
        <f t="shared" si="117"/>
        <v/>
      </c>
      <c r="J1477" s="59" t="str">
        <f t="shared" si="120"/>
        <v/>
      </c>
    </row>
    <row r="1478" spans="4:10" ht="22.5" customHeight="1" x14ac:dyDescent="0.25">
      <c r="D1478" s="59" t="str">
        <f t="shared" si="116"/>
        <v/>
      </c>
      <c r="E1478" s="59" t="str">
        <f t="shared" si="118"/>
        <v/>
      </c>
      <c r="F1478" s="59" t="str">
        <f t="shared" si="119"/>
        <v/>
      </c>
      <c r="G1478" s="59" t="str">
        <f>IF($A1478="","",
   SUMIFS(Transactions!$P:$P,
          Transactions!$G:$G,$A1478,
          Transactions!$C:$C,"IN",
          Transactions!$Q:$Q,"Paid"))</f>
        <v/>
      </c>
      <c r="H1478" s="59" t="str">
        <f>IF($A1478="","",
   SUMIFS(Transactions!$P:$P,
          Transactions!$G:$G,$A1478,
          Transactions!$C:$C,"OUT"))</f>
        <v/>
      </c>
      <c r="I1478" s="65" t="str">
        <f t="shared" si="117"/>
        <v/>
      </c>
      <c r="J1478" s="59" t="str">
        <f t="shared" si="120"/>
        <v/>
      </c>
    </row>
    <row r="1479" spans="4:10" ht="22.5" customHeight="1" x14ac:dyDescent="0.25">
      <c r="D1479" s="59" t="str">
        <f t="shared" si="116"/>
        <v/>
      </c>
      <c r="E1479" s="59" t="str">
        <f t="shared" si="118"/>
        <v/>
      </c>
      <c r="F1479" s="59" t="str">
        <f t="shared" si="119"/>
        <v/>
      </c>
      <c r="G1479" s="59" t="str">
        <f>IF($A1479="","",
   SUMIFS(Transactions!$P:$P,
          Transactions!$G:$G,$A1479,
          Transactions!$C:$C,"IN",
          Transactions!$Q:$Q,"Paid"))</f>
        <v/>
      </c>
      <c r="H1479" s="59" t="str">
        <f>IF($A1479="","",
   SUMIFS(Transactions!$P:$P,
          Transactions!$G:$G,$A1479,
          Transactions!$C:$C,"OUT"))</f>
        <v/>
      </c>
      <c r="I1479" s="65" t="str">
        <f t="shared" si="117"/>
        <v/>
      </c>
      <c r="J1479" s="59" t="str">
        <f t="shared" si="120"/>
        <v/>
      </c>
    </row>
    <row r="1480" spans="4:10" ht="22.5" customHeight="1" x14ac:dyDescent="0.25">
      <c r="D1480" s="59" t="str">
        <f t="shared" si="116"/>
        <v/>
      </c>
      <c r="E1480" s="59" t="str">
        <f t="shared" si="118"/>
        <v/>
      </c>
      <c r="F1480" s="59" t="str">
        <f t="shared" si="119"/>
        <v/>
      </c>
      <c r="G1480" s="59" t="str">
        <f>IF($A1480="","",
   SUMIFS(Transactions!$P:$P,
          Transactions!$G:$G,$A1480,
          Transactions!$C:$C,"IN",
          Transactions!$Q:$Q,"Paid"))</f>
        <v/>
      </c>
      <c r="H1480" s="59" t="str">
        <f>IF($A1480="","",
   SUMIFS(Transactions!$P:$P,
          Transactions!$G:$G,$A1480,
          Transactions!$C:$C,"OUT"))</f>
        <v/>
      </c>
      <c r="I1480" s="65" t="str">
        <f t="shared" si="117"/>
        <v/>
      </c>
      <c r="J1480" s="59" t="str">
        <f t="shared" si="120"/>
        <v/>
      </c>
    </row>
    <row r="1481" spans="4:10" ht="22.5" customHeight="1" x14ac:dyDescent="0.25">
      <c r="D1481" s="59" t="str">
        <f t="shared" si="116"/>
        <v/>
      </c>
      <c r="E1481" s="59" t="str">
        <f t="shared" si="118"/>
        <v/>
      </c>
      <c r="F1481" s="59" t="str">
        <f t="shared" si="119"/>
        <v/>
      </c>
      <c r="G1481" s="59" t="str">
        <f>IF($A1481="","",
   SUMIFS(Transactions!$P:$P,
          Transactions!$G:$G,$A1481,
          Transactions!$C:$C,"IN",
          Transactions!$Q:$Q,"Paid"))</f>
        <v/>
      </c>
      <c r="H1481" s="59" t="str">
        <f>IF($A1481="","",
   SUMIFS(Transactions!$P:$P,
          Transactions!$G:$G,$A1481,
          Transactions!$C:$C,"OUT"))</f>
        <v/>
      </c>
      <c r="I1481" s="65" t="str">
        <f t="shared" si="117"/>
        <v/>
      </c>
      <c r="J1481" s="59" t="str">
        <f t="shared" si="120"/>
        <v/>
      </c>
    </row>
    <row r="1482" spans="4:10" ht="22.5" customHeight="1" x14ac:dyDescent="0.25">
      <c r="D1482" s="59" t="str">
        <f t="shared" si="116"/>
        <v/>
      </c>
      <c r="E1482" s="59" t="str">
        <f t="shared" si="118"/>
        <v/>
      </c>
      <c r="F1482" s="59" t="str">
        <f t="shared" si="119"/>
        <v/>
      </c>
      <c r="G1482" s="59" t="str">
        <f>IF($A1482="","",
   SUMIFS(Transactions!$P:$P,
          Transactions!$G:$G,$A1482,
          Transactions!$C:$C,"IN",
          Transactions!$Q:$Q,"Paid"))</f>
        <v/>
      </c>
      <c r="H1482" s="59" t="str">
        <f>IF($A1482="","",
   SUMIFS(Transactions!$P:$P,
          Transactions!$G:$G,$A1482,
          Transactions!$C:$C,"OUT"))</f>
        <v/>
      </c>
      <c r="I1482" s="65" t="str">
        <f t="shared" si="117"/>
        <v/>
      </c>
      <c r="J1482" s="59" t="str">
        <f t="shared" si="120"/>
        <v/>
      </c>
    </row>
    <row r="1483" spans="4:10" ht="22.5" customHeight="1" x14ac:dyDescent="0.25">
      <c r="D1483" s="59" t="str">
        <f t="shared" si="116"/>
        <v/>
      </c>
      <c r="E1483" s="59" t="str">
        <f t="shared" si="118"/>
        <v/>
      </c>
      <c r="F1483" s="59" t="str">
        <f t="shared" si="119"/>
        <v/>
      </c>
      <c r="G1483" s="59" t="str">
        <f>IF($A1483="","",
   SUMIFS(Transactions!$P:$P,
          Transactions!$G:$G,$A1483,
          Transactions!$C:$C,"IN",
          Transactions!$Q:$Q,"Paid"))</f>
        <v/>
      </c>
      <c r="H1483" s="59" t="str">
        <f>IF($A1483="","",
   SUMIFS(Transactions!$P:$P,
          Transactions!$G:$G,$A1483,
          Transactions!$C:$C,"OUT"))</f>
        <v/>
      </c>
      <c r="I1483" s="65" t="str">
        <f t="shared" si="117"/>
        <v/>
      </c>
      <c r="J1483" s="59" t="str">
        <f t="shared" si="120"/>
        <v/>
      </c>
    </row>
    <row r="1484" spans="4:10" ht="22.5" customHeight="1" x14ac:dyDescent="0.25">
      <c r="D1484" s="59" t="str">
        <f t="shared" si="116"/>
        <v/>
      </c>
      <c r="E1484" s="59" t="str">
        <f t="shared" si="118"/>
        <v/>
      </c>
      <c r="F1484" s="59" t="str">
        <f t="shared" si="119"/>
        <v/>
      </c>
      <c r="G1484" s="59" t="str">
        <f>IF($A1484="","",
   SUMIFS(Transactions!$P:$P,
          Transactions!$G:$G,$A1484,
          Transactions!$C:$C,"IN",
          Transactions!$Q:$Q,"Paid"))</f>
        <v/>
      </c>
      <c r="H1484" s="59" t="str">
        <f>IF($A1484="","",
   SUMIFS(Transactions!$P:$P,
          Transactions!$G:$G,$A1484,
          Transactions!$C:$C,"OUT"))</f>
        <v/>
      </c>
      <c r="I1484" s="65" t="str">
        <f t="shared" si="117"/>
        <v/>
      </c>
      <c r="J1484" s="59" t="str">
        <f t="shared" si="120"/>
        <v/>
      </c>
    </row>
    <row r="1485" spans="4:10" ht="22.5" customHeight="1" x14ac:dyDescent="0.25">
      <c r="D1485" s="59" t="str">
        <f t="shared" si="116"/>
        <v/>
      </c>
      <c r="E1485" s="59" t="str">
        <f t="shared" si="118"/>
        <v/>
      </c>
      <c r="F1485" s="59" t="str">
        <f t="shared" si="119"/>
        <v/>
      </c>
      <c r="G1485" s="59" t="str">
        <f>IF($A1485="","",
   SUMIFS(Transactions!$P:$P,
          Transactions!$G:$G,$A1485,
          Transactions!$C:$C,"IN",
          Transactions!$Q:$Q,"Paid"))</f>
        <v/>
      </c>
      <c r="H1485" s="59" t="str">
        <f>IF($A1485="","",
   SUMIFS(Transactions!$P:$P,
          Transactions!$G:$G,$A1485,
          Transactions!$C:$C,"OUT"))</f>
        <v/>
      </c>
      <c r="I1485" s="65" t="str">
        <f t="shared" si="117"/>
        <v/>
      </c>
      <c r="J1485" s="59" t="str">
        <f t="shared" si="120"/>
        <v/>
      </c>
    </row>
    <row r="1486" spans="4:10" ht="22.5" customHeight="1" x14ac:dyDescent="0.25">
      <c r="D1486" s="59" t="str">
        <f t="shared" si="116"/>
        <v/>
      </c>
      <c r="E1486" s="59" t="str">
        <f t="shared" si="118"/>
        <v/>
      </c>
      <c r="F1486" s="59" t="str">
        <f t="shared" si="119"/>
        <v/>
      </c>
      <c r="G1486" s="59" t="str">
        <f>IF($A1486="","",
   SUMIFS(Transactions!$P:$P,
          Transactions!$G:$G,$A1486,
          Transactions!$C:$C,"IN",
          Transactions!$Q:$Q,"Paid"))</f>
        <v/>
      </c>
      <c r="H1486" s="59" t="str">
        <f>IF($A1486="","",
   SUMIFS(Transactions!$P:$P,
          Transactions!$G:$G,$A1486,
          Transactions!$C:$C,"OUT"))</f>
        <v/>
      </c>
      <c r="I1486" s="65" t="str">
        <f t="shared" si="117"/>
        <v/>
      </c>
      <c r="J1486" s="59" t="str">
        <f t="shared" si="120"/>
        <v/>
      </c>
    </row>
    <row r="1487" spans="4:10" ht="22.5" customHeight="1" x14ac:dyDescent="0.25">
      <c r="D1487" s="59" t="str">
        <f t="shared" si="116"/>
        <v/>
      </c>
      <c r="E1487" s="59" t="str">
        <f t="shared" si="118"/>
        <v/>
      </c>
      <c r="F1487" s="59" t="str">
        <f t="shared" si="119"/>
        <v/>
      </c>
      <c r="G1487" s="59" t="str">
        <f>IF($A1487="","",
   SUMIFS(Transactions!$P:$P,
          Transactions!$G:$G,$A1487,
          Transactions!$C:$C,"IN",
          Transactions!$Q:$Q,"Paid"))</f>
        <v/>
      </c>
      <c r="H1487" s="59" t="str">
        <f>IF($A1487="","",
   SUMIFS(Transactions!$P:$P,
          Transactions!$G:$G,$A1487,
          Transactions!$C:$C,"OUT"))</f>
        <v/>
      </c>
      <c r="I1487" s="65" t="str">
        <f t="shared" si="117"/>
        <v/>
      </c>
      <c r="J1487" s="59" t="str">
        <f t="shared" si="120"/>
        <v/>
      </c>
    </row>
    <row r="1488" spans="4:10" ht="22.5" customHeight="1" x14ac:dyDescent="0.25">
      <c r="D1488" s="59" t="str">
        <f t="shared" si="116"/>
        <v/>
      </c>
      <c r="E1488" s="59" t="str">
        <f t="shared" si="118"/>
        <v/>
      </c>
      <c r="F1488" s="59" t="str">
        <f t="shared" si="119"/>
        <v/>
      </c>
      <c r="G1488" s="59" t="str">
        <f>IF($A1488="","",
   SUMIFS(Transactions!$P:$P,
          Transactions!$G:$G,$A1488,
          Transactions!$C:$C,"IN",
          Transactions!$Q:$Q,"Paid"))</f>
        <v/>
      </c>
      <c r="H1488" s="59" t="str">
        <f>IF($A1488="","",
   SUMIFS(Transactions!$P:$P,
          Transactions!$G:$G,$A1488,
          Transactions!$C:$C,"OUT"))</f>
        <v/>
      </c>
      <c r="I1488" s="65" t="str">
        <f t="shared" si="117"/>
        <v/>
      </c>
      <c r="J1488" s="59" t="str">
        <f t="shared" si="120"/>
        <v/>
      </c>
    </row>
    <row r="1489" spans="4:10" ht="22.5" customHeight="1" x14ac:dyDescent="0.25">
      <c r="D1489" s="59" t="str">
        <f t="shared" si="116"/>
        <v/>
      </c>
      <c r="E1489" s="59" t="str">
        <f t="shared" si="118"/>
        <v/>
      </c>
      <c r="F1489" s="59" t="str">
        <f t="shared" si="119"/>
        <v/>
      </c>
      <c r="G1489" s="59" t="str">
        <f>IF($A1489="","",
   SUMIFS(Transactions!$P:$P,
          Transactions!$G:$G,$A1489,
          Transactions!$C:$C,"IN",
          Transactions!$Q:$Q,"Paid"))</f>
        <v/>
      </c>
      <c r="H1489" s="59" t="str">
        <f>IF($A1489="","",
   SUMIFS(Transactions!$P:$P,
          Transactions!$G:$G,$A1489,
          Transactions!$C:$C,"OUT"))</f>
        <v/>
      </c>
      <c r="I1489" s="65" t="str">
        <f t="shared" si="117"/>
        <v/>
      </c>
      <c r="J1489" s="59" t="str">
        <f t="shared" si="120"/>
        <v/>
      </c>
    </row>
    <row r="1490" spans="4:10" ht="22.5" customHeight="1" x14ac:dyDescent="0.25">
      <c r="D1490" s="59" t="str">
        <f t="shared" si="116"/>
        <v/>
      </c>
      <c r="E1490" s="59" t="str">
        <f t="shared" si="118"/>
        <v/>
      </c>
      <c r="F1490" s="59" t="str">
        <f t="shared" si="119"/>
        <v/>
      </c>
      <c r="G1490" s="59" t="str">
        <f>IF($A1490="","",
   SUMIFS(Transactions!$P:$P,
          Transactions!$G:$G,$A1490,
          Transactions!$C:$C,"IN",
          Transactions!$Q:$Q,"Paid"))</f>
        <v/>
      </c>
      <c r="H1490" s="59" t="str">
        <f>IF($A1490="","",
   SUMIFS(Transactions!$P:$P,
          Transactions!$G:$G,$A1490,
          Transactions!$C:$C,"OUT"))</f>
        <v/>
      </c>
      <c r="I1490" s="65" t="str">
        <f t="shared" si="117"/>
        <v/>
      </c>
      <c r="J1490" s="59" t="str">
        <f t="shared" si="120"/>
        <v/>
      </c>
    </row>
    <row r="1491" spans="4:10" ht="22.5" customHeight="1" x14ac:dyDescent="0.25">
      <c r="D1491" s="59" t="str">
        <f t="shared" si="116"/>
        <v/>
      </c>
      <c r="E1491" s="59" t="str">
        <f t="shared" si="118"/>
        <v/>
      </c>
      <c r="F1491" s="59" t="str">
        <f t="shared" si="119"/>
        <v/>
      </c>
      <c r="G1491" s="59" t="str">
        <f>IF($A1491="","",
   SUMIFS(Transactions!$P:$P,
          Transactions!$G:$G,$A1491,
          Transactions!$C:$C,"IN",
          Transactions!$Q:$Q,"Paid"))</f>
        <v/>
      </c>
      <c r="H1491" s="59" t="str">
        <f>IF($A1491="","",
   SUMIFS(Transactions!$P:$P,
          Transactions!$G:$G,$A1491,
          Transactions!$C:$C,"OUT"))</f>
        <v/>
      </c>
      <c r="I1491" s="65" t="str">
        <f t="shared" si="117"/>
        <v/>
      </c>
      <c r="J1491" s="59" t="str">
        <f t="shared" si="120"/>
        <v/>
      </c>
    </row>
    <row r="1492" spans="4:10" ht="22.5" customHeight="1" x14ac:dyDescent="0.25">
      <c r="D1492" s="59" t="str">
        <f t="shared" si="116"/>
        <v/>
      </c>
      <c r="E1492" s="59" t="str">
        <f t="shared" si="118"/>
        <v/>
      </c>
      <c r="F1492" s="59" t="str">
        <f t="shared" si="119"/>
        <v/>
      </c>
      <c r="G1492" s="59" t="str">
        <f>IF($A1492="","",
   SUMIFS(Transactions!$P:$P,
          Transactions!$G:$G,$A1492,
          Transactions!$C:$C,"IN",
          Transactions!$Q:$Q,"Paid"))</f>
        <v/>
      </c>
      <c r="H1492" s="59" t="str">
        <f>IF($A1492="","",
   SUMIFS(Transactions!$P:$P,
          Transactions!$G:$G,$A1492,
          Transactions!$C:$C,"OUT"))</f>
        <v/>
      </c>
      <c r="I1492" s="65" t="str">
        <f t="shared" si="117"/>
        <v/>
      </c>
      <c r="J1492" s="59" t="str">
        <f t="shared" si="120"/>
        <v/>
      </c>
    </row>
    <row r="1493" spans="4:10" ht="22.5" customHeight="1" x14ac:dyDescent="0.25">
      <c r="D1493" s="59" t="str">
        <f t="shared" si="116"/>
        <v/>
      </c>
      <c r="E1493" s="59" t="str">
        <f t="shared" si="118"/>
        <v/>
      </c>
      <c r="F1493" s="59" t="str">
        <f t="shared" si="119"/>
        <v/>
      </c>
      <c r="G1493" s="59" t="str">
        <f>IF($A1493="","",
   SUMIFS(Transactions!$P:$P,
          Transactions!$G:$G,$A1493,
          Transactions!$C:$C,"IN",
          Transactions!$Q:$Q,"Paid"))</f>
        <v/>
      </c>
      <c r="H1493" s="59" t="str">
        <f>IF($A1493="","",
   SUMIFS(Transactions!$P:$P,
          Transactions!$G:$G,$A1493,
          Transactions!$C:$C,"OUT"))</f>
        <v/>
      </c>
      <c r="I1493" s="65" t="str">
        <f t="shared" si="117"/>
        <v/>
      </c>
      <c r="J1493" s="59" t="str">
        <f t="shared" si="120"/>
        <v/>
      </c>
    </row>
    <row r="1494" spans="4:10" ht="22.5" customHeight="1" x14ac:dyDescent="0.25">
      <c r="D1494" s="59" t="str">
        <f t="shared" si="116"/>
        <v/>
      </c>
      <c r="E1494" s="59" t="str">
        <f t="shared" si="118"/>
        <v/>
      </c>
      <c r="F1494" s="59" t="str">
        <f t="shared" si="119"/>
        <v/>
      </c>
      <c r="G1494" s="59" t="str">
        <f>IF($A1494="","",
   SUMIFS(Transactions!$P:$P,
          Transactions!$G:$G,$A1494,
          Transactions!$C:$C,"IN",
          Transactions!$Q:$Q,"Paid"))</f>
        <v/>
      </c>
      <c r="H1494" s="59" t="str">
        <f>IF($A1494="","",
   SUMIFS(Transactions!$P:$P,
          Transactions!$G:$G,$A1494,
          Transactions!$C:$C,"OUT"))</f>
        <v/>
      </c>
      <c r="I1494" s="65" t="str">
        <f t="shared" si="117"/>
        <v/>
      </c>
      <c r="J1494" s="59" t="str">
        <f t="shared" si="120"/>
        <v/>
      </c>
    </row>
    <row r="1495" spans="4:10" ht="22.5" customHeight="1" x14ac:dyDescent="0.25">
      <c r="D1495" s="59" t="str">
        <f t="shared" si="116"/>
        <v/>
      </c>
      <c r="E1495" s="59" t="str">
        <f t="shared" si="118"/>
        <v/>
      </c>
      <c r="F1495" s="59" t="str">
        <f t="shared" si="119"/>
        <v/>
      </c>
      <c r="G1495" s="59" t="str">
        <f>IF($A1495="","",
   SUMIFS(Transactions!$P:$P,
          Transactions!$G:$G,$A1495,
          Transactions!$C:$C,"IN",
          Transactions!$Q:$Q,"Paid"))</f>
        <v/>
      </c>
      <c r="H1495" s="59" t="str">
        <f>IF($A1495="","",
   SUMIFS(Transactions!$P:$P,
          Transactions!$G:$G,$A1495,
          Transactions!$C:$C,"OUT"))</f>
        <v/>
      </c>
      <c r="I1495" s="65" t="str">
        <f t="shared" si="117"/>
        <v/>
      </c>
      <c r="J1495" s="59" t="str">
        <f t="shared" si="120"/>
        <v/>
      </c>
    </row>
    <row r="1496" spans="4:10" ht="22.5" customHeight="1" x14ac:dyDescent="0.25">
      <c r="D1496" s="59" t="str">
        <f t="shared" si="116"/>
        <v/>
      </c>
      <c r="E1496" s="59" t="str">
        <f t="shared" si="118"/>
        <v/>
      </c>
      <c r="F1496" s="59" t="str">
        <f t="shared" si="119"/>
        <v/>
      </c>
      <c r="G1496" s="59" t="str">
        <f>IF($A1496="","",
   SUMIFS(Transactions!$P:$P,
          Transactions!$G:$G,$A1496,
          Transactions!$C:$C,"IN",
          Transactions!$Q:$Q,"Paid"))</f>
        <v/>
      </c>
      <c r="H1496" s="59" t="str">
        <f>IF($A1496="","",
   SUMIFS(Transactions!$P:$P,
          Transactions!$G:$G,$A1496,
          Transactions!$C:$C,"OUT"))</f>
        <v/>
      </c>
      <c r="I1496" s="65" t="str">
        <f t="shared" si="117"/>
        <v/>
      </c>
      <c r="J1496" s="59" t="str">
        <f t="shared" si="120"/>
        <v/>
      </c>
    </row>
    <row r="1497" spans="4:10" ht="22.5" customHeight="1" x14ac:dyDescent="0.25">
      <c r="D1497" s="59" t="str">
        <f t="shared" si="116"/>
        <v/>
      </c>
      <c r="E1497" s="59" t="str">
        <f t="shared" si="118"/>
        <v/>
      </c>
      <c r="F1497" s="59" t="str">
        <f t="shared" si="119"/>
        <v/>
      </c>
      <c r="G1497" s="59" t="str">
        <f>IF($A1497="","",
   SUMIFS(Transactions!$P:$P,
          Transactions!$G:$G,$A1497,
          Transactions!$C:$C,"IN",
          Transactions!$Q:$Q,"Paid"))</f>
        <v/>
      </c>
      <c r="H1497" s="59" t="str">
        <f>IF($A1497="","",
   SUMIFS(Transactions!$P:$P,
          Transactions!$G:$G,$A1497,
          Transactions!$C:$C,"OUT"))</f>
        <v/>
      </c>
      <c r="I1497" s="65" t="str">
        <f t="shared" si="117"/>
        <v/>
      </c>
      <c r="J1497" s="59" t="str">
        <f t="shared" si="120"/>
        <v/>
      </c>
    </row>
    <row r="1498" spans="4:10" ht="22.5" customHeight="1" x14ac:dyDescent="0.25">
      <c r="D1498" s="59" t="str">
        <f t="shared" si="116"/>
        <v/>
      </c>
      <c r="E1498" s="59" t="str">
        <f t="shared" si="118"/>
        <v/>
      </c>
      <c r="F1498" s="59" t="str">
        <f t="shared" si="119"/>
        <v/>
      </c>
      <c r="G1498" s="59" t="str">
        <f>IF($A1498="","",
   SUMIFS(Transactions!$P:$P,
          Transactions!$G:$G,$A1498,
          Transactions!$C:$C,"IN",
          Transactions!$Q:$Q,"Paid"))</f>
        <v/>
      </c>
      <c r="H1498" s="59" t="str">
        <f>IF($A1498="","",
   SUMIFS(Transactions!$P:$P,
          Transactions!$G:$G,$A1498,
          Transactions!$C:$C,"OUT"))</f>
        <v/>
      </c>
      <c r="I1498" s="65" t="str">
        <f t="shared" si="117"/>
        <v/>
      </c>
      <c r="J1498" s="59" t="str">
        <f t="shared" si="120"/>
        <v/>
      </c>
    </row>
    <row r="1499" spans="4:10" ht="22.5" customHeight="1" x14ac:dyDescent="0.25">
      <c r="D1499" s="59" t="str">
        <f t="shared" si="116"/>
        <v/>
      </c>
      <c r="E1499" s="59" t="str">
        <f t="shared" si="118"/>
        <v/>
      </c>
      <c r="F1499" s="59" t="str">
        <f t="shared" si="119"/>
        <v/>
      </c>
      <c r="G1499" s="59" t="str">
        <f>IF($A1499="","",
   SUMIFS(Transactions!$P:$P,
          Transactions!$G:$G,$A1499,
          Transactions!$C:$C,"IN",
          Transactions!$Q:$Q,"Paid"))</f>
        <v/>
      </c>
      <c r="H1499" s="59" t="str">
        <f>IF($A1499="","",
   SUMIFS(Transactions!$P:$P,
          Transactions!$G:$G,$A1499,
          Transactions!$C:$C,"OUT"))</f>
        <v/>
      </c>
      <c r="I1499" s="65" t="str">
        <f t="shared" si="117"/>
        <v/>
      </c>
      <c r="J1499" s="59" t="str">
        <f t="shared" si="120"/>
        <v/>
      </c>
    </row>
    <row r="1500" spans="4:10" ht="22.5" customHeight="1" x14ac:dyDescent="0.25">
      <c r="D1500" s="59" t="str">
        <f t="shared" si="116"/>
        <v/>
      </c>
      <c r="E1500" s="59" t="str">
        <f t="shared" si="118"/>
        <v/>
      </c>
      <c r="F1500" s="59" t="str">
        <f t="shared" si="119"/>
        <v/>
      </c>
      <c r="G1500" s="59" t="str">
        <f>IF($A1500="","",
   SUMIFS(Transactions!$P:$P,
          Transactions!$G:$G,$A1500,
          Transactions!$C:$C,"IN",
          Transactions!$Q:$Q,"Paid"))</f>
        <v/>
      </c>
      <c r="H1500" s="59" t="str">
        <f>IF($A1500="","",
   SUMIFS(Transactions!$P:$P,
          Transactions!$G:$G,$A1500,
          Transactions!$C:$C,"OUT"))</f>
        <v/>
      </c>
      <c r="I1500" s="65" t="str">
        <f t="shared" si="117"/>
        <v/>
      </c>
      <c r="J1500" s="59" t="str">
        <f t="shared" si="120"/>
        <v/>
      </c>
    </row>
    <row r="1501" spans="4:10" ht="22.5" customHeight="1" x14ac:dyDescent="0.25">
      <c r="D1501" s="59" t="str">
        <f t="shared" si="116"/>
        <v/>
      </c>
      <c r="E1501" s="59" t="str">
        <f t="shared" si="118"/>
        <v/>
      </c>
      <c r="F1501" s="59" t="str">
        <f t="shared" si="119"/>
        <v/>
      </c>
      <c r="G1501" s="59" t="str">
        <f>IF($A1501="","",
   SUMIFS(Transactions!$P:$P,
          Transactions!$G:$G,$A1501,
          Transactions!$C:$C,"IN",
          Transactions!$Q:$Q,"Paid"))</f>
        <v/>
      </c>
      <c r="H1501" s="59" t="str">
        <f>IF($A1501="","",
   SUMIFS(Transactions!$P:$P,
          Transactions!$G:$G,$A1501,
          Transactions!$C:$C,"OUT"))</f>
        <v/>
      </c>
      <c r="I1501" s="65" t="str">
        <f t="shared" si="117"/>
        <v/>
      </c>
      <c r="J1501" s="59" t="str">
        <f t="shared" si="120"/>
        <v/>
      </c>
    </row>
    <row r="1502" spans="4:10" ht="22.5" customHeight="1" x14ac:dyDescent="0.25">
      <c r="D1502" s="59" t="str">
        <f t="shared" si="116"/>
        <v/>
      </c>
      <c r="E1502" s="59" t="str">
        <f t="shared" si="118"/>
        <v/>
      </c>
      <c r="F1502" s="59" t="str">
        <f t="shared" si="119"/>
        <v/>
      </c>
      <c r="G1502" s="59" t="str">
        <f>IF($A1502="","",
   SUMIFS(Transactions!$P:$P,
          Transactions!$G:$G,$A1502,
          Transactions!$C:$C,"IN",
          Transactions!$Q:$Q,"Paid"))</f>
        <v/>
      </c>
      <c r="H1502" s="59" t="str">
        <f>IF($A1502="","",
   SUMIFS(Transactions!$P:$P,
          Transactions!$G:$G,$A1502,
          Transactions!$C:$C,"OUT"))</f>
        <v/>
      </c>
      <c r="I1502" s="65" t="str">
        <f t="shared" si="117"/>
        <v/>
      </c>
      <c r="J1502" s="59" t="str">
        <f t="shared" si="120"/>
        <v/>
      </c>
    </row>
    <row r="1503" spans="4:10" ht="22.5" customHeight="1" x14ac:dyDescent="0.25">
      <c r="D1503" s="59" t="str">
        <f t="shared" si="116"/>
        <v/>
      </c>
      <c r="E1503" s="59" t="str">
        <f t="shared" si="118"/>
        <v/>
      </c>
      <c r="F1503" s="59" t="str">
        <f t="shared" si="119"/>
        <v/>
      </c>
      <c r="G1503" s="59" t="str">
        <f>IF($A1503="","",
   SUMIFS(Transactions!$P:$P,
          Transactions!$G:$G,$A1503,
          Transactions!$C:$C,"IN",
          Transactions!$Q:$Q,"Paid"))</f>
        <v/>
      </c>
      <c r="H1503" s="59" t="str">
        <f>IF($A1503="","",
   SUMIFS(Transactions!$P:$P,
          Transactions!$G:$G,$A1503,
          Transactions!$C:$C,"OUT"))</f>
        <v/>
      </c>
      <c r="I1503" s="65" t="str">
        <f t="shared" si="117"/>
        <v/>
      </c>
      <c r="J1503" s="59" t="str">
        <f t="shared" si="120"/>
        <v/>
      </c>
    </row>
    <row r="1504" spans="4:10" ht="22.5" customHeight="1" x14ac:dyDescent="0.25">
      <c r="D1504" s="59" t="str">
        <f t="shared" si="116"/>
        <v/>
      </c>
      <c r="E1504" s="59" t="str">
        <f t="shared" si="118"/>
        <v/>
      </c>
      <c r="F1504" s="59" t="str">
        <f t="shared" si="119"/>
        <v/>
      </c>
      <c r="G1504" s="59" t="str">
        <f>IF($A1504="","",
   SUMIFS(Transactions!$P:$P,
          Transactions!$G:$G,$A1504,
          Transactions!$C:$C,"IN",
          Transactions!$Q:$Q,"Paid"))</f>
        <v/>
      </c>
      <c r="H1504" s="59" t="str">
        <f>IF($A1504="","",
   SUMIFS(Transactions!$P:$P,
          Transactions!$G:$G,$A1504,
          Transactions!$C:$C,"OUT"))</f>
        <v/>
      </c>
      <c r="I1504" s="65" t="str">
        <f t="shared" si="117"/>
        <v/>
      </c>
      <c r="J1504" s="59" t="str">
        <f t="shared" si="120"/>
        <v/>
      </c>
    </row>
    <row r="1505" spans="4:10" ht="22.5" customHeight="1" x14ac:dyDescent="0.25">
      <c r="D1505" s="59" t="str">
        <f t="shared" si="116"/>
        <v/>
      </c>
      <c r="E1505" s="59" t="str">
        <f t="shared" si="118"/>
        <v/>
      </c>
      <c r="F1505" s="59" t="str">
        <f t="shared" si="119"/>
        <v/>
      </c>
      <c r="G1505" s="59" t="str">
        <f>IF($A1505="","",
   SUMIFS(Transactions!$P:$P,
          Transactions!$G:$G,$A1505,
          Transactions!$C:$C,"IN",
          Transactions!$Q:$Q,"Paid"))</f>
        <v/>
      </c>
      <c r="H1505" s="59" t="str">
        <f>IF($A1505="","",
   SUMIFS(Transactions!$P:$P,
          Transactions!$G:$G,$A1505,
          Transactions!$C:$C,"OUT"))</f>
        <v/>
      </c>
      <c r="I1505" s="65" t="str">
        <f t="shared" si="117"/>
        <v/>
      </c>
      <c r="J1505" s="59" t="str">
        <f t="shared" si="120"/>
        <v/>
      </c>
    </row>
    <row r="1506" spans="4:10" ht="22.5" customHeight="1" x14ac:dyDescent="0.25">
      <c r="D1506" s="59" t="str">
        <f t="shared" si="116"/>
        <v/>
      </c>
      <c r="E1506" s="59" t="str">
        <f t="shared" si="118"/>
        <v/>
      </c>
      <c r="F1506" s="59" t="str">
        <f t="shared" si="119"/>
        <v/>
      </c>
      <c r="G1506" s="59" t="str">
        <f>IF($A1506="","",
   SUMIFS(Transactions!$P:$P,
          Transactions!$G:$G,$A1506,
          Transactions!$C:$C,"IN",
          Transactions!$Q:$Q,"Paid"))</f>
        <v/>
      </c>
      <c r="H1506" s="59" t="str">
        <f>IF($A1506="","",
   SUMIFS(Transactions!$P:$P,
          Transactions!$G:$G,$A1506,
          Transactions!$C:$C,"OUT"))</f>
        <v/>
      </c>
      <c r="I1506" s="65" t="str">
        <f t="shared" si="117"/>
        <v/>
      </c>
      <c r="J1506" s="59" t="str">
        <f t="shared" si="120"/>
        <v/>
      </c>
    </row>
    <row r="1507" spans="4:10" ht="22.5" customHeight="1" x14ac:dyDescent="0.25">
      <c r="D1507" s="59" t="str">
        <f t="shared" si="116"/>
        <v/>
      </c>
      <c r="E1507" s="59" t="str">
        <f t="shared" si="118"/>
        <v/>
      </c>
      <c r="F1507" s="59" t="str">
        <f t="shared" si="119"/>
        <v/>
      </c>
      <c r="G1507" s="59" t="str">
        <f>IF($A1507="","",
   SUMIFS(Transactions!$P:$P,
          Transactions!$G:$G,$A1507,
          Transactions!$C:$C,"IN",
          Transactions!$Q:$Q,"Paid"))</f>
        <v/>
      </c>
      <c r="H1507" s="59" t="str">
        <f>IF($A1507="","",
   SUMIFS(Transactions!$P:$P,
          Transactions!$G:$G,$A1507,
          Transactions!$C:$C,"OUT"))</f>
        <v/>
      </c>
      <c r="I1507" s="65" t="str">
        <f t="shared" si="117"/>
        <v/>
      </c>
      <c r="J1507" s="59" t="str">
        <f t="shared" si="120"/>
        <v/>
      </c>
    </row>
    <row r="1508" spans="4:10" ht="22.5" customHeight="1" x14ac:dyDescent="0.25">
      <c r="D1508" s="59" t="str">
        <f t="shared" si="116"/>
        <v/>
      </c>
      <c r="E1508" s="59" t="str">
        <f t="shared" si="118"/>
        <v/>
      </c>
      <c r="F1508" s="59" t="str">
        <f t="shared" si="119"/>
        <v/>
      </c>
      <c r="G1508" s="59" t="str">
        <f>IF($A1508="","",
   SUMIFS(Transactions!$P:$P,
          Transactions!$G:$G,$A1508,
          Transactions!$C:$C,"IN",
          Transactions!$Q:$Q,"Paid"))</f>
        <v/>
      </c>
      <c r="H1508" s="59" t="str">
        <f>IF($A1508="","",
   SUMIFS(Transactions!$P:$P,
          Transactions!$G:$G,$A1508,
          Transactions!$C:$C,"OUT"))</f>
        <v/>
      </c>
      <c r="I1508" s="65" t="str">
        <f t="shared" si="117"/>
        <v/>
      </c>
      <c r="J1508" s="59" t="str">
        <f t="shared" si="120"/>
        <v/>
      </c>
    </row>
    <row r="1509" spans="4:10" ht="22.5" customHeight="1" x14ac:dyDescent="0.25">
      <c r="D1509" s="59" t="str">
        <f t="shared" si="116"/>
        <v/>
      </c>
      <c r="E1509" s="59" t="str">
        <f t="shared" si="118"/>
        <v/>
      </c>
      <c r="F1509" s="59" t="str">
        <f t="shared" si="119"/>
        <v/>
      </c>
      <c r="G1509" s="59" t="str">
        <f>IF($A1509="","",
   SUMIFS(Transactions!$P:$P,
          Transactions!$G:$G,$A1509,
          Transactions!$C:$C,"IN",
          Transactions!$Q:$Q,"Paid"))</f>
        <v/>
      </c>
      <c r="H1509" s="59" t="str">
        <f>IF($A1509="","",
   SUMIFS(Transactions!$P:$P,
          Transactions!$G:$G,$A1509,
          Transactions!$C:$C,"OUT"))</f>
        <v/>
      </c>
      <c r="I1509" s="65" t="str">
        <f t="shared" si="117"/>
        <v/>
      </c>
      <c r="J1509" s="59" t="str">
        <f t="shared" si="120"/>
        <v/>
      </c>
    </row>
    <row r="1510" spans="4:10" ht="22.5" customHeight="1" x14ac:dyDescent="0.25">
      <c r="D1510" s="59" t="str">
        <f t="shared" si="116"/>
        <v/>
      </c>
      <c r="E1510" s="59" t="str">
        <f t="shared" si="118"/>
        <v/>
      </c>
      <c r="F1510" s="59" t="str">
        <f t="shared" si="119"/>
        <v/>
      </c>
      <c r="G1510" s="59" t="str">
        <f>IF($A1510="","",
   SUMIFS(Transactions!$P:$P,
          Transactions!$G:$G,$A1510,
          Transactions!$C:$C,"IN",
          Transactions!$Q:$Q,"Paid"))</f>
        <v/>
      </c>
      <c r="H1510" s="59" t="str">
        <f>IF($A1510="","",
   SUMIFS(Transactions!$P:$P,
          Transactions!$G:$G,$A1510,
          Transactions!$C:$C,"OUT"))</f>
        <v/>
      </c>
      <c r="I1510" s="65" t="str">
        <f t="shared" si="117"/>
        <v/>
      </c>
      <c r="J1510" s="59" t="str">
        <f t="shared" si="120"/>
        <v/>
      </c>
    </row>
    <row r="1511" spans="4:10" ht="22.5" customHeight="1" x14ac:dyDescent="0.25">
      <c r="D1511" s="59" t="str">
        <f t="shared" si="116"/>
        <v/>
      </c>
      <c r="E1511" s="59" t="str">
        <f t="shared" si="118"/>
        <v/>
      </c>
      <c r="F1511" s="59" t="str">
        <f t="shared" si="119"/>
        <v/>
      </c>
      <c r="G1511" s="59" t="str">
        <f>IF($A1511="","",
   SUMIFS(Transactions!$P:$P,
          Transactions!$G:$G,$A1511,
          Transactions!$C:$C,"IN",
          Transactions!$Q:$Q,"Paid"))</f>
        <v/>
      </c>
      <c r="H1511" s="59" t="str">
        <f>IF($A1511="","",
   SUMIFS(Transactions!$P:$P,
          Transactions!$G:$G,$A1511,
          Transactions!$C:$C,"OUT"))</f>
        <v/>
      </c>
      <c r="I1511" s="65" t="str">
        <f t="shared" si="117"/>
        <v/>
      </c>
      <c r="J1511" s="59" t="str">
        <f t="shared" si="120"/>
        <v/>
      </c>
    </row>
    <row r="1512" spans="4:10" ht="22.5" customHeight="1" x14ac:dyDescent="0.25">
      <c r="D1512" s="59" t="str">
        <f t="shared" si="116"/>
        <v/>
      </c>
      <c r="E1512" s="59" t="str">
        <f t="shared" si="118"/>
        <v/>
      </c>
      <c r="F1512" s="59" t="str">
        <f t="shared" si="119"/>
        <v/>
      </c>
      <c r="G1512" s="59" t="str">
        <f>IF($A1512="","",
   SUMIFS(Transactions!$P:$P,
          Transactions!$G:$G,$A1512,
          Transactions!$C:$C,"IN",
          Transactions!$Q:$Q,"Paid"))</f>
        <v/>
      </c>
      <c r="H1512" s="59" t="str">
        <f>IF($A1512="","",
   SUMIFS(Transactions!$P:$P,
          Transactions!$G:$G,$A1512,
          Transactions!$C:$C,"OUT"))</f>
        <v/>
      </c>
      <c r="I1512" s="65" t="str">
        <f t="shared" si="117"/>
        <v/>
      </c>
      <c r="J1512" s="59" t="str">
        <f t="shared" si="120"/>
        <v/>
      </c>
    </row>
    <row r="1513" spans="4:10" ht="22.5" customHeight="1" x14ac:dyDescent="0.25">
      <c r="D1513" s="59" t="str">
        <f t="shared" si="116"/>
        <v/>
      </c>
      <c r="E1513" s="59" t="str">
        <f t="shared" si="118"/>
        <v/>
      </c>
      <c r="F1513" s="59" t="str">
        <f t="shared" si="119"/>
        <v/>
      </c>
      <c r="G1513" s="59" t="str">
        <f>IF($A1513="","",
   SUMIFS(Transactions!$P:$P,
          Transactions!$G:$G,$A1513,
          Transactions!$C:$C,"IN",
          Transactions!$Q:$Q,"Paid"))</f>
        <v/>
      </c>
      <c r="H1513" s="59" t="str">
        <f>IF($A1513="","",
   SUMIFS(Transactions!$P:$P,
          Transactions!$G:$G,$A1513,
          Transactions!$C:$C,"OUT"))</f>
        <v/>
      </c>
      <c r="I1513" s="65" t="str">
        <f t="shared" si="117"/>
        <v/>
      </c>
      <c r="J1513" s="59" t="str">
        <f t="shared" si="120"/>
        <v/>
      </c>
    </row>
    <row r="1514" spans="4:10" ht="22.5" customHeight="1" x14ac:dyDescent="0.25">
      <c r="D1514" s="59" t="str">
        <f t="shared" si="116"/>
        <v/>
      </c>
      <c r="E1514" s="59" t="str">
        <f t="shared" si="118"/>
        <v/>
      </c>
      <c r="F1514" s="59" t="str">
        <f t="shared" si="119"/>
        <v/>
      </c>
      <c r="G1514" s="59" t="str">
        <f>IF($A1514="","",
   SUMIFS(Transactions!$P:$P,
          Transactions!$G:$G,$A1514,
          Transactions!$C:$C,"IN",
          Transactions!$Q:$Q,"Paid"))</f>
        <v/>
      </c>
      <c r="H1514" s="59" t="str">
        <f>IF($A1514="","",
   SUMIFS(Transactions!$P:$P,
          Transactions!$G:$G,$A1514,
          Transactions!$C:$C,"OUT"))</f>
        <v/>
      </c>
      <c r="I1514" s="65" t="str">
        <f t="shared" si="117"/>
        <v/>
      </c>
      <c r="J1514" s="59" t="str">
        <f t="shared" si="120"/>
        <v/>
      </c>
    </row>
    <row r="1515" spans="4:10" ht="22.5" customHeight="1" x14ac:dyDescent="0.25">
      <c r="D1515" s="59" t="str">
        <f t="shared" si="116"/>
        <v/>
      </c>
      <c r="E1515" s="59" t="str">
        <f t="shared" si="118"/>
        <v/>
      </c>
      <c r="F1515" s="59" t="str">
        <f t="shared" si="119"/>
        <v/>
      </c>
      <c r="G1515" s="59" t="str">
        <f>IF($A1515="","",
   SUMIFS(Transactions!$P:$P,
          Transactions!$G:$G,$A1515,
          Transactions!$C:$C,"IN",
          Transactions!$Q:$Q,"Paid"))</f>
        <v/>
      </c>
      <c r="H1515" s="59" t="str">
        <f>IF($A1515="","",
   SUMIFS(Transactions!$P:$P,
          Transactions!$G:$G,$A1515,
          Transactions!$C:$C,"OUT"))</f>
        <v/>
      </c>
      <c r="I1515" s="65" t="str">
        <f t="shared" si="117"/>
        <v/>
      </c>
      <c r="J1515" s="59" t="str">
        <f t="shared" si="120"/>
        <v/>
      </c>
    </row>
    <row r="1516" spans="4:10" ht="22.5" customHeight="1" x14ac:dyDescent="0.25">
      <c r="D1516" s="59" t="str">
        <f t="shared" si="116"/>
        <v/>
      </c>
      <c r="E1516" s="59" t="str">
        <f t="shared" si="118"/>
        <v/>
      </c>
      <c r="F1516" s="59" t="str">
        <f t="shared" si="119"/>
        <v/>
      </c>
      <c r="G1516" s="59" t="str">
        <f>IF($A1516="","",
   SUMIFS(Transactions!$P:$P,
          Transactions!$G:$G,$A1516,
          Transactions!$C:$C,"IN",
          Transactions!$Q:$Q,"Paid"))</f>
        <v/>
      </c>
      <c r="H1516" s="59" t="str">
        <f>IF($A1516="","",
   SUMIFS(Transactions!$P:$P,
          Transactions!$G:$G,$A1516,
          Transactions!$C:$C,"OUT"))</f>
        <v/>
      </c>
      <c r="I1516" s="65" t="str">
        <f t="shared" si="117"/>
        <v/>
      </c>
      <c r="J1516" s="59" t="str">
        <f t="shared" si="120"/>
        <v/>
      </c>
    </row>
    <row r="1517" spans="4:10" ht="22.5" customHeight="1" x14ac:dyDescent="0.25">
      <c r="D1517" s="59" t="str">
        <f t="shared" si="116"/>
        <v/>
      </c>
      <c r="E1517" s="59" t="str">
        <f t="shared" si="118"/>
        <v/>
      </c>
      <c r="F1517" s="59" t="str">
        <f t="shared" si="119"/>
        <v/>
      </c>
      <c r="G1517" s="59" t="str">
        <f>IF($A1517="","",
   SUMIFS(Transactions!$P:$P,
          Transactions!$G:$G,$A1517,
          Transactions!$C:$C,"IN",
          Transactions!$Q:$Q,"Paid"))</f>
        <v/>
      </c>
      <c r="H1517" s="59" t="str">
        <f>IF($A1517="","",
   SUMIFS(Transactions!$P:$P,
          Transactions!$G:$G,$A1517,
          Transactions!$C:$C,"OUT"))</f>
        <v/>
      </c>
      <c r="I1517" s="65" t="str">
        <f t="shared" si="117"/>
        <v/>
      </c>
      <c r="J1517" s="59" t="str">
        <f t="shared" si="120"/>
        <v/>
      </c>
    </row>
    <row r="1518" spans="4:10" ht="22.5" customHeight="1" x14ac:dyDescent="0.25">
      <c r="D1518" s="59" t="str">
        <f t="shared" si="116"/>
        <v/>
      </c>
      <c r="E1518" s="59" t="str">
        <f t="shared" si="118"/>
        <v/>
      </c>
      <c r="F1518" s="59" t="str">
        <f t="shared" si="119"/>
        <v/>
      </c>
      <c r="G1518" s="59" t="str">
        <f>IF($A1518="","",
   SUMIFS(Transactions!$P:$P,
          Transactions!$G:$G,$A1518,
          Transactions!$C:$C,"IN",
          Transactions!$Q:$Q,"Paid"))</f>
        <v/>
      </c>
      <c r="H1518" s="59" t="str">
        <f>IF($A1518="","",
   SUMIFS(Transactions!$P:$P,
          Transactions!$G:$G,$A1518,
          Transactions!$C:$C,"OUT"))</f>
        <v/>
      </c>
      <c r="I1518" s="65" t="str">
        <f t="shared" si="117"/>
        <v/>
      </c>
      <c r="J1518" s="59" t="str">
        <f t="shared" si="120"/>
        <v/>
      </c>
    </row>
    <row r="1519" spans="4:10" ht="22.5" customHeight="1" x14ac:dyDescent="0.25">
      <c r="D1519" s="59" t="str">
        <f t="shared" si="116"/>
        <v/>
      </c>
      <c r="E1519" s="59" t="str">
        <f t="shared" si="118"/>
        <v/>
      </c>
      <c r="F1519" s="59" t="str">
        <f t="shared" si="119"/>
        <v/>
      </c>
      <c r="G1519" s="59" t="str">
        <f>IF($A1519="","",
   SUMIFS(Transactions!$P:$P,
          Transactions!$G:$G,$A1519,
          Transactions!$C:$C,"IN",
          Transactions!$Q:$Q,"Paid"))</f>
        <v/>
      </c>
      <c r="H1519" s="59" t="str">
        <f>IF($A1519="","",
   SUMIFS(Transactions!$P:$P,
          Transactions!$G:$G,$A1519,
          Transactions!$C:$C,"OUT"))</f>
        <v/>
      </c>
      <c r="I1519" s="65" t="str">
        <f t="shared" si="117"/>
        <v/>
      </c>
      <c r="J1519" s="59" t="str">
        <f t="shared" si="120"/>
        <v/>
      </c>
    </row>
    <row r="1520" spans="4:10" ht="22.5" customHeight="1" x14ac:dyDescent="0.25">
      <c r="D1520" s="59" t="str">
        <f t="shared" si="116"/>
        <v/>
      </c>
      <c r="E1520" s="59" t="str">
        <f t="shared" si="118"/>
        <v/>
      </c>
      <c r="F1520" s="59" t="str">
        <f t="shared" si="119"/>
        <v/>
      </c>
      <c r="G1520" s="59" t="str">
        <f>IF($A1520="","",
   SUMIFS(Transactions!$P:$P,
          Transactions!$G:$G,$A1520,
          Transactions!$C:$C,"IN",
          Transactions!$Q:$Q,"Paid"))</f>
        <v/>
      </c>
      <c r="H1520" s="59" t="str">
        <f>IF($A1520="","",
   SUMIFS(Transactions!$P:$P,
          Transactions!$G:$G,$A1520,
          Transactions!$C:$C,"OUT"))</f>
        <v/>
      </c>
      <c r="I1520" s="65" t="str">
        <f t="shared" si="117"/>
        <v/>
      </c>
      <c r="J1520" s="59" t="str">
        <f t="shared" si="120"/>
        <v/>
      </c>
    </row>
    <row r="1521" spans="4:10" ht="22.5" customHeight="1" x14ac:dyDescent="0.25">
      <c r="D1521" s="59" t="str">
        <f t="shared" si="116"/>
        <v/>
      </c>
      <c r="E1521" s="59" t="str">
        <f t="shared" si="118"/>
        <v/>
      </c>
      <c r="F1521" s="59" t="str">
        <f t="shared" si="119"/>
        <v/>
      </c>
      <c r="G1521" s="59" t="str">
        <f>IF($A1521="","",
   SUMIFS(Transactions!$P:$P,
          Transactions!$G:$G,$A1521,
          Transactions!$C:$C,"IN",
          Transactions!$Q:$Q,"Paid"))</f>
        <v/>
      </c>
      <c r="H1521" s="59" t="str">
        <f>IF($A1521="","",
   SUMIFS(Transactions!$P:$P,
          Transactions!$G:$G,$A1521,
          Transactions!$C:$C,"OUT"))</f>
        <v/>
      </c>
      <c r="I1521" s="65" t="str">
        <f t="shared" si="117"/>
        <v/>
      </c>
      <c r="J1521" s="59" t="str">
        <f t="shared" si="120"/>
        <v/>
      </c>
    </row>
    <row r="1522" spans="4:10" ht="22.5" customHeight="1" x14ac:dyDescent="0.25">
      <c r="D1522" s="59" t="str">
        <f t="shared" si="116"/>
        <v/>
      </c>
      <c r="E1522" s="59" t="str">
        <f t="shared" si="118"/>
        <v/>
      </c>
      <c r="F1522" s="59" t="str">
        <f t="shared" si="119"/>
        <v/>
      </c>
      <c r="G1522" s="59" t="str">
        <f>IF($A1522="","",
   SUMIFS(Transactions!$P:$P,
          Transactions!$G:$G,$A1522,
          Transactions!$C:$C,"IN",
          Transactions!$Q:$Q,"Paid"))</f>
        <v/>
      </c>
      <c r="H1522" s="59" t="str">
        <f>IF($A1522="","",
   SUMIFS(Transactions!$P:$P,
          Transactions!$G:$G,$A1522,
          Transactions!$C:$C,"OUT"))</f>
        <v/>
      </c>
      <c r="I1522" s="65" t="str">
        <f t="shared" si="117"/>
        <v/>
      </c>
      <c r="J1522" s="59" t="str">
        <f t="shared" si="120"/>
        <v/>
      </c>
    </row>
    <row r="1523" spans="4:10" ht="22.5" customHeight="1" x14ac:dyDescent="0.25">
      <c r="D1523" s="59" t="str">
        <f t="shared" si="116"/>
        <v/>
      </c>
      <c r="E1523" s="59" t="str">
        <f t="shared" si="118"/>
        <v/>
      </c>
      <c r="F1523" s="59" t="str">
        <f t="shared" si="119"/>
        <v/>
      </c>
      <c r="G1523" s="59" t="str">
        <f>IF($A1523="","",
   SUMIFS(Transactions!$P:$P,
          Transactions!$G:$G,$A1523,
          Transactions!$C:$C,"IN",
          Transactions!$Q:$Q,"Paid"))</f>
        <v/>
      </c>
      <c r="H1523" s="59" t="str">
        <f>IF($A1523="","",
   SUMIFS(Transactions!$P:$P,
          Transactions!$G:$G,$A1523,
          Transactions!$C:$C,"OUT"))</f>
        <v/>
      </c>
      <c r="I1523" s="65" t="str">
        <f t="shared" si="117"/>
        <v/>
      </c>
      <c r="J1523" s="59" t="str">
        <f t="shared" si="120"/>
        <v/>
      </c>
    </row>
    <row r="1524" spans="4:10" ht="22.5" customHeight="1" x14ac:dyDescent="0.25">
      <c r="D1524" s="59" t="str">
        <f t="shared" si="116"/>
        <v/>
      </c>
      <c r="E1524" s="59" t="str">
        <f t="shared" si="118"/>
        <v/>
      </c>
      <c r="F1524" s="59" t="str">
        <f t="shared" si="119"/>
        <v/>
      </c>
      <c r="G1524" s="59" t="str">
        <f>IF($A1524="","",
   SUMIFS(Transactions!$P:$P,
          Transactions!$G:$G,$A1524,
          Transactions!$C:$C,"IN",
          Transactions!$Q:$Q,"Paid"))</f>
        <v/>
      </c>
      <c r="H1524" s="59" t="str">
        <f>IF($A1524="","",
   SUMIFS(Transactions!$P:$P,
          Transactions!$G:$G,$A1524,
          Transactions!$C:$C,"OUT"))</f>
        <v/>
      </c>
      <c r="I1524" s="65" t="str">
        <f t="shared" si="117"/>
        <v/>
      </c>
      <c r="J1524" s="59" t="str">
        <f t="shared" si="120"/>
        <v/>
      </c>
    </row>
    <row r="1525" spans="4:10" ht="22.5" customHeight="1" x14ac:dyDescent="0.25">
      <c r="D1525" s="59" t="str">
        <f t="shared" si="116"/>
        <v/>
      </c>
      <c r="E1525" s="59" t="str">
        <f t="shared" si="118"/>
        <v/>
      </c>
      <c r="F1525" s="59" t="str">
        <f t="shared" si="119"/>
        <v/>
      </c>
      <c r="G1525" s="59" t="str">
        <f>IF($A1525="","",
   SUMIFS(Transactions!$P:$P,
          Transactions!$G:$G,$A1525,
          Transactions!$C:$C,"IN",
          Transactions!$Q:$Q,"Paid"))</f>
        <v/>
      </c>
      <c r="H1525" s="59" t="str">
        <f>IF($A1525="","",
   SUMIFS(Transactions!$P:$P,
          Transactions!$G:$G,$A1525,
          Transactions!$C:$C,"OUT"))</f>
        <v/>
      </c>
      <c r="I1525" s="65" t="str">
        <f t="shared" si="117"/>
        <v/>
      </c>
      <c r="J1525" s="59" t="str">
        <f t="shared" si="120"/>
        <v/>
      </c>
    </row>
    <row r="1526" spans="4:10" ht="22.5" customHeight="1" x14ac:dyDescent="0.25">
      <c r="D1526" s="59" t="str">
        <f t="shared" si="116"/>
        <v/>
      </c>
      <c r="E1526" s="59" t="str">
        <f t="shared" si="118"/>
        <v/>
      </c>
      <c r="F1526" s="59" t="str">
        <f t="shared" si="119"/>
        <v/>
      </c>
      <c r="G1526" s="59" t="str">
        <f>IF($A1526="","",
   SUMIFS(Transactions!$P:$P,
          Transactions!$G:$G,$A1526,
          Transactions!$C:$C,"IN",
          Transactions!$Q:$Q,"Paid"))</f>
        <v/>
      </c>
      <c r="H1526" s="59" t="str">
        <f>IF($A1526="","",
   SUMIFS(Transactions!$P:$P,
          Transactions!$G:$G,$A1526,
          Transactions!$C:$C,"OUT"))</f>
        <v/>
      </c>
      <c r="I1526" s="65" t="str">
        <f t="shared" si="117"/>
        <v/>
      </c>
      <c r="J1526" s="59" t="str">
        <f t="shared" si="120"/>
        <v/>
      </c>
    </row>
    <row r="1527" spans="4:10" ht="22.5" customHeight="1" x14ac:dyDescent="0.25">
      <c r="D1527" s="59" t="str">
        <f t="shared" si="116"/>
        <v/>
      </c>
      <c r="E1527" s="59" t="str">
        <f t="shared" si="118"/>
        <v/>
      </c>
      <c r="F1527" s="59" t="str">
        <f t="shared" si="119"/>
        <v/>
      </c>
      <c r="G1527" s="59" t="str">
        <f>IF($A1527="","",
   SUMIFS(Transactions!$P:$P,
          Transactions!$G:$G,$A1527,
          Transactions!$C:$C,"IN",
          Transactions!$Q:$Q,"Paid"))</f>
        <v/>
      </c>
      <c r="H1527" s="59" t="str">
        <f>IF($A1527="","",
   SUMIFS(Transactions!$P:$P,
          Transactions!$G:$G,$A1527,
          Transactions!$C:$C,"OUT"))</f>
        <v/>
      </c>
      <c r="I1527" s="65" t="str">
        <f t="shared" si="117"/>
        <v/>
      </c>
      <c r="J1527" s="59" t="str">
        <f t="shared" si="120"/>
        <v/>
      </c>
    </row>
    <row r="1528" spans="4:10" ht="22.5" customHeight="1" x14ac:dyDescent="0.25">
      <c r="D1528" s="59" t="str">
        <f t="shared" si="116"/>
        <v/>
      </c>
      <c r="E1528" s="59" t="str">
        <f t="shared" si="118"/>
        <v/>
      </c>
      <c r="F1528" s="59" t="str">
        <f t="shared" si="119"/>
        <v/>
      </c>
      <c r="G1528" s="59" t="str">
        <f>IF($A1528="","",
   SUMIFS(Transactions!$P:$P,
          Transactions!$G:$G,$A1528,
          Transactions!$C:$C,"IN",
          Transactions!$Q:$Q,"Paid"))</f>
        <v/>
      </c>
      <c r="H1528" s="59" t="str">
        <f>IF($A1528="","",
   SUMIFS(Transactions!$P:$P,
          Transactions!$G:$G,$A1528,
          Transactions!$C:$C,"OUT"))</f>
        <v/>
      </c>
      <c r="I1528" s="65" t="str">
        <f t="shared" si="117"/>
        <v/>
      </c>
      <c r="J1528" s="59" t="str">
        <f t="shared" si="120"/>
        <v/>
      </c>
    </row>
    <row r="1529" spans="4:10" ht="22.5" customHeight="1" x14ac:dyDescent="0.25">
      <c r="D1529" s="59" t="str">
        <f t="shared" si="116"/>
        <v/>
      </c>
      <c r="E1529" s="59" t="str">
        <f t="shared" si="118"/>
        <v/>
      </c>
      <c r="F1529" s="59" t="str">
        <f t="shared" si="119"/>
        <v/>
      </c>
      <c r="G1529" s="59" t="str">
        <f>IF($A1529="","",
   SUMIFS(Transactions!$P:$P,
          Transactions!$G:$G,$A1529,
          Transactions!$C:$C,"IN",
          Transactions!$Q:$Q,"Paid"))</f>
        <v/>
      </c>
      <c r="H1529" s="59" t="str">
        <f>IF($A1529="","",
   SUMIFS(Transactions!$P:$P,
          Transactions!$G:$G,$A1529,
          Transactions!$C:$C,"OUT"))</f>
        <v/>
      </c>
      <c r="I1529" s="65" t="str">
        <f t="shared" si="117"/>
        <v/>
      </c>
      <c r="J1529" s="59" t="str">
        <f t="shared" si="120"/>
        <v/>
      </c>
    </row>
    <row r="1530" spans="4:10" ht="22.5" customHeight="1" x14ac:dyDescent="0.25">
      <c r="D1530" s="59" t="str">
        <f t="shared" si="116"/>
        <v/>
      </c>
      <c r="E1530" s="59" t="str">
        <f t="shared" si="118"/>
        <v/>
      </c>
      <c r="F1530" s="59" t="str">
        <f t="shared" si="119"/>
        <v/>
      </c>
      <c r="G1530" s="59" t="str">
        <f>IF($A1530="","",
   SUMIFS(Transactions!$P:$P,
          Transactions!$G:$G,$A1530,
          Transactions!$C:$C,"IN",
          Transactions!$Q:$Q,"Paid"))</f>
        <v/>
      </c>
      <c r="H1530" s="59" t="str">
        <f>IF($A1530="","",
   SUMIFS(Transactions!$P:$P,
          Transactions!$G:$G,$A1530,
          Transactions!$C:$C,"OUT"))</f>
        <v/>
      </c>
      <c r="I1530" s="65" t="str">
        <f t="shared" si="117"/>
        <v/>
      </c>
      <c r="J1530" s="59" t="str">
        <f t="shared" si="120"/>
        <v/>
      </c>
    </row>
    <row r="1531" spans="4:10" ht="22.5" customHeight="1" x14ac:dyDescent="0.25">
      <c r="D1531" s="59" t="str">
        <f t="shared" si="116"/>
        <v/>
      </c>
      <c r="E1531" s="59" t="str">
        <f t="shared" si="118"/>
        <v/>
      </c>
      <c r="F1531" s="59" t="str">
        <f t="shared" si="119"/>
        <v/>
      </c>
      <c r="G1531" s="59" t="str">
        <f>IF($A1531="","",
   SUMIFS(Transactions!$P:$P,
          Transactions!$G:$G,$A1531,
          Transactions!$C:$C,"IN",
          Transactions!$Q:$Q,"Paid"))</f>
        <v/>
      </c>
      <c r="H1531" s="59" t="str">
        <f>IF($A1531="","",
   SUMIFS(Transactions!$P:$P,
          Transactions!$G:$G,$A1531,
          Transactions!$C:$C,"OUT"))</f>
        <v/>
      </c>
      <c r="I1531" s="65" t="str">
        <f t="shared" si="117"/>
        <v/>
      </c>
      <c r="J1531" s="59" t="str">
        <f t="shared" si="120"/>
        <v/>
      </c>
    </row>
    <row r="1532" spans="4:10" ht="22.5" customHeight="1" x14ac:dyDescent="0.25">
      <c r="D1532" s="59" t="str">
        <f t="shared" si="116"/>
        <v/>
      </c>
      <c r="E1532" s="59" t="str">
        <f t="shared" si="118"/>
        <v/>
      </c>
      <c r="F1532" s="59" t="str">
        <f t="shared" si="119"/>
        <v/>
      </c>
      <c r="G1532" s="59" t="str">
        <f>IF($A1532="","",
   SUMIFS(Transactions!$P:$P,
          Transactions!$G:$G,$A1532,
          Transactions!$C:$C,"IN",
          Transactions!$Q:$Q,"Paid"))</f>
        <v/>
      </c>
      <c r="H1532" s="59" t="str">
        <f>IF($A1532="","",
   SUMIFS(Transactions!$P:$P,
          Transactions!$G:$G,$A1532,
          Transactions!$C:$C,"OUT"))</f>
        <v/>
      </c>
      <c r="I1532" s="65" t="str">
        <f t="shared" si="117"/>
        <v/>
      </c>
      <c r="J1532" s="59" t="str">
        <f t="shared" si="120"/>
        <v/>
      </c>
    </row>
    <row r="1533" spans="4:10" ht="22.5" customHeight="1" x14ac:dyDescent="0.25">
      <c r="D1533" s="59" t="str">
        <f t="shared" si="116"/>
        <v/>
      </c>
      <c r="E1533" s="59" t="str">
        <f t="shared" si="118"/>
        <v/>
      </c>
      <c r="F1533" s="59" t="str">
        <f t="shared" si="119"/>
        <v/>
      </c>
      <c r="G1533" s="59" t="str">
        <f>IF($A1533="","",
   SUMIFS(Transactions!$P:$P,
          Transactions!$G:$G,$A1533,
          Transactions!$C:$C,"IN",
          Transactions!$Q:$Q,"Paid"))</f>
        <v/>
      </c>
      <c r="H1533" s="59" t="str">
        <f>IF($A1533="","",
   SUMIFS(Transactions!$P:$P,
          Transactions!$G:$G,$A1533,
          Transactions!$C:$C,"OUT"))</f>
        <v/>
      </c>
      <c r="I1533" s="65" t="str">
        <f t="shared" si="117"/>
        <v/>
      </c>
      <c r="J1533" s="59" t="str">
        <f t="shared" si="120"/>
        <v/>
      </c>
    </row>
    <row r="1534" spans="4:10" ht="22.5" customHeight="1" x14ac:dyDescent="0.25">
      <c r="D1534" s="59" t="str">
        <f t="shared" si="116"/>
        <v/>
      </c>
      <c r="E1534" s="59" t="str">
        <f t="shared" si="118"/>
        <v/>
      </c>
      <c r="F1534" s="59" t="str">
        <f t="shared" si="119"/>
        <v/>
      </c>
      <c r="G1534" s="59" t="str">
        <f>IF($A1534="","",
   SUMIFS(Transactions!$P:$P,
          Transactions!$G:$G,$A1534,
          Transactions!$C:$C,"IN",
          Transactions!$Q:$Q,"Paid"))</f>
        <v/>
      </c>
      <c r="H1534" s="59" t="str">
        <f>IF($A1534="","",
   SUMIFS(Transactions!$P:$P,
          Transactions!$G:$G,$A1534,
          Transactions!$C:$C,"OUT"))</f>
        <v/>
      </c>
      <c r="I1534" s="65" t="str">
        <f t="shared" si="117"/>
        <v/>
      </c>
      <c r="J1534" s="59" t="str">
        <f t="shared" si="120"/>
        <v/>
      </c>
    </row>
    <row r="1535" spans="4:10" ht="22.5" customHeight="1" x14ac:dyDescent="0.25">
      <c r="D1535" s="59" t="str">
        <f t="shared" si="116"/>
        <v/>
      </c>
      <c r="E1535" s="59" t="str">
        <f t="shared" si="118"/>
        <v/>
      </c>
      <c r="F1535" s="59" t="str">
        <f t="shared" si="119"/>
        <v/>
      </c>
      <c r="G1535" s="59" t="str">
        <f>IF($A1535="","",
   SUMIFS(Transactions!$P:$P,
          Transactions!$G:$G,$A1535,
          Transactions!$C:$C,"IN",
          Transactions!$Q:$Q,"Paid"))</f>
        <v/>
      </c>
      <c r="H1535" s="59" t="str">
        <f>IF($A1535="","",
   SUMIFS(Transactions!$P:$P,
          Transactions!$G:$G,$A1535,
          Transactions!$C:$C,"OUT"))</f>
        <v/>
      </c>
      <c r="I1535" s="65" t="str">
        <f t="shared" si="117"/>
        <v/>
      </c>
      <c r="J1535" s="59" t="str">
        <f t="shared" si="120"/>
        <v/>
      </c>
    </row>
    <row r="1536" spans="4:10" ht="22.5" customHeight="1" x14ac:dyDescent="0.25">
      <c r="D1536" s="59" t="str">
        <f t="shared" si="116"/>
        <v/>
      </c>
      <c r="E1536" s="59" t="str">
        <f t="shared" si="118"/>
        <v/>
      </c>
      <c r="F1536" s="59" t="str">
        <f t="shared" si="119"/>
        <v/>
      </c>
      <c r="G1536" s="59" t="str">
        <f>IF($A1536="","",
   SUMIFS(Transactions!$P:$P,
          Transactions!$G:$G,$A1536,
          Transactions!$C:$C,"IN",
          Transactions!$Q:$Q,"Paid"))</f>
        <v/>
      </c>
      <c r="H1536" s="59" t="str">
        <f>IF($A1536="","",
   SUMIFS(Transactions!$P:$P,
          Transactions!$G:$G,$A1536,
          Transactions!$C:$C,"OUT"))</f>
        <v/>
      </c>
      <c r="I1536" s="65" t="str">
        <f t="shared" si="117"/>
        <v/>
      </c>
      <c r="J1536" s="59" t="str">
        <f t="shared" si="120"/>
        <v/>
      </c>
    </row>
    <row r="1537" spans="4:10" ht="22.5" customHeight="1" x14ac:dyDescent="0.25">
      <c r="D1537" s="59" t="str">
        <f t="shared" si="116"/>
        <v/>
      </c>
      <c r="E1537" s="59" t="str">
        <f t="shared" si="118"/>
        <v/>
      </c>
      <c r="F1537" s="59" t="str">
        <f t="shared" si="119"/>
        <v/>
      </c>
      <c r="G1537" s="59" t="str">
        <f>IF($A1537="","",
   SUMIFS(Transactions!$P:$P,
          Transactions!$G:$G,$A1537,
          Transactions!$C:$C,"IN",
          Transactions!$Q:$Q,"Paid"))</f>
        <v/>
      </c>
      <c r="H1537" s="59" t="str">
        <f>IF($A1537="","",
   SUMIFS(Transactions!$P:$P,
          Transactions!$G:$G,$A1537,
          Transactions!$C:$C,"OUT"))</f>
        <v/>
      </c>
      <c r="I1537" s="65" t="str">
        <f t="shared" si="117"/>
        <v/>
      </c>
      <c r="J1537" s="59" t="str">
        <f t="shared" si="120"/>
        <v/>
      </c>
    </row>
    <row r="1538" spans="4:10" ht="22.5" customHeight="1" x14ac:dyDescent="0.25">
      <c r="D1538" s="59" t="str">
        <f t="shared" si="116"/>
        <v/>
      </c>
      <c r="E1538" s="59" t="str">
        <f t="shared" si="118"/>
        <v/>
      </c>
      <c r="F1538" s="59" t="str">
        <f t="shared" si="119"/>
        <v/>
      </c>
      <c r="G1538" s="59" t="str">
        <f>IF($A1538="","",
   SUMIFS(Transactions!$P:$P,
          Transactions!$G:$G,$A1538,
          Transactions!$C:$C,"IN",
          Transactions!$Q:$Q,"Paid"))</f>
        <v/>
      </c>
      <c r="H1538" s="59" t="str">
        <f>IF($A1538="","",
   SUMIFS(Transactions!$P:$P,
          Transactions!$G:$G,$A1538,
          Transactions!$C:$C,"OUT"))</f>
        <v/>
      </c>
      <c r="I1538" s="65" t="str">
        <f t="shared" si="117"/>
        <v/>
      </c>
      <c r="J1538" s="59" t="str">
        <f t="shared" si="120"/>
        <v/>
      </c>
    </row>
    <row r="1539" spans="4:10" ht="22.5" customHeight="1" x14ac:dyDescent="0.25">
      <c r="D1539" s="59" t="str">
        <f t="shared" ref="D1539:D1602" si="121">IF(C1539="","",ROUND(C1539*0.15,2))</f>
        <v/>
      </c>
      <c r="E1539" s="59" t="str">
        <f t="shared" si="118"/>
        <v/>
      </c>
      <c r="F1539" s="59" t="str">
        <f t="shared" si="119"/>
        <v/>
      </c>
      <c r="G1539" s="59" t="str">
        <f>IF($A1539="","",
   SUMIFS(Transactions!$P:$P,
          Transactions!$G:$G,$A1539,
          Transactions!$C:$C,"IN",
          Transactions!$Q:$Q,"Paid"))</f>
        <v/>
      </c>
      <c r="H1539" s="59" t="str">
        <f>IF($A1539="","",
   SUMIFS(Transactions!$P:$P,
          Transactions!$G:$G,$A1539,
          Transactions!$C:$C,"OUT"))</f>
        <v/>
      </c>
      <c r="I1539" s="65" t="str">
        <f t="shared" ref="I1539:I1602" si="122">IF(C1539="","",C1539-H1539)</f>
        <v/>
      </c>
      <c r="J1539" s="59" t="str">
        <f t="shared" si="120"/>
        <v/>
      </c>
    </row>
    <row r="1540" spans="4:10" ht="22.5" customHeight="1" x14ac:dyDescent="0.25">
      <c r="D1540" s="59" t="str">
        <f t="shared" si="121"/>
        <v/>
      </c>
      <c r="E1540" s="59" t="str">
        <f t="shared" ref="E1540:E1603" si="123">IF(C1540="","",C1540+D1540)</f>
        <v/>
      </c>
      <c r="F1540" s="59" t="str">
        <f t="shared" ref="F1540:F1603" si="124">IF(E1540="","",E1540*0.5)</f>
        <v/>
      </c>
      <c r="G1540" s="59" t="str">
        <f>IF($A1540="","",
   SUMIFS(Transactions!$P:$P,
          Transactions!$G:$G,$A1540,
          Transactions!$C:$C,"IN",
          Transactions!$Q:$Q,"Paid"))</f>
        <v/>
      </c>
      <c r="H1540" s="59" t="str">
        <f>IF($A1540="","",
   SUMIFS(Transactions!$P:$P,
          Transactions!$G:$G,$A1540,
          Transactions!$C:$C,"OUT"))</f>
        <v/>
      </c>
      <c r="I1540" s="65" t="str">
        <f t="shared" si="122"/>
        <v/>
      </c>
      <c r="J1540" s="59" t="str">
        <f t="shared" ref="J1540:J1603" si="125">IF(E1540="","",E1540-G1540)</f>
        <v/>
      </c>
    </row>
    <row r="1541" spans="4:10" ht="22.5" customHeight="1" x14ac:dyDescent="0.25">
      <c r="D1541" s="59" t="str">
        <f t="shared" si="121"/>
        <v/>
      </c>
      <c r="E1541" s="59" t="str">
        <f t="shared" si="123"/>
        <v/>
      </c>
      <c r="F1541" s="59" t="str">
        <f t="shared" si="124"/>
        <v/>
      </c>
      <c r="G1541" s="59" t="str">
        <f>IF($A1541="","",
   SUMIFS(Transactions!$P:$P,
          Transactions!$G:$G,$A1541,
          Transactions!$C:$C,"IN",
          Transactions!$Q:$Q,"Paid"))</f>
        <v/>
      </c>
      <c r="H1541" s="59" t="str">
        <f>IF($A1541="","",
   SUMIFS(Transactions!$P:$P,
          Transactions!$G:$G,$A1541,
          Transactions!$C:$C,"OUT"))</f>
        <v/>
      </c>
      <c r="I1541" s="65" t="str">
        <f t="shared" si="122"/>
        <v/>
      </c>
      <c r="J1541" s="59" t="str">
        <f t="shared" si="125"/>
        <v/>
      </c>
    </row>
    <row r="1542" spans="4:10" ht="22.5" customHeight="1" x14ac:dyDescent="0.25">
      <c r="D1542" s="59" t="str">
        <f t="shared" si="121"/>
        <v/>
      </c>
      <c r="E1542" s="59" t="str">
        <f t="shared" si="123"/>
        <v/>
      </c>
      <c r="F1542" s="59" t="str">
        <f t="shared" si="124"/>
        <v/>
      </c>
      <c r="G1542" s="59" t="str">
        <f>IF($A1542="","",
   SUMIFS(Transactions!$P:$P,
          Transactions!$G:$G,$A1542,
          Transactions!$C:$C,"IN",
          Transactions!$Q:$Q,"Paid"))</f>
        <v/>
      </c>
      <c r="H1542" s="59" t="str">
        <f>IF($A1542="","",
   SUMIFS(Transactions!$P:$P,
          Transactions!$G:$G,$A1542,
          Transactions!$C:$C,"OUT"))</f>
        <v/>
      </c>
      <c r="I1542" s="65" t="str">
        <f t="shared" si="122"/>
        <v/>
      </c>
      <c r="J1542" s="59" t="str">
        <f t="shared" si="125"/>
        <v/>
      </c>
    </row>
    <row r="1543" spans="4:10" ht="22.5" customHeight="1" x14ac:dyDescent="0.25">
      <c r="D1543" s="59" t="str">
        <f t="shared" si="121"/>
        <v/>
      </c>
      <c r="E1543" s="59" t="str">
        <f t="shared" si="123"/>
        <v/>
      </c>
      <c r="F1543" s="59" t="str">
        <f t="shared" si="124"/>
        <v/>
      </c>
      <c r="G1543" s="59" t="str">
        <f>IF($A1543="","",
   SUMIFS(Transactions!$P:$P,
          Transactions!$G:$G,$A1543,
          Transactions!$C:$C,"IN",
          Transactions!$Q:$Q,"Paid"))</f>
        <v/>
      </c>
      <c r="H1543" s="59" t="str">
        <f>IF($A1543="","",
   SUMIFS(Transactions!$P:$P,
          Transactions!$G:$G,$A1543,
          Transactions!$C:$C,"OUT"))</f>
        <v/>
      </c>
      <c r="I1543" s="65" t="str">
        <f t="shared" si="122"/>
        <v/>
      </c>
      <c r="J1543" s="59" t="str">
        <f t="shared" si="125"/>
        <v/>
      </c>
    </row>
    <row r="1544" spans="4:10" ht="22.5" customHeight="1" x14ac:dyDescent="0.25">
      <c r="D1544" s="59" t="str">
        <f t="shared" si="121"/>
        <v/>
      </c>
      <c r="E1544" s="59" t="str">
        <f t="shared" si="123"/>
        <v/>
      </c>
      <c r="F1544" s="59" t="str">
        <f t="shared" si="124"/>
        <v/>
      </c>
      <c r="G1544" s="59" t="str">
        <f>IF($A1544="","",
   SUMIFS(Transactions!$P:$P,
          Transactions!$G:$G,$A1544,
          Transactions!$C:$C,"IN",
          Transactions!$Q:$Q,"Paid"))</f>
        <v/>
      </c>
      <c r="H1544" s="59" t="str">
        <f>IF($A1544="","",
   SUMIFS(Transactions!$P:$P,
          Transactions!$G:$G,$A1544,
          Transactions!$C:$C,"OUT"))</f>
        <v/>
      </c>
      <c r="I1544" s="65" t="str">
        <f t="shared" si="122"/>
        <v/>
      </c>
      <c r="J1544" s="59" t="str">
        <f t="shared" si="125"/>
        <v/>
      </c>
    </row>
    <row r="1545" spans="4:10" ht="22.5" customHeight="1" x14ac:dyDescent="0.25">
      <c r="D1545" s="59" t="str">
        <f t="shared" si="121"/>
        <v/>
      </c>
      <c r="E1545" s="59" t="str">
        <f t="shared" si="123"/>
        <v/>
      </c>
      <c r="F1545" s="59" t="str">
        <f t="shared" si="124"/>
        <v/>
      </c>
      <c r="G1545" s="59" t="str">
        <f>IF($A1545="","",
   SUMIFS(Transactions!$P:$P,
          Transactions!$G:$G,$A1545,
          Transactions!$C:$C,"IN",
          Transactions!$Q:$Q,"Paid"))</f>
        <v/>
      </c>
      <c r="H1545" s="59" t="str">
        <f>IF($A1545="","",
   SUMIFS(Transactions!$P:$P,
          Transactions!$G:$G,$A1545,
          Transactions!$C:$C,"OUT"))</f>
        <v/>
      </c>
      <c r="I1545" s="65" t="str">
        <f t="shared" si="122"/>
        <v/>
      </c>
      <c r="J1545" s="59" t="str">
        <f t="shared" si="125"/>
        <v/>
      </c>
    </row>
    <row r="1546" spans="4:10" ht="22.5" customHeight="1" x14ac:dyDescent="0.25">
      <c r="D1546" s="59" t="str">
        <f t="shared" si="121"/>
        <v/>
      </c>
      <c r="E1546" s="59" t="str">
        <f t="shared" si="123"/>
        <v/>
      </c>
      <c r="F1546" s="59" t="str">
        <f t="shared" si="124"/>
        <v/>
      </c>
      <c r="G1546" s="59" t="str">
        <f>IF($A1546="","",
   SUMIFS(Transactions!$P:$P,
          Transactions!$G:$G,$A1546,
          Transactions!$C:$C,"IN",
          Transactions!$Q:$Q,"Paid"))</f>
        <v/>
      </c>
      <c r="H1546" s="59" t="str">
        <f>IF($A1546="","",
   SUMIFS(Transactions!$P:$P,
          Transactions!$G:$G,$A1546,
          Transactions!$C:$C,"OUT"))</f>
        <v/>
      </c>
      <c r="I1546" s="65" t="str">
        <f t="shared" si="122"/>
        <v/>
      </c>
      <c r="J1546" s="59" t="str">
        <f t="shared" si="125"/>
        <v/>
      </c>
    </row>
    <row r="1547" spans="4:10" ht="22.5" customHeight="1" x14ac:dyDescent="0.25">
      <c r="D1547" s="59" t="str">
        <f t="shared" si="121"/>
        <v/>
      </c>
      <c r="E1547" s="59" t="str">
        <f t="shared" si="123"/>
        <v/>
      </c>
      <c r="F1547" s="59" t="str">
        <f t="shared" si="124"/>
        <v/>
      </c>
      <c r="G1547" s="59" t="str">
        <f>IF($A1547="","",
   SUMIFS(Transactions!$P:$P,
          Transactions!$G:$G,$A1547,
          Transactions!$C:$C,"IN",
          Transactions!$Q:$Q,"Paid"))</f>
        <v/>
      </c>
      <c r="H1547" s="59" t="str">
        <f>IF($A1547="","",
   SUMIFS(Transactions!$P:$P,
          Transactions!$G:$G,$A1547,
          Transactions!$C:$C,"OUT"))</f>
        <v/>
      </c>
      <c r="I1547" s="65" t="str">
        <f t="shared" si="122"/>
        <v/>
      </c>
      <c r="J1547" s="59" t="str">
        <f t="shared" si="125"/>
        <v/>
      </c>
    </row>
    <row r="1548" spans="4:10" ht="22.5" customHeight="1" x14ac:dyDescent="0.25">
      <c r="D1548" s="59" t="str">
        <f t="shared" si="121"/>
        <v/>
      </c>
      <c r="E1548" s="59" t="str">
        <f t="shared" si="123"/>
        <v/>
      </c>
      <c r="F1548" s="59" t="str">
        <f t="shared" si="124"/>
        <v/>
      </c>
      <c r="G1548" s="59" t="str">
        <f>IF($A1548="","",
   SUMIFS(Transactions!$P:$P,
          Transactions!$G:$G,$A1548,
          Transactions!$C:$C,"IN",
          Transactions!$Q:$Q,"Paid"))</f>
        <v/>
      </c>
      <c r="H1548" s="59" t="str">
        <f>IF($A1548="","",
   SUMIFS(Transactions!$P:$P,
          Transactions!$G:$G,$A1548,
          Transactions!$C:$C,"OUT"))</f>
        <v/>
      </c>
      <c r="I1548" s="65" t="str">
        <f t="shared" si="122"/>
        <v/>
      </c>
      <c r="J1548" s="59" t="str">
        <f t="shared" si="125"/>
        <v/>
      </c>
    </row>
    <row r="1549" spans="4:10" ht="22.5" customHeight="1" x14ac:dyDescent="0.25">
      <c r="D1549" s="59" t="str">
        <f t="shared" si="121"/>
        <v/>
      </c>
      <c r="E1549" s="59" t="str">
        <f t="shared" si="123"/>
        <v/>
      </c>
      <c r="F1549" s="59" t="str">
        <f t="shared" si="124"/>
        <v/>
      </c>
      <c r="G1549" s="59" t="str">
        <f>IF($A1549="","",
   SUMIFS(Transactions!$P:$P,
          Transactions!$G:$G,$A1549,
          Transactions!$C:$C,"IN",
          Transactions!$Q:$Q,"Paid"))</f>
        <v/>
      </c>
      <c r="H1549" s="59" t="str">
        <f>IF($A1549="","",
   SUMIFS(Transactions!$P:$P,
          Transactions!$G:$G,$A1549,
          Transactions!$C:$C,"OUT"))</f>
        <v/>
      </c>
      <c r="I1549" s="65" t="str">
        <f t="shared" si="122"/>
        <v/>
      </c>
      <c r="J1549" s="59" t="str">
        <f t="shared" si="125"/>
        <v/>
      </c>
    </row>
    <row r="1550" spans="4:10" ht="22.5" customHeight="1" x14ac:dyDescent="0.25">
      <c r="D1550" s="59" t="str">
        <f t="shared" si="121"/>
        <v/>
      </c>
      <c r="E1550" s="59" t="str">
        <f t="shared" si="123"/>
        <v/>
      </c>
      <c r="F1550" s="59" t="str">
        <f t="shared" si="124"/>
        <v/>
      </c>
      <c r="G1550" s="59" t="str">
        <f>IF($A1550="","",
   SUMIFS(Transactions!$P:$P,
          Transactions!$G:$G,$A1550,
          Transactions!$C:$C,"IN",
          Transactions!$Q:$Q,"Paid"))</f>
        <v/>
      </c>
      <c r="H1550" s="59" t="str">
        <f>IF($A1550="","",
   SUMIFS(Transactions!$P:$P,
          Transactions!$G:$G,$A1550,
          Transactions!$C:$C,"OUT"))</f>
        <v/>
      </c>
      <c r="I1550" s="65" t="str">
        <f t="shared" si="122"/>
        <v/>
      </c>
      <c r="J1550" s="59" t="str">
        <f t="shared" si="125"/>
        <v/>
      </c>
    </row>
    <row r="1551" spans="4:10" ht="22.5" customHeight="1" x14ac:dyDescent="0.25">
      <c r="D1551" s="59" t="str">
        <f t="shared" si="121"/>
        <v/>
      </c>
      <c r="E1551" s="59" t="str">
        <f t="shared" si="123"/>
        <v/>
      </c>
      <c r="F1551" s="59" t="str">
        <f t="shared" si="124"/>
        <v/>
      </c>
      <c r="G1551" s="59" t="str">
        <f>IF($A1551="","",
   SUMIFS(Transactions!$P:$P,
          Transactions!$G:$G,$A1551,
          Transactions!$C:$C,"IN",
          Transactions!$Q:$Q,"Paid"))</f>
        <v/>
      </c>
      <c r="H1551" s="59" t="str">
        <f>IF($A1551="","",
   SUMIFS(Transactions!$P:$P,
          Transactions!$G:$G,$A1551,
          Transactions!$C:$C,"OUT"))</f>
        <v/>
      </c>
      <c r="I1551" s="65" t="str">
        <f t="shared" si="122"/>
        <v/>
      </c>
      <c r="J1551" s="59" t="str">
        <f t="shared" si="125"/>
        <v/>
      </c>
    </row>
    <row r="1552" spans="4:10" ht="22.5" customHeight="1" x14ac:dyDescent="0.25">
      <c r="D1552" s="59" t="str">
        <f t="shared" si="121"/>
        <v/>
      </c>
      <c r="E1552" s="59" t="str">
        <f t="shared" si="123"/>
        <v/>
      </c>
      <c r="F1552" s="59" t="str">
        <f t="shared" si="124"/>
        <v/>
      </c>
      <c r="G1552" s="59" t="str">
        <f>IF($A1552="","",
   SUMIFS(Transactions!$P:$P,
          Transactions!$G:$G,$A1552,
          Transactions!$C:$C,"IN",
          Transactions!$Q:$Q,"Paid"))</f>
        <v/>
      </c>
      <c r="H1552" s="59" t="str">
        <f>IF($A1552="","",
   SUMIFS(Transactions!$P:$P,
          Transactions!$G:$G,$A1552,
          Transactions!$C:$C,"OUT"))</f>
        <v/>
      </c>
      <c r="I1552" s="65" t="str">
        <f t="shared" si="122"/>
        <v/>
      </c>
      <c r="J1552" s="59" t="str">
        <f t="shared" si="125"/>
        <v/>
      </c>
    </row>
    <row r="1553" spans="4:10" ht="22.5" customHeight="1" x14ac:dyDescent="0.25">
      <c r="D1553" s="59" t="str">
        <f t="shared" si="121"/>
        <v/>
      </c>
      <c r="E1553" s="59" t="str">
        <f t="shared" si="123"/>
        <v/>
      </c>
      <c r="F1553" s="59" t="str">
        <f t="shared" si="124"/>
        <v/>
      </c>
      <c r="G1553" s="59" t="str">
        <f>IF($A1553="","",
   SUMIFS(Transactions!$P:$P,
          Transactions!$G:$G,$A1553,
          Transactions!$C:$C,"IN",
          Transactions!$Q:$Q,"Paid"))</f>
        <v/>
      </c>
      <c r="H1553" s="59" t="str">
        <f>IF($A1553="","",
   SUMIFS(Transactions!$P:$P,
          Transactions!$G:$G,$A1553,
          Transactions!$C:$C,"OUT"))</f>
        <v/>
      </c>
      <c r="I1553" s="65" t="str">
        <f t="shared" si="122"/>
        <v/>
      </c>
      <c r="J1553" s="59" t="str">
        <f t="shared" si="125"/>
        <v/>
      </c>
    </row>
    <row r="1554" spans="4:10" ht="22.5" customHeight="1" x14ac:dyDescent="0.25">
      <c r="D1554" s="59" t="str">
        <f t="shared" si="121"/>
        <v/>
      </c>
      <c r="E1554" s="59" t="str">
        <f t="shared" si="123"/>
        <v/>
      </c>
      <c r="F1554" s="59" t="str">
        <f t="shared" si="124"/>
        <v/>
      </c>
      <c r="G1554" s="59" t="str">
        <f>IF($A1554="","",
   SUMIFS(Transactions!$P:$P,
          Transactions!$G:$G,$A1554,
          Transactions!$C:$C,"IN",
          Transactions!$Q:$Q,"Paid"))</f>
        <v/>
      </c>
      <c r="H1554" s="59" t="str">
        <f>IF($A1554="","",
   SUMIFS(Transactions!$P:$P,
          Transactions!$G:$G,$A1554,
          Transactions!$C:$C,"OUT"))</f>
        <v/>
      </c>
      <c r="I1554" s="65" t="str">
        <f t="shared" si="122"/>
        <v/>
      </c>
      <c r="J1554" s="59" t="str">
        <f t="shared" si="125"/>
        <v/>
      </c>
    </row>
    <row r="1555" spans="4:10" ht="22.5" customHeight="1" x14ac:dyDescent="0.25">
      <c r="D1555" s="59" t="str">
        <f t="shared" si="121"/>
        <v/>
      </c>
      <c r="E1555" s="59" t="str">
        <f t="shared" si="123"/>
        <v/>
      </c>
      <c r="F1555" s="59" t="str">
        <f t="shared" si="124"/>
        <v/>
      </c>
      <c r="G1555" s="59" t="str">
        <f>IF($A1555="","",
   SUMIFS(Transactions!$P:$P,
          Transactions!$G:$G,$A1555,
          Transactions!$C:$C,"IN",
          Transactions!$Q:$Q,"Paid"))</f>
        <v/>
      </c>
      <c r="H1555" s="59" t="str">
        <f>IF($A1555="","",
   SUMIFS(Transactions!$P:$P,
          Transactions!$G:$G,$A1555,
          Transactions!$C:$C,"OUT"))</f>
        <v/>
      </c>
      <c r="I1555" s="65" t="str">
        <f t="shared" si="122"/>
        <v/>
      </c>
      <c r="J1555" s="59" t="str">
        <f t="shared" si="125"/>
        <v/>
      </c>
    </row>
    <row r="1556" spans="4:10" ht="22.5" customHeight="1" x14ac:dyDescent="0.25">
      <c r="D1556" s="59" t="str">
        <f t="shared" si="121"/>
        <v/>
      </c>
      <c r="E1556" s="59" t="str">
        <f t="shared" si="123"/>
        <v/>
      </c>
      <c r="F1556" s="59" t="str">
        <f t="shared" si="124"/>
        <v/>
      </c>
      <c r="G1556" s="59" t="str">
        <f>IF($A1556="","",
   SUMIFS(Transactions!$P:$P,
          Transactions!$G:$G,$A1556,
          Transactions!$C:$C,"IN",
          Transactions!$Q:$Q,"Paid"))</f>
        <v/>
      </c>
      <c r="H1556" s="59" t="str">
        <f>IF($A1556="","",
   SUMIFS(Transactions!$P:$P,
          Transactions!$G:$G,$A1556,
          Transactions!$C:$C,"OUT"))</f>
        <v/>
      </c>
      <c r="I1556" s="65" t="str">
        <f t="shared" si="122"/>
        <v/>
      </c>
      <c r="J1556" s="59" t="str">
        <f t="shared" si="125"/>
        <v/>
      </c>
    </row>
    <row r="1557" spans="4:10" ht="22.5" customHeight="1" x14ac:dyDescent="0.25">
      <c r="D1557" s="59" t="str">
        <f t="shared" si="121"/>
        <v/>
      </c>
      <c r="E1557" s="59" t="str">
        <f t="shared" si="123"/>
        <v/>
      </c>
      <c r="F1557" s="59" t="str">
        <f t="shared" si="124"/>
        <v/>
      </c>
      <c r="G1557" s="59" t="str">
        <f>IF($A1557="","",
   SUMIFS(Transactions!$P:$P,
          Transactions!$G:$G,$A1557,
          Transactions!$C:$C,"IN",
          Transactions!$Q:$Q,"Paid"))</f>
        <v/>
      </c>
      <c r="H1557" s="59" t="str">
        <f>IF($A1557="","",
   SUMIFS(Transactions!$P:$P,
          Transactions!$G:$G,$A1557,
          Transactions!$C:$C,"OUT"))</f>
        <v/>
      </c>
      <c r="I1557" s="65" t="str">
        <f t="shared" si="122"/>
        <v/>
      </c>
      <c r="J1557" s="59" t="str">
        <f t="shared" si="125"/>
        <v/>
      </c>
    </row>
    <row r="1558" spans="4:10" ht="22.5" customHeight="1" x14ac:dyDescent="0.25">
      <c r="D1558" s="59" t="str">
        <f t="shared" si="121"/>
        <v/>
      </c>
      <c r="E1558" s="59" t="str">
        <f t="shared" si="123"/>
        <v/>
      </c>
      <c r="F1558" s="59" t="str">
        <f t="shared" si="124"/>
        <v/>
      </c>
      <c r="G1558" s="59" t="str">
        <f>IF($A1558="","",
   SUMIFS(Transactions!$P:$P,
          Transactions!$G:$G,$A1558,
          Transactions!$C:$C,"IN",
          Transactions!$Q:$Q,"Paid"))</f>
        <v/>
      </c>
      <c r="H1558" s="59" t="str">
        <f>IF($A1558="","",
   SUMIFS(Transactions!$P:$P,
          Transactions!$G:$G,$A1558,
          Transactions!$C:$C,"OUT"))</f>
        <v/>
      </c>
      <c r="I1558" s="65" t="str">
        <f t="shared" si="122"/>
        <v/>
      </c>
      <c r="J1558" s="59" t="str">
        <f t="shared" si="125"/>
        <v/>
      </c>
    </row>
    <row r="1559" spans="4:10" ht="22.5" customHeight="1" x14ac:dyDescent="0.25">
      <c r="D1559" s="59" t="str">
        <f t="shared" si="121"/>
        <v/>
      </c>
      <c r="E1559" s="59" t="str">
        <f t="shared" si="123"/>
        <v/>
      </c>
      <c r="F1559" s="59" t="str">
        <f t="shared" si="124"/>
        <v/>
      </c>
      <c r="G1559" s="59" t="str">
        <f>IF($A1559="","",
   SUMIFS(Transactions!$P:$P,
          Transactions!$G:$G,$A1559,
          Transactions!$C:$C,"IN",
          Transactions!$Q:$Q,"Paid"))</f>
        <v/>
      </c>
      <c r="H1559" s="59" t="str">
        <f>IF($A1559="","",
   SUMIFS(Transactions!$P:$P,
          Transactions!$G:$G,$A1559,
          Transactions!$C:$C,"OUT"))</f>
        <v/>
      </c>
      <c r="I1559" s="65" t="str">
        <f t="shared" si="122"/>
        <v/>
      </c>
      <c r="J1559" s="59" t="str">
        <f t="shared" si="125"/>
        <v/>
      </c>
    </row>
    <row r="1560" spans="4:10" ht="22.5" customHeight="1" x14ac:dyDescent="0.25">
      <c r="D1560" s="59" t="str">
        <f t="shared" si="121"/>
        <v/>
      </c>
      <c r="E1560" s="59" t="str">
        <f t="shared" si="123"/>
        <v/>
      </c>
      <c r="F1560" s="59" t="str">
        <f t="shared" si="124"/>
        <v/>
      </c>
      <c r="G1560" s="59" t="str">
        <f>IF($A1560="","",
   SUMIFS(Transactions!$P:$P,
          Transactions!$G:$G,$A1560,
          Transactions!$C:$C,"IN",
          Transactions!$Q:$Q,"Paid"))</f>
        <v/>
      </c>
      <c r="H1560" s="59" t="str">
        <f>IF($A1560="","",
   SUMIFS(Transactions!$P:$P,
          Transactions!$G:$G,$A1560,
          Transactions!$C:$C,"OUT"))</f>
        <v/>
      </c>
      <c r="I1560" s="65" t="str">
        <f t="shared" si="122"/>
        <v/>
      </c>
      <c r="J1560" s="59" t="str">
        <f t="shared" si="125"/>
        <v/>
      </c>
    </row>
    <row r="1561" spans="4:10" ht="22.5" customHeight="1" x14ac:dyDescent="0.25">
      <c r="D1561" s="59" t="str">
        <f t="shared" si="121"/>
        <v/>
      </c>
      <c r="E1561" s="59" t="str">
        <f t="shared" si="123"/>
        <v/>
      </c>
      <c r="F1561" s="59" t="str">
        <f t="shared" si="124"/>
        <v/>
      </c>
      <c r="G1561" s="59" t="str">
        <f>IF($A1561="","",
   SUMIFS(Transactions!$P:$P,
          Transactions!$G:$G,$A1561,
          Transactions!$C:$C,"IN",
          Transactions!$Q:$Q,"Paid"))</f>
        <v/>
      </c>
      <c r="H1561" s="59" t="str">
        <f>IF($A1561="","",
   SUMIFS(Transactions!$P:$P,
          Transactions!$G:$G,$A1561,
          Transactions!$C:$C,"OUT"))</f>
        <v/>
      </c>
      <c r="I1561" s="65" t="str">
        <f t="shared" si="122"/>
        <v/>
      </c>
      <c r="J1561" s="59" t="str">
        <f t="shared" si="125"/>
        <v/>
      </c>
    </row>
    <row r="1562" spans="4:10" ht="22.5" customHeight="1" x14ac:dyDescent="0.25">
      <c r="D1562" s="59" t="str">
        <f t="shared" si="121"/>
        <v/>
      </c>
      <c r="E1562" s="59" t="str">
        <f t="shared" si="123"/>
        <v/>
      </c>
      <c r="F1562" s="59" t="str">
        <f t="shared" si="124"/>
        <v/>
      </c>
      <c r="G1562" s="59" t="str">
        <f>IF($A1562="","",
   SUMIFS(Transactions!$P:$P,
          Transactions!$G:$G,$A1562,
          Transactions!$C:$C,"IN",
          Transactions!$Q:$Q,"Paid"))</f>
        <v/>
      </c>
      <c r="H1562" s="59" t="str">
        <f>IF($A1562="","",
   SUMIFS(Transactions!$P:$P,
          Transactions!$G:$G,$A1562,
          Transactions!$C:$C,"OUT"))</f>
        <v/>
      </c>
      <c r="I1562" s="65" t="str">
        <f t="shared" si="122"/>
        <v/>
      </c>
      <c r="J1562" s="59" t="str">
        <f t="shared" si="125"/>
        <v/>
      </c>
    </row>
    <row r="1563" spans="4:10" ht="22.5" customHeight="1" x14ac:dyDescent="0.25">
      <c r="D1563" s="59" t="str">
        <f t="shared" si="121"/>
        <v/>
      </c>
      <c r="E1563" s="59" t="str">
        <f t="shared" si="123"/>
        <v/>
      </c>
      <c r="F1563" s="59" t="str">
        <f t="shared" si="124"/>
        <v/>
      </c>
      <c r="G1563" s="59" t="str">
        <f>IF($A1563="","",
   SUMIFS(Transactions!$P:$P,
          Transactions!$G:$G,$A1563,
          Transactions!$C:$C,"IN",
          Transactions!$Q:$Q,"Paid"))</f>
        <v/>
      </c>
      <c r="H1563" s="59" t="str">
        <f>IF($A1563="","",
   SUMIFS(Transactions!$P:$P,
          Transactions!$G:$G,$A1563,
          Transactions!$C:$C,"OUT"))</f>
        <v/>
      </c>
      <c r="I1563" s="65" t="str">
        <f t="shared" si="122"/>
        <v/>
      </c>
      <c r="J1563" s="59" t="str">
        <f t="shared" si="125"/>
        <v/>
      </c>
    </row>
    <row r="1564" spans="4:10" ht="22.5" customHeight="1" x14ac:dyDescent="0.25">
      <c r="D1564" s="59" t="str">
        <f t="shared" si="121"/>
        <v/>
      </c>
      <c r="E1564" s="59" t="str">
        <f t="shared" si="123"/>
        <v/>
      </c>
      <c r="F1564" s="59" t="str">
        <f t="shared" si="124"/>
        <v/>
      </c>
      <c r="G1564" s="59" t="str">
        <f>IF($A1564="","",
   SUMIFS(Transactions!$P:$P,
          Transactions!$G:$G,$A1564,
          Transactions!$C:$C,"IN",
          Transactions!$Q:$Q,"Paid"))</f>
        <v/>
      </c>
      <c r="H1564" s="59" t="str">
        <f>IF($A1564="","",
   SUMIFS(Transactions!$P:$P,
          Transactions!$G:$G,$A1564,
          Transactions!$C:$C,"OUT"))</f>
        <v/>
      </c>
      <c r="I1564" s="65" t="str">
        <f t="shared" si="122"/>
        <v/>
      </c>
      <c r="J1564" s="59" t="str">
        <f t="shared" si="125"/>
        <v/>
      </c>
    </row>
    <row r="1565" spans="4:10" ht="22.5" customHeight="1" x14ac:dyDescent="0.25">
      <c r="D1565" s="59" t="str">
        <f t="shared" si="121"/>
        <v/>
      </c>
      <c r="E1565" s="59" t="str">
        <f t="shared" si="123"/>
        <v/>
      </c>
      <c r="F1565" s="59" t="str">
        <f t="shared" si="124"/>
        <v/>
      </c>
      <c r="G1565" s="59" t="str">
        <f>IF($A1565="","",
   SUMIFS(Transactions!$P:$P,
          Transactions!$G:$G,$A1565,
          Transactions!$C:$C,"IN",
          Transactions!$Q:$Q,"Paid"))</f>
        <v/>
      </c>
      <c r="H1565" s="59" t="str">
        <f>IF($A1565="","",
   SUMIFS(Transactions!$P:$P,
          Transactions!$G:$G,$A1565,
          Transactions!$C:$C,"OUT"))</f>
        <v/>
      </c>
      <c r="I1565" s="65" t="str">
        <f t="shared" si="122"/>
        <v/>
      </c>
      <c r="J1565" s="59" t="str">
        <f t="shared" si="125"/>
        <v/>
      </c>
    </row>
    <row r="1566" spans="4:10" ht="22.5" customHeight="1" x14ac:dyDescent="0.25">
      <c r="D1566" s="59" t="str">
        <f t="shared" si="121"/>
        <v/>
      </c>
      <c r="E1566" s="59" t="str">
        <f t="shared" si="123"/>
        <v/>
      </c>
      <c r="F1566" s="59" t="str">
        <f t="shared" si="124"/>
        <v/>
      </c>
      <c r="G1566" s="59" t="str">
        <f>IF($A1566="","",
   SUMIFS(Transactions!$P:$P,
          Transactions!$G:$G,$A1566,
          Transactions!$C:$C,"IN",
          Transactions!$Q:$Q,"Paid"))</f>
        <v/>
      </c>
      <c r="H1566" s="59" t="str">
        <f>IF($A1566="","",
   SUMIFS(Transactions!$P:$P,
          Transactions!$G:$G,$A1566,
          Transactions!$C:$C,"OUT"))</f>
        <v/>
      </c>
      <c r="I1566" s="65" t="str">
        <f t="shared" si="122"/>
        <v/>
      </c>
      <c r="J1566" s="59" t="str">
        <f t="shared" si="125"/>
        <v/>
      </c>
    </row>
    <row r="1567" spans="4:10" ht="22.5" customHeight="1" x14ac:dyDescent="0.25">
      <c r="D1567" s="59" t="str">
        <f t="shared" si="121"/>
        <v/>
      </c>
      <c r="E1567" s="59" t="str">
        <f t="shared" si="123"/>
        <v/>
      </c>
      <c r="F1567" s="59" t="str">
        <f t="shared" si="124"/>
        <v/>
      </c>
      <c r="G1567" s="59" t="str">
        <f>IF($A1567="","",
   SUMIFS(Transactions!$P:$P,
          Transactions!$G:$G,$A1567,
          Transactions!$C:$C,"IN",
          Transactions!$Q:$Q,"Paid"))</f>
        <v/>
      </c>
      <c r="H1567" s="59" t="str">
        <f>IF($A1567="","",
   SUMIFS(Transactions!$P:$P,
          Transactions!$G:$G,$A1567,
          Transactions!$C:$C,"OUT"))</f>
        <v/>
      </c>
      <c r="I1567" s="65" t="str">
        <f t="shared" si="122"/>
        <v/>
      </c>
      <c r="J1567" s="59" t="str">
        <f t="shared" si="125"/>
        <v/>
      </c>
    </row>
    <row r="1568" spans="4:10" ht="22.5" customHeight="1" x14ac:dyDescent="0.25">
      <c r="D1568" s="59" t="str">
        <f t="shared" si="121"/>
        <v/>
      </c>
      <c r="E1568" s="59" t="str">
        <f t="shared" si="123"/>
        <v/>
      </c>
      <c r="F1568" s="59" t="str">
        <f t="shared" si="124"/>
        <v/>
      </c>
      <c r="G1568" s="59" t="str">
        <f>IF($A1568="","",
   SUMIFS(Transactions!$P:$P,
          Transactions!$G:$G,$A1568,
          Transactions!$C:$C,"IN",
          Transactions!$Q:$Q,"Paid"))</f>
        <v/>
      </c>
      <c r="H1568" s="59" t="str">
        <f>IF($A1568="","",
   SUMIFS(Transactions!$P:$P,
          Transactions!$G:$G,$A1568,
          Transactions!$C:$C,"OUT"))</f>
        <v/>
      </c>
      <c r="I1568" s="65" t="str">
        <f t="shared" si="122"/>
        <v/>
      </c>
      <c r="J1568" s="59" t="str">
        <f t="shared" si="125"/>
        <v/>
      </c>
    </row>
    <row r="1569" spans="4:10" ht="22.5" customHeight="1" x14ac:dyDescent="0.25">
      <c r="D1569" s="59" t="str">
        <f t="shared" si="121"/>
        <v/>
      </c>
      <c r="E1569" s="59" t="str">
        <f t="shared" si="123"/>
        <v/>
      </c>
      <c r="F1569" s="59" t="str">
        <f t="shared" si="124"/>
        <v/>
      </c>
      <c r="G1569" s="59" t="str">
        <f>IF($A1569="","",
   SUMIFS(Transactions!$P:$P,
          Transactions!$G:$G,$A1569,
          Transactions!$C:$C,"IN",
          Transactions!$Q:$Q,"Paid"))</f>
        <v/>
      </c>
      <c r="H1569" s="59" t="str">
        <f>IF($A1569="","",
   SUMIFS(Transactions!$P:$P,
          Transactions!$G:$G,$A1569,
          Transactions!$C:$C,"OUT"))</f>
        <v/>
      </c>
      <c r="I1569" s="65" t="str">
        <f t="shared" si="122"/>
        <v/>
      </c>
      <c r="J1569" s="59" t="str">
        <f t="shared" si="125"/>
        <v/>
      </c>
    </row>
    <row r="1570" spans="4:10" ht="22.5" customHeight="1" x14ac:dyDescent="0.25">
      <c r="D1570" s="59" t="str">
        <f t="shared" si="121"/>
        <v/>
      </c>
      <c r="E1570" s="59" t="str">
        <f t="shared" si="123"/>
        <v/>
      </c>
      <c r="F1570" s="59" t="str">
        <f t="shared" si="124"/>
        <v/>
      </c>
      <c r="G1570" s="59" t="str">
        <f>IF($A1570="","",
   SUMIFS(Transactions!$P:$P,
          Transactions!$G:$G,$A1570,
          Transactions!$C:$C,"IN",
          Transactions!$Q:$Q,"Paid"))</f>
        <v/>
      </c>
      <c r="H1570" s="59" t="str">
        <f>IF($A1570="","",
   SUMIFS(Transactions!$P:$P,
          Transactions!$G:$G,$A1570,
          Transactions!$C:$C,"OUT"))</f>
        <v/>
      </c>
      <c r="I1570" s="65" t="str">
        <f t="shared" si="122"/>
        <v/>
      </c>
      <c r="J1570" s="59" t="str">
        <f t="shared" si="125"/>
        <v/>
      </c>
    </row>
    <row r="1571" spans="4:10" ht="22.5" customHeight="1" x14ac:dyDescent="0.25">
      <c r="D1571" s="59" t="str">
        <f t="shared" si="121"/>
        <v/>
      </c>
      <c r="E1571" s="59" t="str">
        <f t="shared" si="123"/>
        <v/>
      </c>
      <c r="F1571" s="59" t="str">
        <f t="shared" si="124"/>
        <v/>
      </c>
      <c r="G1571" s="59" t="str">
        <f>IF($A1571="","",
   SUMIFS(Transactions!$P:$P,
          Transactions!$G:$G,$A1571,
          Transactions!$C:$C,"IN",
          Transactions!$Q:$Q,"Paid"))</f>
        <v/>
      </c>
      <c r="H1571" s="59" t="str">
        <f>IF($A1571="","",
   SUMIFS(Transactions!$P:$P,
          Transactions!$G:$G,$A1571,
          Transactions!$C:$C,"OUT"))</f>
        <v/>
      </c>
      <c r="I1571" s="65" t="str">
        <f t="shared" si="122"/>
        <v/>
      </c>
      <c r="J1571" s="59" t="str">
        <f t="shared" si="125"/>
        <v/>
      </c>
    </row>
    <row r="1572" spans="4:10" ht="22.5" customHeight="1" x14ac:dyDescent="0.25">
      <c r="D1572" s="59" t="str">
        <f t="shared" si="121"/>
        <v/>
      </c>
      <c r="E1572" s="59" t="str">
        <f t="shared" si="123"/>
        <v/>
      </c>
      <c r="F1572" s="59" t="str">
        <f t="shared" si="124"/>
        <v/>
      </c>
      <c r="G1572" s="59" t="str">
        <f>IF($A1572="","",
   SUMIFS(Transactions!$P:$P,
          Transactions!$G:$G,$A1572,
          Transactions!$C:$C,"IN",
          Transactions!$Q:$Q,"Paid"))</f>
        <v/>
      </c>
      <c r="H1572" s="59" t="str">
        <f>IF($A1572="","",
   SUMIFS(Transactions!$P:$P,
          Transactions!$G:$G,$A1572,
          Transactions!$C:$C,"OUT"))</f>
        <v/>
      </c>
      <c r="I1572" s="65" t="str">
        <f t="shared" si="122"/>
        <v/>
      </c>
      <c r="J1572" s="59" t="str">
        <f t="shared" si="125"/>
        <v/>
      </c>
    </row>
    <row r="1573" spans="4:10" ht="22.5" customHeight="1" x14ac:dyDescent="0.25">
      <c r="D1573" s="59" t="str">
        <f t="shared" si="121"/>
        <v/>
      </c>
      <c r="E1573" s="59" t="str">
        <f t="shared" si="123"/>
        <v/>
      </c>
      <c r="F1573" s="59" t="str">
        <f t="shared" si="124"/>
        <v/>
      </c>
      <c r="G1573" s="59" t="str">
        <f>IF($A1573="","",
   SUMIFS(Transactions!$P:$P,
          Transactions!$G:$G,$A1573,
          Transactions!$C:$C,"IN",
          Transactions!$Q:$Q,"Paid"))</f>
        <v/>
      </c>
      <c r="H1573" s="59" t="str">
        <f>IF($A1573="","",
   SUMIFS(Transactions!$P:$P,
          Transactions!$G:$G,$A1573,
          Transactions!$C:$C,"OUT"))</f>
        <v/>
      </c>
      <c r="I1573" s="65" t="str">
        <f t="shared" si="122"/>
        <v/>
      </c>
      <c r="J1573" s="59" t="str">
        <f t="shared" si="125"/>
        <v/>
      </c>
    </row>
    <row r="1574" spans="4:10" ht="22.5" customHeight="1" x14ac:dyDescent="0.25">
      <c r="D1574" s="59" t="str">
        <f t="shared" si="121"/>
        <v/>
      </c>
      <c r="E1574" s="59" t="str">
        <f t="shared" si="123"/>
        <v/>
      </c>
      <c r="F1574" s="59" t="str">
        <f t="shared" si="124"/>
        <v/>
      </c>
      <c r="G1574" s="59" t="str">
        <f>IF($A1574="","",
   SUMIFS(Transactions!$P:$P,
          Transactions!$G:$G,$A1574,
          Transactions!$C:$C,"IN",
          Transactions!$Q:$Q,"Paid"))</f>
        <v/>
      </c>
      <c r="H1574" s="59" t="str">
        <f>IF($A1574="","",
   SUMIFS(Transactions!$P:$P,
          Transactions!$G:$G,$A1574,
          Transactions!$C:$C,"OUT"))</f>
        <v/>
      </c>
      <c r="I1574" s="65" t="str">
        <f t="shared" si="122"/>
        <v/>
      </c>
      <c r="J1574" s="59" t="str">
        <f t="shared" si="125"/>
        <v/>
      </c>
    </row>
    <row r="1575" spans="4:10" ht="22.5" customHeight="1" x14ac:dyDescent="0.25">
      <c r="D1575" s="59" t="str">
        <f t="shared" si="121"/>
        <v/>
      </c>
      <c r="E1575" s="59" t="str">
        <f t="shared" si="123"/>
        <v/>
      </c>
      <c r="F1575" s="59" t="str">
        <f t="shared" si="124"/>
        <v/>
      </c>
      <c r="G1575" s="59" t="str">
        <f>IF($A1575="","",
   SUMIFS(Transactions!$P:$P,
          Transactions!$G:$G,$A1575,
          Transactions!$C:$C,"IN",
          Transactions!$Q:$Q,"Paid"))</f>
        <v/>
      </c>
      <c r="H1575" s="59" t="str">
        <f>IF($A1575="","",
   SUMIFS(Transactions!$P:$P,
          Transactions!$G:$G,$A1575,
          Transactions!$C:$C,"OUT"))</f>
        <v/>
      </c>
      <c r="I1575" s="65" t="str">
        <f t="shared" si="122"/>
        <v/>
      </c>
      <c r="J1575" s="59" t="str">
        <f t="shared" si="125"/>
        <v/>
      </c>
    </row>
    <row r="1576" spans="4:10" ht="22.5" customHeight="1" x14ac:dyDescent="0.25">
      <c r="D1576" s="59" t="str">
        <f t="shared" si="121"/>
        <v/>
      </c>
      <c r="E1576" s="59" t="str">
        <f t="shared" si="123"/>
        <v/>
      </c>
      <c r="F1576" s="59" t="str">
        <f t="shared" si="124"/>
        <v/>
      </c>
      <c r="G1576" s="59" t="str">
        <f>IF($A1576="","",
   SUMIFS(Transactions!$P:$P,
          Transactions!$G:$G,$A1576,
          Transactions!$C:$C,"IN",
          Transactions!$Q:$Q,"Paid"))</f>
        <v/>
      </c>
      <c r="H1576" s="59" t="str">
        <f>IF($A1576="","",
   SUMIFS(Transactions!$P:$P,
          Transactions!$G:$G,$A1576,
          Transactions!$C:$C,"OUT"))</f>
        <v/>
      </c>
      <c r="I1576" s="65" t="str">
        <f t="shared" si="122"/>
        <v/>
      </c>
      <c r="J1576" s="59" t="str">
        <f t="shared" si="125"/>
        <v/>
      </c>
    </row>
    <row r="1577" spans="4:10" ht="22.5" customHeight="1" x14ac:dyDescent="0.25">
      <c r="D1577" s="59" t="str">
        <f t="shared" si="121"/>
        <v/>
      </c>
      <c r="E1577" s="59" t="str">
        <f t="shared" si="123"/>
        <v/>
      </c>
      <c r="F1577" s="59" t="str">
        <f t="shared" si="124"/>
        <v/>
      </c>
      <c r="G1577" s="59" t="str">
        <f>IF($A1577="","",
   SUMIFS(Transactions!$P:$P,
          Transactions!$G:$G,$A1577,
          Transactions!$C:$C,"IN",
          Transactions!$Q:$Q,"Paid"))</f>
        <v/>
      </c>
      <c r="H1577" s="59" t="str">
        <f>IF($A1577="","",
   SUMIFS(Transactions!$P:$P,
          Transactions!$G:$G,$A1577,
          Transactions!$C:$C,"OUT"))</f>
        <v/>
      </c>
      <c r="I1577" s="65" t="str">
        <f t="shared" si="122"/>
        <v/>
      </c>
      <c r="J1577" s="59" t="str">
        <f t="shared" si="125"/>
        <v/>
      </c>
    </row>
    <row r="1578" spans="4:10" ht="22.5" customHeight="1" x14ac:dyDescent="0.25">
      <c r="D1578" s="59" t="str">
        <f t="shared" si="121"/>
        <v/>
      </c>
      <c r="E1578" s="59" t="str">
        <f t="shared" si="123"/>
        <v/>
      </c>
      <c r="F1578" s="59" t="str">
        <f t="shared" si="124"/>
        <v/>
      </c>
      <c r="G1578" s="59" t="str">
        <f>IF($A1578="","",
   SUMIFS(Transactions!$P:$P,
          Transactions!$G:$G,$A1578,
          Transactions!$C:$C,"IN",
          Transactions!$Q:$Q,"Paid"))</f>
        <v/>
      </c>
      <c r="H1578" s="59" t="str">
        <f>IF($A1578="","",
   SUMIFS(Transactions!$P:$P,
          Transactions!$G:$G,$A1578,
          Transactions!$C:$C,"OUT"))</f>
        <v/>
      </c>
      <c r="I1578" s="65" t="str">
        <f t="shared" si="122"/>
        <v/>
      </c>
      <c r="J1578" s="59" t="str">
        <f t="shared" si="125"/>
        <v/>
      </c>
    </row>
    <row r="1579" spans="4:10" ht="22.5" customHeight="1" x14ac:dyDescent="0.25">
      <c r="D1579" s="59" t="str">
        <f t="shared" si="121"/>
        <v/>
      </c>
      <c r="E1579" s="59" t="str">
        <f t="shared" si="123"/>
        <v/>
      </c>
      <c r="F1579" s="59" t="str">
        <f t="shared" si="124"/>
        <v/>
      </c>
      <c r="G1579" s="59" t="str">
        <f>IF($A1579="","",
   SUMIFS(Transactions!$P:$P,
          Transactions!$G:$G,$A1579,
          Transactions!$C:$C,"IN",
          Transactions!$Q:$Q,"Paid"))</f>
        <v/>
      </c>
      <c r="H1579" s="59" t="str">
        <f>IF($A1579="","",
   SUMIFS(Transactions!$P:$P,
          Transactions!$G:$G,$A1579,
          Transactions!$C:$C,"OUT"))</f>
        <v/>
      </c>
      <c r="I1579" s="65" t="str">
        <f t="shared" si="122"/>
        <v/>
      </c>
      <c r="J1579" s="59" t="str">
        <f t="shared" si="125"/>
        <v/>
      </c>
    </row>
    <row r="1580" spans="4:10" ht="22.5" customHeight="1" x14ac:dyDescent="0.25">
      <c r="D1580" s="59" t="str">
        <f t="shared" si="121"/>
        <v/>
      </c>
      <c r="E1580" s="59" t="str">
        <f t="shared" si="123"/>
        <v/>
      </c>
      <c r="F1580" s="59" t="str">
        <f t="shared" si="124"/>
        <v/>
      </c>
      <c r="G1580" s="59" t="str">
        <f>IF($A1580="","",
   SUMIFS(Transactions!$P:$P,
          Transactions!$G:$G,$A1580,
          Transactions!$C:$C,"IN",
          Transactions!$Q:$Q,"Paid"))</f>
        <v/>
      </c>
      <c r="H1580" s="59" t="str">
        <f>IF($A1580="","",
   SUMIFS(Transactions!$P:$P,
          Transactions!$G:$G,$A1580,
          Transactions!$C:$C,"OUT"))</f>
        <v/>
      </c>
      <c r="I1580" s="65" t="str">
        <f t="shared" si="122"/>
        <v/>
      </c>
      <c r="J1580" s="59" t="str">
        <f t="shared" si="125"/>
        <v/>
      </c>
    </row>
    <row r="1581" spans="4:10" ht="22.5" customHeight="1" x14ac:dyDescent="0.25">
      <c r="D1581" s="59" t="str">
        <f t="shared" si="121"/>
        <v/>
      </c>
      <c r="E1581" s="59" t="str">
        <f t="shared" si="123"/>
        <v/>
      </c>
      <c r="F1581" s="59" t="str">
        <f t="shared" si="124"/>
        <v/>
      </c>
      <c r="G1581" s="59" t="str">
        <f>IF($A1581="","",
   SUMIFS(Transactions!$P:$P,
          Transactions!$G:$G,$A1581,
          Transactions!$C:$C,"IN",
          Transactions!$Q:$Q,"Paid"))</f>
        <v/>
      </c>
      <c r="H1581" s="59" t="str">
        <f>IF($A1581="","",
   SUMIFS(Transactions!$P:$P,
          Transactions!$G:$G,$A1581,
          Transactions!$C:$C,"OUT"))</f>
        <v/>
      </c>
      <c r="I1581" s="65" t="str">
        <f t="shared" si="122"/>
        <v/>
      </c>
      <c r="J1581" s="59" t="str">
        <f t="shared" si="125"/>
        <v/>
      </c>
    </row>
    <row r="1582" spans="4:10" ht="22.5" customHeight="1" x14ac:dyDescent="0.25">
      <c r="D1582" s="59" t="str">
        <f t="shared" si="121"/>
        <v/>
      </c>
      <c r="E1582" s="59" t="str">
        <f t="shared" si="123"/>
        <v/>
      </c>
      <c r="F1582" s="59" t="str">
        <f t="shared" si="124"/>
        <v/>
      </c>
      <c r="G1582" s="59" t="str">
        <f>IF($A1582="","",
   SUMIFS(Transactions!$P:$P,
          Transactions!$G:$G,$A1582,
          Transactions!$C:$C,"IN",
          Transactions!$Q:$Q,"Paid"))</f>
        <v/>
      </c>
      <c r="H1582" s="59" t="str">
        <f>IF($A1582="","",
   SUMIFS(Transactions!$P:$P,
          Transactions!$G:$G,$A1582,
          Transactions!$C:$C,"OUT"))</f>
        <v/>
      </c>
      <c r="I1582" s="65" t="str">
        <f t="shared" si="122"/>
        <v/>
      </c>
      <c r="J1582" s="59" t="str">
        <f t="shared" si="125"/>
        <v/>
      </c>
    </row>
    <row r="1583" spans="4:10" ht="22.5" customHeight="1" x14ac:dyDescent="0.25">
      <c r="D1583" s="59" t="str">
        <f t="shared" si="121"/>
        <v/>
      </c>
      <c r="E1583" s="59" t="str">
        <f t="shared" si="123"/>
        <v/>
      </c>
      <c r="F1583" s="59" t="str">
        <f t="shared" si="124"/>
        <v/>
      </c>
      <c r="G1583" s="59" t="str">
        <f>IF($A1583="","",
   SUMIFS(Transactions!$P:$P,
          Transactions!$G:$G,$A1583,
          Transactions!$C:$C,"IN",
          Transactions!$Q:$Q,"Paid"))</f>
        <v/>
      </c>
      <c r="H1583" s="59" t="str">
        <f>IF($A1583="","",
   SUMIFS(Transactions!$P:$P,
          Transactions!$G:$G,$A1583,
          Transactions!$C:$C,"OUT"))</f>
        <v/>
      </c>
      <c r="I1583" s="65" t="str">
        <f t="shared" si="122"/>
        <v/>
      </c>
      <c r="J1583" s="59" t="str">
        <f t="shared" si="125"/>
        <v/>
      </c>
    </row>
    <row r="1584" spans="4:10" ht="22.5" customHeight="1" x14ac:dyDescent="0.25">
      <c r="D1584" s="59" t="str">
        <f t="shared" si="121"/>
        <v/>
      </c>
      <c r="E1584" s="59" t="str">
        <f t="shared" si="123"/>
        <v/>
      </c>
      <c r="F1584" s="59" t="str">
        <f t="shared" si="124"/>
        <v/>
      </c>
      <c r="G1584" s="59" t="str">
        <f>IF($A1584="","",
   SUMIFS(Transactions!$P:$P,
          Transactions!$G:$G,$A1584,
          Transactions!$C:$C,"IN",
          Transactions!$Q:$Q,"Paid"))</f>
        <v/>
      </c>
      <c r="H1584" s="59" t="str">
        <f>IF($A1584="","",
   SUMIFS(Transactions!$P:$P,
          Transactions!$G:$G,$A1584,
          Transactions!$C:$C,"OUT"))</f>
        <v/>
      </c>
      <c r="I1584" s="65" t="str">
        <f t="shared" si="122"/>
        <v/>
      </c>
      <c r="J1584" s="59" t="str">
        <f t="shared" si="125"/>
        <v/>
      </c>
    </row>
    <row r="1585" spans="4:10" ht="22.5" customHeight="1" x14ac:dyDescent="0.25">
      <c r="D1585" s="59" t="str">
        <f t="shared" si="121"/>
        <v/>
      </c>
      <c r="E1585" s="59" t="str">
        <f t="shared" si="123"/>
        <v/>
      </c>
      <c r="F1585" s="59" t="str">
        <f t="shared" si="124"/>
        <v/>
      </c>
      <c r="G1585" s="59" t="str">
        <f>IF($A1585="","",
   SUMIFS(Transactions!$P:$P,
          Transactions!$G:$G,$A1585,
          Transactions!$C:$C,"IN",
          Transactions!$Q:$Q,"Paid"))</f>
        <v/>
      </c>
      <c r="H1585" s="59" t="str">
        <f>IF($A1585="","",
   SUMIFS(Transactions!$P:$P,
          Transactions!$G:$G,$A1585,
          Transactions!$C:$C,"OUT"))</f>
        <v/>
      </c>
      <c r="I1585" s="65" t="str">
        <f t="shared" si="122"/>
        <v/>
      </c>
      <c r="J1585" s="59" t="str">
        <f t="shared" si="125"/>
        <v/>
      </c>
    </row>
    <row r="1586" spans="4:10" ht="22.5" customHeight="1" x14ac:dyDescent="0.25">
      <c r="D1586" s="59" t="str">
        <f t="shared" si="121"/>
        <v/>
      </c>
      <c r="E1586" s="59" t="str">
        <f t="shared" si="123"/>
        <v/>
      </c>
      <c r="F1586" s="59" t="str">
        <f t="shared" si="124"/>
        <v/>
      </c>
      <c r="G1586" s="59" t="str">
        <f>IF($A1586="","",
   SUMIFS(Transactions!$P:$P,
          Transactions!$G:$G,$A1586,
          Transactions!$C:$C,"IN",
          Transactions!$Q:$Q,"Paid"))</f>
        <v/>
      </c>
      <c r="H1586" s="59" t="str">
        <f>IF($A1586="","",
   SUMIFS(Transactions!$P:$P,
          Transactions!$G:$G,$A1586,
          Transactions!$C:$C,"OUT"))</f>
        <v/>
      </c>
      <c r="I1586" s="65" t="str">
        <f t="shared" si="122"/>
        <v/>
      </c>
      <c r="J1586" s="59" t="str">
        <f t="shared" si="125"/>
        <v/>
      </c>
    </row>
    <row r="1587" spans="4:10" ht="22.5" customHeight="1" x14ac:dyDescent="0.25">
      <c r="D1587" s="59" t="str">
        <f t="shared" si="121"/>
        <v/>
      </c>
      <c r="E1587" s="59" t="str">
        <f t="shared" si="123"/>
        <v/>
      </c>
      <c r="F1587" s="59" t="str">
        <f t="shared" si="124"/>
        <v/>
      </c>
      <c r="G1587" s="59" t="str">
        <f>IF($A1587="","",
   SUMIFS(Transactions!$P:$P,
          Transactions!$G:$G,$A1587,
          Transactions!$C:$C,"IN",
          Transactions!$Q:$Q,"Paid"))</f>
        <v/>
      </c>
      <c r="H1587" s="59" t="str">
        <f>IF($A1587="","",
   SUMIFS(Transactions!$P:$P,
          Transactions!$G:$G,$A1587,
          Transactions!$C:$C,"OUT"))</f>
        <v/>
      </c>
      <c r="I1587" s="65" t="str">
        <f t="shared" si="122"/>
        <v/>
      </c>
      <c r="J1587" s="59" t="str">
        <f t="shared" si="125"/>
        <v/>
      </c>
    </row>
    <row r="1588" spans="4:10" ht="22.5" customHeight="1" x14ac:dyDescent="0.25">
      <c r="D1588" s="59" t="str">
        <f t="shared" si="121"/>
        <v/>
      </c>
      <c r="E1588" s="59" t="str">
        <f t="shared" si="123"/>
        <v/>
      </c>
      <c r="F1588" s="59" t="str">
        <f t="shared" si="124"/>
        <v/>
      </c>
      <c r="G1588" s="59" t="str">
        <f>IF($A1588="","",
   SUMIFS(Transactions!$P:$P,
          Transactions!$G:$G,$A1588,
          Transactions!$C:$C,"IN",
          Transactions!$Q:$Q,"Paid"))</f>
        <v/>
      </c>
      <c r="H1588" s="59" t="str">
        <f>IF($A1588="","",
   SUMIFS(Transactions!$P:$P,
          Transactions!$G:$G,$A1588,
          Transactions!$C:$C,"OUT"))</f>
        <v/>
      </c>
      <c r="I1588" s="65" t="str">
        <f t="shared" si="122"/>
        <v/>
      </c>
      <c r="J1588" s="59" t="str">
        <f t="shared" si="125"/>
        <v/>
      </c>
    </row>
    <row r="1589" spans="4:10" ht="22.5" customHeight="1" x14ac:dyDescent="0.25">
      <c r="D1589" s="59" t="str">
        <f t="shared" si="121"/>
        <v/>
      </c>
      <c r="E1589" s="59" t="str">
        <f t="shared" si="123"/>
        <v/>
      </c>
      <c r="F1589" s="59" t="str">
        <f t="shared" si="124"/>
        <v/>
      </c>
      <c r="G1589" s="59" t="str">
        <f>IF($A1589="","",
   SUMIFS(Transactions!$P:$P,
          Transactions!$G:$G,$A1589,
          Transactions!$C:$C,"IN",
          Transactions!$Q:$Q,"Paid"))</f>
        <v/>
      </c>
      <c r="H1589" s="59" t="str">
        <f>IF($A1589="","",
   SUMIFS(Transactions!$P:$P,
          Transactions!$G:$G,$A1589,
          Transactions!$C:$C,"OUT"))</f>
        <v/>
      </c>
      <c r="I1589" s="65" t="str">
        <f t="shared" si="122"/>
        <v/>
      </c>
      <c r="J1589" s="59" t="str">
        <f t="shared" si="125"/>
        <v/>
      </c>
    </row>
    <row r="1590" spans="4:10" ht="22.5" customHeight="1" x14ac:dyDescent="0.25">
      <c r="D1590" s="59" t="str">
        <f t="shared" si="121"/>
        <v/>
      </c>
      <c r="E1590" s="59" t="str">
        <f t="shared" si="123"/>
        <v/>
      </c>
      <c r="F1590" s="59" t="str">
        <f t="shared" si="124"/>
        <v/>
      </c>
      <c r="G1590" s="59" t="str">
        <f>IF($A1590="","",
   SUMIFS(Transactions!$P:$P,
          Transactions!$G:$G,$A1590,
          Transactions!$C:$C,"IN",
          Transactions!$Q:$Q,"Paid"))</f>
        <v/>
      </c>
      <c r="H1590" s="59" t="str">
        <f>IF($A1590="","",
   SUMIFS(Transactions!$P:$P,
          Transactions!$G:$G,$A1590,
          Transactions!$C:$C,"OUT"))</f>
        <v/>
      </c>
      <c r="I1590" s="65" t="str">
        <f t="shared" si="122"/>
        <v/>
      </c>
      <c r="J1590" s="59" t="str">
        <f t="shared" si="125"/>
        <v/>
      </c>
    </row>
    <row r="1591" spans="4:10" ht="22.5" customHeight="1" x14ac:dyDescent="0.25">
      <c r="D1591" s="59" t="str">
        <f t="shared" si="121"/>
        <v/>
      </c>
      <c r="E1591" s="59" t="str">
        <f t="shared" si="123"/>
        <v/>
      </c>
      <c r="F1591" s="59" t="str">
        <f t="shared" si="124"/>
        <v/>
      </c>
      <c r="G1591" s="59" t="str">
        <f>IF($A1591="","",
   SUMIFS(Transactions!$P:$P,
          Transactions!$G:$G,$A1591,
          Transactions!$C:$C,"IN",
          Transactions!$Q:$Q,"Paid"))</f>
        <v/>
      </c>
      <c r="H1591" s="59" t="str">
        <f>IF($A1591="","",
   SUMIFS(Transactions!$P:$P,
          Transactions!$G:$G,$A1591,
          Transactions!$C:$C,"OUT"))</f>
        <v/>
      </c>
      <c r="I1591" s="65" t="str">
        <f t="shared" si="122"/>
        <v/>
      </c>
      <c r="J1591" s="59" t="str">
        <f t="shared" si="125"/>
        <v/>
      </c>
    </row>
    <row r="1592" spans="4:10" ht="22.5" customHeight="1" x14ac:dyDescent="0.25">
      <c r="D1592" s="59" t="str">
        <f t="shared" si="121"/>
        <v/>
      </c>
      <c r="E1592" s="59" t="str">
        <f t="shared" si="123"/>
        <v/>
      </c>
      <c r="F1592" s="59" t="str">
        <f t="shared" si="124"/>
        <v/>
      </c>
      <c r="G1592" s="59" t="str">
        <f>IF($A1592="","",
   SUMIFS(Transactions!$P:$P,
          Transactions!$G:$G,$A1592,
          Transactions!$C:$C,"IN",
          Transactions!$Q:$Q,"Paid"))</f>
        <v/>
      </c>
      <c r="H1592" s="59" t="str">
        <f>IF($A1592="","",
   SUMIFS(Transactions!$P:$P,
          Transactions!$G:$G,$A1592,
          Transactions!$C:$C,"OUT"))</f>
        <v/>
      </c>
      <c r="I1592" s="65" t="str">
        <f t="shared" si="122"/>
        <v/>
      </c>
      <c r="J1592" s="59" t="str">
        <f t="shared" si="125"/>
        <v/>
      </c>
    </row>
    <row r="1593" spans="4:10" ht="22.5" customHeight="1" x14ac:dyDescent="0.25">
      <c r="D1593" s="59" t="str">
        <f t="shared" si="121"/>
        <v/>
      </c>
      <c r="E1593" s="59" t="str">
        <f t="shared" si="123"/>
        <v/>
      </c>
      <c r="F1593" s="59" t="str">
        <f t="shared" si="124"/>
        <v/>
      </c>
      <c r="G1593" s="59" t="str">
        <f>IF($A1593="","",
   SUMIFS(Transactions!$P:$P,
          Transactions!$G:$G,$A1593,
          Transactions!$C:$C,"IN",
          Transactions!$Q:$Q,"Paid"))</f>
        <v/>
      </c>
      <c r="H1593" s="59" t="str">
        <f>IF($A1593="","",
   SUMIFS(Transactions!$P:$P,
          Transactions!$G:$G,$A1593,
          Transactions!$C:$C,"OUT"))</f>
        <v/>
      </c>
      <c r="I1593" s="65" t="str">
        <f t="shared" si="122"/>
        <v/>
      </c>
      <c r="J1593" s="59" t="str">
        <f t="shared" si="125"/>
        <v/>
      </c>
    </row>
    <row r="1594" spans="4:10" ht="22.5" customHeight="1" x14ac:dyDescent="0.25">
      <c r="D1594" s="59" t="str">
        <f t="shared" si="121"/>
        <v/>
      </c>
      <c r="E1594" s="59" t="str">
        <f t="shared" si="123"/>
        <v/>
      </c>
      <c r="F1594" s="59" t="str">
        <f t="shared" si="124"/>
        <v/>
      </c>
      <c r="G1594" s="59" t="str">
        <f>IF($A1594="","",
   SUMIFS(Transactions!$P:$P,
          Transactions!$G:$G,$A1594,
          Transactions!$C:$C,"IN",
          Transactions!$Q:$Q,"Paid"))</f>
        <v/>
      </c>
      <c r="H1594" s="59" t="str">
        <f>IF($A1594="","",
   SUMIFS(Transactions!$P:$P,
          Transactions!$G:$G,$A1594,
          Transactions!$C:$C,"OUT"))</f>
        <v/>
      </c>
      <c r="I1594" s="65" t="str">
        <f t="shared" si="122"/>
        <v/>
      </c>
      <c r="J1594" s="59" t="str">
        <f t="shared" si="125"/>
        <v/>
      </c>
    </row>
    <row r="1595" spans="4:10" ht="22.5" customHeight="1" x14ac:dyDescent="0.25">
      <c r="D1595" s="59" t="str">
        <f t="shared" si="121"/>
        <v/>
      </c>
      <c r="E1595" s="59" t="str">
        <f t="shared" si="123"/>
        <v/>
      </c>
      <c r="F1595" s="59" t="str">
        <f t="shared" si="124"/>
        <v/>
      </c>
      <c r="G1595" s="59" t="str">
        <f>IF($A1595="","",
   SUMIFS(Transactions!$P:$P,
          Transactions!$G:$G,$A1595,
          Transactions!$C:$C,"IN",
          Transactions!$Q:$Q,"Paid"))</f>
        <v/>
      </c>
      <c r="H1595" s="59" t="str">
        <f>IF($A1595="","",
   SUMIFS(Transactions!$P:$P,
          Transactions!$G:$G,$A1595,
          Transactions!$C:$C,"OUT"))</f>
        <v/>
      </c>
      <c r="I1595" s="65" t="str">
        <f t="shared" si="122"/>
        <v/>
      </c>
      <c r="J1595" s="59" t="str">
        <f t="shared" si="125"/>
        <v/>
      </c>
    </row>
    <row r="1596" spans="4:10" ht="22.5" customHeight="1" x14ac:dyDescent="0.25">
      <c r="D1596" s="59" t="str">
        <f t="shared" si="121"/>
        <v/>
      </c>
      <c r="E1596" s="59" t="str">
        <f t="shared" si="123"/>
        <v/>
      </c>
      <c r="F1596" s="59" t="str">
        <f t="shared" si="124"/>
        <v/>
      </c>
      <c r="G1596" s="59" t="str">
        <f>IF($A1596="","",
   SUMIFS(Transactions!$P:$P,
          Transactions!$G:$G,$A1596,
          Transactions!$C:$C,"IN",
          Transactions!$Q:$Q,"Paid"))</f>
        <v/>
      </c>
      <c r="H1596" s="59" t="str">
        <f>IF($A1596="","",
   SUMIFS(Transactions!$P:$P,
          Transactions!$G:$G,$A1596,
          Transactions!$C:$C,"OUT"))</f>
        <v/>
      </c>
      <c r="I1596" s="65" t="str">
        <f t="shared" si="122"/>
        <v/>
      </c>
      <c r="J1596" s="59" t="str">
        <f t="shared" si="125"/>
        <v/>
      </c>
    </row>
    <row r="1597" spans="4:10" ht="22.5" customHeight="1" x14ac:dyDescent="0.25">
      <c r="D1597" s="59" t="str">
        <f t="shared" si="121"/>
        <v/>
      </c>
      <c r="E1597" s="59" t="str">
        <f t="shared" si="123"/>
        <v/>
      </c>
      <c r="F1597" s="59" t="str">
        <f t="shared" si="124"/>
        <v/>
      </c>
      <c r="G1597" s="59" t="str">
        <f>IF($A1597="","",
   SUMIFS(Transactions!$P:$P,
          Transactions!$G:$G,$A1597,
          Transactions!$C:$C,"IN",
          Transactions!$Q:$Q,"Paid"))</f>
        <v/>
      </c>
      <c r="H1597" s="59" t="str">
        <f>IF($A1597="","",
   SUMIFS(Transactions!$P:$P,
          Transactions!$G:$G,$A1597,
          Transactions!$C:$C,"OUT"))</f>
        <v/>
      </c>
      <c r="I1597" s="65" t="str">
        <f t="shared" si="122"/>
        <v/>
      </c>
      <c r="J1597" s="59" t="str">
        <f t="shared" si="125"/>
        <v/>
      </c>
    </row>
    <row r="1598" spans="4:10" ht="22.5" customHeight="1" x14ac:dyDescent="0.25">
      <c r="D1598" s="59" t="str">
        <f t="shared" si="121"/>
        <v/>
      </c>
      <c r="E1598" s="59" t="str">
        <f t="shared" si="123"/>
        <v/>
      </c>
      <c r="F1598" s="59" t="str">
        <f t="shared" si="124"/>
        <v/>
      </c>
      <c r="G1598" s="59" t="str">
        <f>IF($A1598="","",
   SUMIFS(Transactions!$P:$P,
          Transactions!$G:$G,$A1598,
          Transactions!$C:$C,"IN",
          Transactions!$Q:$Q,"Paid"))</f>
        <v/>
      </c>
      <c r="H1598" s="59" t="str">
        <f>IF($A1598="","",
   SUMIFS(Transactions!$P:$P,
          Transactions!$G:$G,$A1598,
          Transactions!$C:$C,"OUT"))</f>
        <v/>
      </c>
      <c r="I1598" s="65" t="str">
        <f t="shared" si="122"/>
        <v/>
      </c>
      <c r="J1598" s="59" t="str">
        <f t="shared" si="125"/>
        <v/>
      </c>
    </row>
    <row r="1599" spans="4:10" ht="22.5" customHeight="1" x14ac:dyDescent="0.25">
      <c r="D1599" s="59" t="str">
        <f t="shared" si="121"/>
        <v/>
      </c>
      <c r="E1599" s="59" t="str">
        <f t="shared" si="123"/>
        <v/>
      </c>
      <c r="F1599" s="59" t="str">
        <f t="shared" si="124"/>
        <v/>
      </c>
      <c r="G1599" s="59" t="str">
        <f>IF($A1599="","",
   SUMIFS(Transactions!$P:$P,
          Transactions!$G:$G,$A1599,
          Transactions!$C:$C,"IN",
          Transactions!$Q:$Q,"Paid"))</f>
        <v/>
      </c>
      <c r="H1599" s="59" t="str">
        <f>IF($A1599="","",
   SUMIFS(Transactions!$P:$P,
          Transactions!$G:$G,$A1599,
          Transactions!$C:$C,"OUT"))</f>
        <v/>
      </c>
      <c r="I1599" s="65" t="str">
        <f t="shared" si="122"/>
        <v/>
      </c>
      <c r="J1599" s="59" t="str">
        <f t="shared" si="125"/>
        <v/>
      </c>
    </row>
    <row r="1600" spans="4:10" ht="22.5" customHeight="1" x14ac:dyDescent="0.25">
      <c r="D1600" s="59" t="str">
        <f t="shared" si="121"/>
        <v/>
      </c>
      <c r="E1600" s="59" t="str">
        <f t="shared" si="123"/>
        <v/>
      </c>
      <c r="F1600" s="59" t="str">
        <f t="shared" si="124"/>
        <v/>
      </c>
      <c r="G1600" s="59" t="str">
        <f>IF($A1600="","",
   SUMIFS(Transactions!$P:$P,
          Transactions!$G:$G,$A1600,
          Transactions!$C:$C,"IN",
          Transactions!$Q:$Q,"Paid"))</f>
        <v/>
      </c>
      <c r="H1600" s="59" t="str">
        <f>IF($A1600="","",
   SUMIFS(Transactions!$P:$P,
          Transactions!$G:$G,$A1600,
          Transactions!$C:$C,"OUT"))</f>
        <v/>
      </c>
      <c r="I1600" s="65" t="str">
        <f t="shared" si="122"/>
        <v/>
      </c>
      <c r="J1600" s="59" t="str">
        <f t="shared" si="125"/>
        <v/>
      </c>
    </row>
    <row r="1601" spans="4:10" ht="22.5" customHeight="1" x14ac:dyDescent="0.25">
      <c r="D1601" s="59" t="str">
        <f t="shared" si="121"/>
        <v/>
      </c>
      <c r="E1601" s="59" t="str">
        <f t="shared" si="123"/>
        <v/>
      </c>
      <c r="F1601" s="59" t="str">
        <f t="shared" si="124"/>
        <v/>
      </c>
      <c r="G1601" s="59" t="str">
        <f>IF($A1601="","",
   SUMIFS(Transactions!$P:$P,
          Transactions!$G:$G,$A1601,
          Transactions!$C:$C,"IN",
          Transactions!$Q:$Q,"Paid"))</f>
        <v/>
      </c>
      <c r="H1601" s="59" t="str">
        <f>IF($A1601="","",
   SUMIFS(Transactions!$P:$P,
          Transactions!$G:$G,$A1601,
          Transactions!$C:$C,"OUT"))</f>
        <v/>
      </c>
      <c r="I1601" s="65" t="str">
        <f t="shared" si="122"/>
        <v/>
      </c>
      <c r="J1601" s="59" t="str">
        <f t="shared" si="125"/>
        <v/>
      </c>
    </row>
    <row r="1602" spans="4:10" ht="22.5" customHeight="1" x14ac:dyDescent="0.25">
      <c r="D1602" s="59" t="str">
        <f t="shared" si="121"/>
        <v/>
      </c>
      <c r="E1602" s="59" t="str">
        <f t="shared" si="123"/>
        <v/>
      </c>
      <c r="F1602" s="59" t="str">
        <f t="shared" si="124"/>
        <v/>
      </c>
      <c r="G1602" s="59" t="str">
        <f>IF($A1602="","",
   SUMIFS(Transactions!$P:$P,
          Transactions!$G:$G,$A1602,
          Transactions!$C:$C,"IN",
          Transactions!$Q:$Q,"Paid"))</f>
        <v/>
      </c>
      <c r="H1602" s="59" t="str">
        <f>IF($A1602="","",
   SUMIFS(Transactions!$P:$P,
          Transactions!$G:$G,$A1602,
          Transactions!$C:$C,"OUT"))</f>
        <v/>
      </c>
      <c r="I1602" s="65" t="str">
        <f t="shared" si="122"/>
        <v/>
      </c>
      <c r="J1602" s="59" t="str">
        <f t="shared" si="125"/>
        <v/>
      </c>
    </row>
    <row r="1603" spans="4:10" ht="22.5" customHeight="1" x14ac:dyDescent="0.25">
      <c r="D1603" s="59" t="str">
        <f t="shared" ref="D1603:D1666" si="126">IF(C1603="","",ROUND(C1603*0.15,2))</f>
        <v/>
      </c>
      <c r="E1603" s="59" t="str">
        <f t="shared" si="123"/>
        <v/>
      </c>
      <c r="F1603" s="59" t="str">
        <f t="shared" si="124"/>
        <v/>
      </c>
      <c r="G1603" s="59" t="str">
        <f>IF($A1603="","",
   SUMIFS(Transactions!$P:$P,
          Transactions!$G:$G,$A1603,
          Transactions!$C:$C,"IN",
          Transactions!$Q:$Q,"Paid"))</f>
        <v/>
      </c>
      <c r="H1603" s="59" t="str">
        <f>IF($A1603="","",
   SUMIFS(Transactions!$P:$P,
          Transactions!$G:$G,$A1603,
          Transactions!$C:$C,"OUT"))</f>
        <v/>
      </c>
      <c r="I1603" s="65" t="str">
        <f t="shared" ref="I1603:I1666" si="127">IF(C1603="","",C1603-H1603)</f>
        <v/>
      </c>
      <c r="J1603" s="59" t="str">
        <f t="shared" si="125"/>
        <v/>
      </c>
    </row>
    <row r="1604" spans="4:10" ht="22.5" customHeight="1" x14ac:dyDescent="0.25">
      <c r="D1604" s="59" t="str">
        <f t="shared" si="126"/>
        <v/>
      </c>
      <c r="E1604" s="59" t="str">
        <f t="shared" ref="E1604:E1667" si="128">IF(C1604="","",C1604+D1604)</f>
        <v/>
      </c>
      <c r="F1604" s="59" t="str">
        <f t="shared" ref="F1604:F1667" si="129">IF(E1604="","",E1604*0.5)</f>
        <v/>
      </c>
      <c r="G1604" s="59" t="str">
        <f>IF($A1604="","",
   SUMIFS(Transactions!$P:$P,
          Transactions!$G:$G,$A1604,
          Transactions!$C:$C,"IN",
          Transactions!$Q:$Q,"Paid"))</f>
        <v/>
      </c>
      <c r="H1604" s="59" t="str">
        <f>IF($A1604="","",
   SUMIFS(Transactions!$P:$P,
          Transactions!$G:$G,$A1604,
          Transactions!$C:$C,"OUT"))</f>
        <v/>
      </c>
      <c r="I1604" s="65" t="str">
        <f t="shared" si="127"/>
        <v/>
      </c>
      <c r="J1604" s="59" t="str">
        <f t="shared" ref="J1604:J1667" si="130">IF(E1604="","",E1604-G1604)</f>
        <v/>
      </c>
    </row>
    <row r="1605" spans="4:10" ht="22.5" customHeight="1" x14ac:dyDescent="0.25">
      <c r="D1605" s="59" t="str">
        <f t="shared" si="126"/>
        <v/>
      </c>
      <c r="E1605" s="59" t="str">
        <f t="shared" si="128"/>
        <v/>
      </c>
      <c r="F1605" s="59" t="str">
        <f t="shared" si="129"/>
        <v/>
      </c>
      <c r="G1605" s="59" t="str">
        <f>IF($A1605="","",
   SUMIFS(Transactions!$P:$P,
          Transactions!$G:$G,$A1605,
          Transactions!$C:$C,"IN",
          Transactions!$Q:$Q,"Paid"))</f>
        <v/>
      </c>
      <c r="H1605" s="59" t="str">
        <f>IF($A1605="","",
   SUMIFS(Transactions!$P:$P,
          Transactions!$G:$G,$A1605,
          Transactions!$C:$C,"OUT"))</f>
        <v/>
      </c>
      <c r="I1605" s="65" t="str">
        <f t="shared" si="127"/>
        <v/>
      </c>
      <c r="J1605" s="59" t="str">
        <f t="shared" si="130"/>
        <v/>
      </c>
    </row>
    <row r="1606" spans="4:10" ht="22.5" customHeight="1" x14ac:dyDescent="0.25">
      <c r="D1606" s="59" t="str">
        <f t="shared" si="126"/>
        <v/>
      </c>
      <c r="E1606" s="59" t="str">
        <f t="shared" si="128"/>
        <v/>
      </c>
      <c r="F1606" s="59" t="str">
        <f t="shared" si="129"/>
        <v/>
      </c>
      <c r="G1606" s="59" t="str">
        <f>IF($A1606="","",
   SUMIFS(Transactions!$P:$P,
          Transactions!$G:$G,$A1606,
          Transactions!$C:$C,"IN",
          Transactions!$Q:$Q,"Paid"))</f>
        <v/>
      </c>
      <c r="H1606" s="59" t="str">
        <f>IF($A1606="","",
   SUMIFS(Transactions!$P:$P,
          Transactions!$G:$G,$A1606,
          Transactions!$C:$C,"OUT"))</f>
        <v/>
      </c>
      <c r="I1606" s="65" t="str">
        <f t="shared" si="127"/>
        <v/>
      </c>
      <c r="J1606" s="59" t="str">
        <f t="shared" si="130"/>
        <v/>
      </c>
    </row>
    <row r="1607" spans="4:10" ht="22.5" customHeight="1" x14ac:dyDescent="0.25">
      <c r="D1607" s="59" t="str">
        <f t="shared" si="126"/>
        <v/>
      </c>
      <c r="E1607" s="59" t="str">
        <f t="shared" si="128"/>
        <v/>
      </c>
      <c r="F1607" s="59" t="str">
        <f t="shared" si="129"/>
        <v/>
      </c>
      <c r="G1607" s="59" t="str">
        <f>IF($A1607="","",
   SUMIFS(Transactions!$P:$P,
          Transactions!$G:$G,$A1607,
          Transactions!$C:$C,"IN",
          Transactions!$Q:$Q,"Paid"))</f>
        <v/>
      </c>
      <c r="H1607" s="59" t="str">
        <f>IF($A1607="","",
   SUMIFS(Transactions!$P:$P,
          Transactions!$G:$G,$A1607,
          Transactions!$C:$C,"OUT"))</f>
        <v/>
      </c>
      <c r="I1607" s="65" t="str">
        <f t="shared" si="127"/>
        <v/>
      </c>
      <c r="J1607" s="59" t="str">
        <f t="shared" si="130"/>
        <v/>
      </c>
    </row>
    <row r="1608" spans="4:10" ht="22.5" customHeight="1" x14ac:dyDescent="0.25">
      <c r="D1608" s="59" t="str">
        <f t="shared" si="126"/>
        <v/>
      </c>
      <c r="E1608" s="59" t="str">
        <f t="shared" si="128"/>
        <v/>
      </c>
      <c r="F1608" s="59" t="str">
        <f t="shared" si="129"/>
        <v/>
      </c>
      <c r="G1608" s="59" t="str">
        <f>IF($A1608="","",
   SUMIFS(Transactions!$P:$P,
          Transactions!$G:$G,$A1608,
          Transactions!$C:$C,"IN",
          Transactions!$Q:$Q,"Paid"))</f>
        <v/>
      </c>
      <c r="H1608" s="59" t="str">
        <f>IF($A1608="","",
   SUMIFS(Transactions!$P:$P,
          Transactions!$G:$G,$A1608,
          Transactions!$C:$C,"OUT"))</f>
        <v/>
      </c>
      <c r="I1608" s="65" t="str">
        <f t="shared" si="127"/>
        <v/>
      </c>
      <c r="J1608" s="59" t="str">
        <f t="shared" si="130"/>
        <v/>
      </c>
    </row>
    <row r="1609" spans="4:10" ht="22.5" customHeight="1" x14ac:dyDescent="0.25">
      <c r="D1609" s="59" t="str">
        <f t="shared" si="126"/>
        <v/>
      </c>
      <c r="E1609" s="59" t="str">
        <f t="shared" si="128"/>
        <v/>
      </c>
      <c r="F1609" s="59" t="str">
        <f t="shared" si="129"/>
        <v/>
      </c>
      <c r="G1609" s="59" t="str">
        <f>IF($A1609="","",
   SUMIFS(Transactions!$P:$P,
          Transactions!$G:$G,$A1609,
          Transactions!$C:$C,"IN",
          Transactions!$Q:$Q,"Paid"))</f>
        <v/>
      </c>
      <c r="H1609" s="59" t="str">
        <f>IF($A1609="","",
   SUMIFS(Transactions!$P:$P,
          Transactions!$G:$G,$A1609,
          Transactions!$C:$C,"OUT"))</f>
        <v/>
      </c>
      <c r="I1609" s="65" t="str">
        <f t="shared" si="127"/>
        <v/>
      </c>
      <c r="J1609" s="59" t="str">
        <f t="shared" si="130"/>
        <v/>
      </c>
    </row>
    <row r="1610" spans="4:10" ht="22.5" customHeight="1" x14ac:dyDescent="0.25">
      <c r="D1610" s="59" t="str">
        <f t="shared" si="126"/>
        <v/>
      </c>
      <c r="E1610" s="59" t="str">
        <f t="shared" si="128"/>
        <v/>
      </c>
      <c r="F1610" s="59" t="str">
        <f t="shared" si="129"/>
        <v/>
      </c>
      <c r="G1610" s="59" t="str">
        <f>IF($A1610="","",
   SUMIFS(Transactions!$P:$P,
          Transactions!$G:$G,$A1610,
          Transactions!$C:$C,"IN",
          Transactions!$Q:$Q,"Paid"))</f>
        <v/>
      </c>
      <c r="H1610" s="59" t="str">
        <f>IF($A1610="","",
   SUMIFS(Transactions!$P:$P,
          Transactions!$G:$G,$A1610,
          Transactions!$C:$C,"OUT"))</f>
        <v/>
      </c>
      <c r="I1610" s="65" t="str">
        <f t="shared" si="127"/>
        <v/>
      </c>
      <c r="J1610" s="59" t="str">
        <f t="shared" si="130"/>
        <v/>
      </c>
    </row>
    <row r="1611" spans="4:10" ht="22.5" customHeight="1" x14ac:dyDescent="0.25">
      <c r="D1611" s="59" t="str">
        <f t="shared" si="126"/>
        <v/>
      </c>
      <c r="E1611" s="59" t="str">
        <f t="shared" si="128"/>
        <v/>
      </c>
      <c r="F1611" s="59" t="str">
        <f t="shared" si="129"/>
        <v/>
      </c>
      <c r="G1611" s="59" t="str">
        <f>IF($A1611="","",
   SUMIFS(Transactions!$P:$P,
          Transactions!$G:$G,$A1611,
          Transactions!$C:$C,"IN",
          Transactions!$Q:$Q,"Paid"))</f>
        <v/>
      </c>
      <c r="H1611" s="59" t="str">
        <f>IF($A1611="","",
   SUMIFS(Transactions!$P:$P,
          Transactions!$G:$G,$A1611,
          Transactions!$C:$C,"OUT"))</f>
        <v/>
      </c>
      <c r="I1611" s="65" t="str">
        <f t="shared" si="127"/>
        <v/>
      </c>
      <c r="J1611" s="59" t="str">
        <f t="shared" si="130"/>
        <v/>
      </c>
    </row>
    <row r="1612" spans="4:10" ht="22.5" customHeight="1" x14ac:dyDescent="0.25">
      <c r="D1612" s="59" t="str">
        <f t="shared" si="126"/>
        <v/>
      </c>
      <c r="E1612" s="59" t="str">
        <f t="shared" si="128"/>
        <v/>
      </c>
      <c r="F1612" s="59" t="str">
        <f t="shared" si="129"/>
        <v/>
      </c>
      <c r="G1612" s="59" t="str">
        <f>IF($A1612="","",
   SUMIFS(Transactions!$P:$P,
          Transactions!$G:$G,$A1612,
          Transactions!$C:$C,"IN",
          Transactions!$Q:$Q,"Paid"))</f>
        <v/>
      </c>
      <c r="H1612" s="59" t="str">
        <f>IF($A1612="","",
   SUMIFS(Transactions!$P:$P,
          Transactions!$G:$G,$A1612,
          Transactions!$C:$C,"OUT"))</f>
        <v/>
      </c>
      <c r="I1612" s="65" t="str">
        <f t="shared" si="127"/>
        <v/>
      </c>
      <c r="J1612" s="59" t="str">
        <f t="shared" si="130"/>
        <v/>
      </c>
    </row>
    <row r="1613" spans="4:10" ht="22.5" customHeight="1" x14ac:dyDescent="0.25">
      <c r="D1613" s="59" t="str">
        <f t="shared" si="126"/>
        <v/>
      </c>
      <c r="E1613" s="59" t="str">
        <f t="shared" si="128"/>
        <v/>
      </c>
      <c r="F1613" s="59" t="str">
        <f t="shared" si="129"/>
        <v/>
      </c>
      <c r="G1613" s="59" t="str">
        <f>IF($A1613="","",
   SUMIFS(Transactions!$P:$P,
          Transactions!$G:$G,$A1613,
          Transactions!$C:$C,"IN",
          Transactions!$Q:$Q,"Paid"))</f>
        <v/>
      </c>
      <c r="H1613" s="59" t="str">
        <f>IF($A1613="","",
   SUMIFS(Transactions!$P:$P,
          Transactions!$G:$G,$A1613,
          Transactions!$C:$C,"OUT"))</f>
        <v/>
      </c>
      <c r="I1613" s="65" t="str">
        <f t="shared" si="127"/>
        <v/>
      </c>
      <c r="J1613" s="59" t="str">
        <f t="shared" si="130"/>
        <v/>
      </c>
    </row>
    <row r="1614" spans="4:10" ht="22.5" customHeight="1" x14ac:dyDescent="0.25">
      <c r="D1614" s="59" t="str">
        <f t="shared" si="126"/>
        <v/>
      </c>
      <c r="E1614" s="59" t="str">
        <f t="shared" si="128"/>
        <v/>
      </c>
      <c r="F1614" s="59" t="str">
        <f t="shared" si="129"/>
        <v/>
      </c>
      <c r="G1614" s="59" t="str">
        <f>IF($A1614="","",
   SUMIFS(Transactions!$P:$P,
          Transactions!$G:$G,$A1614,
          Transactions!$C:$C,"IN",
          Transactions!$Q:$Q,"Paid"))</f>
        <v/>
      </c>
      <c r="H1614" s="59" t="str">
        <f>IF($A1614="","",
   SUMIFS(Transactions!$P:$P,
          Transactions!$G:$G,$A1614,
          Transactions!$C:$C,"OUT"))</f>
        <v/>
      </c>
      <c r="I1614" s="65" t="str">
        <f t="shared" si="127"/>
        <v/>
      </c>
      <c r="J1614" s="59" t="str">
        <f t="shared" si="130"/>
        <v/>
      </c>
    </row>
    <row r="1615" spans="4:10" ht="22.5" customHeight="1" x14ac:dyDescent="0.25">
      <c r="D1615" s="59" t="str">
        <f t="shared" si="126"/>
        <v/>
      </c>
      <c r="E1615" s="59" t="str">
        <f t="shared" si="128"/>
        <v/>
      </c>
      <c r="F1615" s="59" t="str">
        <f t="shared" si="129"/>
        <v/>
      </c>
      <c r="G1615" s="59" t="str">
        <f>IF($A1615="","",
   SUMIFS(Transactions!$P:$P,
          Transactions!$G:$G,$A1615,
          Transactions!$C:$C,"IN",
          Transactions!$Q:$Q,"Paid"))</f>
        <v/>
      </c>
      <c r="H1615" s="59" t="str">
        <f>IF($A1615="","",
   SUMIFS(Transactions!$P:$P,
          Transactions!$G:$G,$A1615,
          Transactions!$C:$C,"OUT"))</f>
        <v/>
      </c>
      <c r="I1615" s="65" t="str">
        <f t="shared" si="127"/>
        <v/>
      </c>
      <c r="J1615" s="59" t="str">
        <f t="shared" si="130"/>
        <v/>
      </c>
    </row>
    <row r="1616" spans="4:10" ht="22.5" customHeight="1" x14ac:dyDescent="0.25">
      <c r="D1616" s="59" t="str">
        <f t="shared" si="126"/>
        <v/>
      </c>
      <c r="E1616" s="59" t="str">
        <f t="shared" si="128"/>
        <v/>
      </c>
      <c r="F1616" s="59" t="str">
        <f t="shared" si="129"/>
        <v/>
      </c>
      <c r="G1616" s="59" t="str">
        <f>IF($A1616="","",
   SUMIFS(Transactions!$P:$P,
          Transactions!$G:$G,$A1616,
          Transactions!$C:$C,"IN",
          Transactions!$Q:$Q,"Paid"))</f>
        <v/>
      </c>
      <c r="H1616" s="59" t="str">
        <f>IF($A1616="","",
   SUMIFS(Transactions!$P:$P,
          Transactions!$G:$G,$A1616,
          Transactions!$C:$C,"OUT"))</f>
        <v/>
      </c>
      <c r="I1616" s="65" t="str">
        <f t="shared" si="127"/>
        <v/>
      </c>
      <c r="J1616" s="59" t="str">
        <f t="shared" si="130"/>
        <v/>
      </c>
    </row>
    <row r="1617" spans="4:10" ht="22.5" customHeight="1" x14ac:dyDescent="0.25">
      <c r="D1617" s="59" t="str">
        <f t="shared" si="126"/>
        <v/>
      </c>
      <c r="E1617" s="59" t="str">
        <f t="shared" si="128"/>
        <v/>
      </c>
      <c r="F1617" s="59" t="str">
        <f t="shared" si="129"/>
        <v/>
      </c>
      <c r="G1617" s="59" t="str">
        <f>IF($A1617="","",
   SUMIFS(Transactions!$P:$P,
          Transactions!$G:$G,$A1617,
          Transactions!$C:$C,"IN",
          Transactions!$Q:$Q,"Paid"))</f>
        <v/>
      </c>
      <c r="H1617" s="59" t="str">
        <f>IF($A1617="","",
   SUMIFS(Transactions!$P:$P,
          Transactions!$G:$G,$A1617,
          Transactions!$C:$C,"OUT"))</f>
        <v/>
      </c>
      <c r="I1617" s="65" t="str">
        <f t="shared" si="127"/>
        <v/>
      </c>
      <c r="J1617" s="59" t="str">
        <f t="shared" si="130"/>
        <v/>
      </c>
    </row>
    <row r="1618" spans="4:10" ht="22.5" customHeight="1" x14ac:dyDescent="0.25">
      <c r="D1618" s="59" t="str">
        <f t="shared" si="126"/>
        <v/>
      </c>
      <c r="E1618" s="59" t="str">
        <f t="shared" si="128"/>
        <v/>
      </c>
      <c r="F1618" s="59" t="str">
        <f t="shared" si="129"/>
        <v/>
      </c>
      <c r="G1618" s="59" t="str">
        <f>IF($A1618="","",
   SUMIFS(Transactions!$P:$P,
          Transactions!$G:$G,$A1618,
          Transactions!$C:$C,"IN",
          Transactions!$Q:$Q,"Paid"))</f>
        <v/>
      </c>
      <c r="H1618" s="59" t="str">
        <f>IF($A1618="","",
   SUMIFS(Transactions!$P:$P,
          Transactions!$G:$G,$A1618,
          Transactions!$C:$C,"OUT"))</f>
        <v/>
      </c>
      <c r="I1618" s="65" t="str">
        <f t="shared" si="127"/>
        <v/>
      </c>
      <c r="J1618" s="59" t="str">
        <f t="shared" si="130"/>
        <v/>
      </c>
    </row>
    <row r="1619" spans="4:10" ht="22.5" customHeight="1" x14ac:dyDescent="0.25">
      <c r="D1619" s="59" t="str">
        <f t="shared" si="126"/>
        <v/>
      </c>
      <c r="E1619" s="59" t="str">
        <f t="shared" si="128"/>
        <v/>
      </c>
      <c r="F1619" s="59" t="str">
        <f t="shared" si="129"/>
        <v/>
      </c>
      <c r="G1619" s="59" t="str">
        <f>IF($A1619="","",
   SUMIFS(Transactions!$P:$P,
          Transactions!$G:$G,$A1619,
          Transactions!$C:$C,"IN",
          Transactions!$Q:$Q,"Paid"))</f>
        <v/>
      </c>
      <c r="H1619" s="59" t="str">
        <f>IF($A1619="","",
   SUMIFS(Transactions!$P:$P,
          Transactions!$G:$G,$A1619,
          Transactions!$C:$C,"OUT"))</f>
        <v/>
      </c>
      <c r="I1619" s="65" t="str">
        <f t="shared" si="127"/>
        <v/>
      </c>
      <c r="J1619" s="59" t="str">
        <f t="shared" si="130"/>
        <v/>
      </c>
    </row>
    <row r="1620" spans="4:10" ht="22.5" customHeight="1" x14ac:dyDescent="0.25">
      <c r="D1620" s="59" t="str">
        <f t="shared" si="126"/>
        <v/>
      </c>
      <c r="E1620" s="59" t="str">
        <f t="shared" si="128"/>
        <v/>
      </c>
      <c r="F1620" s="59" t="str">
        <f t="shared" si="129"/>
        <v/>
      </c>
      <c r="G1620" s="59" t="str">
        <f>IF($A1620="","",
   SUMIFS(Transactions!$P:$P,
          Transactions!$G:$G,$A1620,
          Transactions!$C:$C,"IN",
          Transactions!$Q:$Q,"Paid"))</f>
        <v/>
      </c>
      <c r="H1620" s="59" t="str">
        <f>IF($A1620="","",
   SUMIFS(Transactions!$P:$P,
          Transactions!$G:$G,$A1620,
          Transactions!$C:$C,"OUT"))</f>
        <v/>
      </c>
      <c r="I1620" s="65" t="str">
        <f t="shared" si="127"/>
        <v/>
      </c>
      <c r="J1620" s="59" t="str">
        <f t="shared" si="130"/>
        <v/>
      </c>
    </row>
    <row r="1621" spans="4:10" ht="22.5" customHeight="1" x14ac:dyDescent="0.25">
      <c r="D1621" s="59" t="str">
        <f t="shared" si="126"/>
        <v/>
      </c>
      <c r="E1621" s="59" t="str">
        <f t="shared" si="128"/>
        <v/>
      </c>
      <c r="F1621" s="59" t="str">
        <f t="shared" si="129"/>
        <v/>
      </c>
      <c r="G1621" s="59" t="str">
        <f>IF($A1621="","",
   SUMIFS(Transactions!$P:$P,
          Transactions!$G:$G,$A1621,
          Transactions!$C:$C,"IN",
          Transactions!$Q:$Q,"Paid"))</f>
        <v/>
      </c>
      <c r="H1621" s="59" t="str">
        <f>IF($A1621="","",
   SUMIFS(Transactions!$P:$P,
          Transactions!$G:$G,$A1621,
          Transactions!$C:$C,"OUT"))</f>
        <v/>
      </c>
      <c r="I1621" s="65" t="str">
        <f t="shared" si="127"/>
        <v/>
      </c>
      <c r="J1621" s="59" t="str">
        <f t="shared" si="130"/>
        <v/>
      </c>
    </row>
    <row r="1622" spans="4:10" ht="22.5" customHeight="1" x14ac:dyDescent="0.25">
      <c r="D1622" s="59" t="str">
        <f t="shared" si="126"/>
        <v/>
      </c>
      <c r="E1622" s="59" t="str">
        <f t="shared" si="128"/>
        <v/>
      </c>
      <c r="F1622" s="59" t="str">
        <f t="shared" si="129"/>
        <v/>
      </c>
      <c r="G1622" s="59" t="str">
        <f>IF($A1622="","",
   SUMIFS(Transactions!$P:$P,
          Transactions!$G:$G,$A1622,
          Transactions!$C:$C,"IN",
          Transactions!$Q:$Q,"Paid"))</f>
        <v/>
      </c>
      <c r="H1622" s="59" t="str">
        <f>IF($A1622="","",
   SUMIFS(Transactions!$P:$P,
          Transactions!$G:$G,$A1622,
          Transactions!$C:$C,"OUT"))</f>
        <v/>
      </c>
      <c r="I1622" s="65" t="str">
        <f t="shared" si="127"/>
        <v/>
      </c>
      <c r="J1622" s="59" t="str">
        <f t="shared" si="130"/>
        <v/>
      </c>
    </row>
    <row r="1623" spans="4:10" ht="22.5" customHeight="1" x14ac:dyDescent="0.25">
      <c r="D1623" s="59" t="str">
        <f t="shared" si="126"/>
        <v/>
      </c>
      <c r="E1623" s="59" t="str">
        <f t="shared" si="128"/>
        <v/>
      </c>
      <c r="F1623" s="59" t="str">
        <f t="shared" si="129"/>
        <v/>
      </c>
      <c r="G1623" s="59" t="str">
        <f>IF($A1623="","",
   SUMIFS(Transactions!$P:$P,
          Transactions!$G:$G,$A1623,
          Transactions!$C:$C,"IN",
          Transactions!$Q:$Q,"Paid"))</f>
        <v/>
      </c>
      <c r="H1623" s="59" t="str">
        <f>IF($A1623="","",
   SUMIFS(Transactions!$P:$P,
          Transactions!$G:$G,$A1623,
          Transactions!$C:$C,"OUT"))</f>
        <v/>
      </c>
      <c r="I1623" s="65" t="str">
        <f t="shared" si="127"/>
        <v/>
      </c>
      <c r="J1623" s="59" t="str">
        <f t="shared" si="130"/>
        <v/>
      </c>
    </row>
    <row r="1624" spans="4:10" ht="22.5" customHeight="1" x14ac:dyDescent="0.25">
      <c r="D1624" s="59" t="str">
        <f t="shared" si="126"/>
        <v/>
      </c>
      <c r="E1624" s="59" t="str">
        <f t="shared" si="128"/>
        <v/>
      </c>
      <c r="F1624" s="59" t="str">
        <f t="shared" si="129"/>
        <v/>
      </c>
      <c r="G1624" s="59" t="str">
        <f>IF($A1624="","",
   SUMIFS(Transactions!$P:$P,
          Transactions!$G:$G,$A1624,
          Transactions!$C:$C,"IN",
          Transactions!$Q:$Q,"Paid"))</f>
        <v/>
      </c>
      <c r="H1624" s="59" t="str">
        <f>IF($A1624="","",
   SUMIFS(Transactions!$P:$P,
          Transactions!$G:$G,$A1624,
          Transactions!$C:$C,"OUT"))</f>
        <v/>
      </c>
      <c r="I1624" s="65" t="str">
        <f t="shared" si="127"/>
        <v/>
      </c>
      <c r="J1624" s="59" t="str">
        <f t="shared" si="130"/>
        <v/>
      </c>
    </row>
    <row r="1625" spans="4:10" ht="22.5" customHeight="1" x14ac:dyDescent="0.25">
      <c r="D1625" s="59" t="str">
        <f t="shared" si="126"/>
        <v/>
      </c>
      <c r="E1625" s="59" t="str">
        <f t="shared" si="128"/>
        <v/>
      </c>
      <c r="F1625" s="59" t="str">
        <f t="shared" si="129"/>
        <v/>
      </c>
      <c r="G1625" s="59" t="str">
        <f>IF($A1625="","",
   SUMIFS(Transactions!$P:$P,
          Transactions!$G:$G,$A1625,
          Transactions!$C:$C,"IN",
          Transactions!$Q:$Q,"Paid"))</f>
        <v/>
      </c>
      <c r="H1625" s="59" t="str">
        <f>IF($A1625="","",
   SUMIFS(Transactions!$P:$P,
          Transactions!$G:$G,$A1625,
          Transactions!$C:$C,"OUT"))</f>
        <v/>
      </c>
      <c r="I1625" s="65" t="str">
        <f t="shared" si="127"/>
        <v/>
      </c>
      <c r="J1625" s="59" t="str">
        <f t="shared" si="130"/>
        <v/>
      </c>
    </row>
    <row r="1626" spans="4:10" ht="22.5" customHeight="1" x14ac:dyDescent="0.25">
      <c r="D1626" s="59" t="str">
        <f t="shared" si="126"/>
        <v/>
      </c>
      <c r="E1626" s="59" t="str">
        <f t="shared" si="128"/>
        <v/>
      </c>
      <c r="F1626" s="59" t="str">
        <f t="shared" si="129"/>
        <v/>
      </c>
      <c r="G1626" s="59" t="str">
        <f>IF($A1626="","",
   SUMIFS(Transactions!$P:$P,
          Transactions!$G:$G,$A1626,
          Transactions!$C:$C,"IN",
          Transactions!$Q:$Q,"Paid"))</f>
        <v/>
      </c>
      <c r="H1626" s="59" t="str">
        <f>IF($A1626="","",
   SUMIFS(Transactions!$P:$P,
          Transactions!$G:$G,$A1626,
          Transactions!$C:$C,"OUT"))</f>
        <v/>
      </c>
      <c r="I1626" s="65" t="str">
        <f t="shared" si="127"/>
        <v/>
      </c>
      <c r="J1626" s="59" t="str">
        <f t="shared" si="130"/>
        <v/>
      </c>
    </row>
    <row r="1627" spans="4:10" ht="22.5" customHeight="1" x14ac:dyDescent="0.25">
      <c r="D1627" s="59" t="str">
        <f t="shared" si="126"/>
        <v/>
      </c>
      <c r="E1627" s="59" t="str">
        <f t="shared" si="128"/>
        <v/>
      </c>
      <c r="F1627" s="59" t="str">
        <f t="shared" si="129"/>
        <v/>
      </c>
      <c r="G1627" s="59" t="str">
        <f>IF($A1627="","",
   SUMIFS(Transactions!$P:$P,
          Transactions!$G:$G,$A1627,
          Transactions!$C:$C,"IN",
          Transactions!$Q:$Q,"Paid"))</f>
        <v/>
      </c>
      <c r="H1627" s="59" t="str">
        <f>IF($A1627="","",
   SUMIFS(Transactions!$P:$P,
          Transactions!$G:$G,$A1627,
          Transactions!$C:$C,"OUT"))</f>
        <v/>
      </c>
      <c r="I1627" s="65" t="str">
        <f t="shared" si="127"/>
        <v/>
      </c>
      <c r="J1627" s="59" t="str">
        <f t="shared" si="130"/>
        <v/>
      </c>
    </row>
    <row r="1628" spans="4:10" ht="22.5" customHeight="1" x14ac:dyDescent="0.25">
      <c r="D1628" s="59" t="str">
        <f t="shared" si="126"/>
        <v/>
      </c>
      <c r="E1628" s="59" t="str">
        <f t="shared" si="128"/>
        <v/>
      </c>
      <c r="F1628" s="59" t="str">
        <f t="shared" si="129"/>
        <v/>
      </c>
      <c r="G1628" s="59" t="str">
        <f>IF($A1628="","",
   SUMIFS(Transactions!$P:$P,
          Transactions!$G:$G,$A1628,
          Transactions!$C:$C,"IN",
          Transactions!$Q:$Q,"Paid"))</f>
        <v/>
      </c>
      <c r="H1628" s="59" t="str">
        <f>IF($A1628="","",
   SUMIFS(Transactions!$P:$P,
          Transactions!$G:$G,$A1628,
          Transactions!$C:$C,"OUT"))</f>
        <v/>
      </c>
      <c r="I1628" s="65" t="str">
        <f t="shared" si="127"/>
        <v/>
      </c>
      <c r="J1628" s="59" t="str">
        <f t="shared" si="130"/>
        <v/>
      </c>
    </row>
    <row r="1629" spans="4:10" ht="22.5" customHeight="1" x14ac:dyDescent="0.25">
      <c r="D1629" s="59" t="str">
        <f t="shared" si="126"/>
        <v/>
      </c>
      <c r="E1629" s="59" t="str">
        <f t="shared" si="128"/>
        <v/>
      </c>
      <c r="F1629" s="59" t="str">
        <f t="shared" si="129"/>
        <v/>
      </c>
      <c r="G1629" s="59" t="str">
        <f>IF($A1629="","",
   SUMIFS(Transactions!$P:$P,
          Transactions!$G:$G,$A1629,
          Transactions!$C:$C,"IN",
          Transactions!$Q:$Q,"Paid"))</f>
        <v/>
      </c>
      <c r="H1629" s="59" t="str">
        <f>IF($A1629="","",
   SUMIFS(Transactions!$P:$P,
          Transactions!$G:$G,$A1629,
          Transactions!$C:$C,"OUT"))</f>
        <v/>
      </c>
      <c r="I1629" s="65" t="str">
        <f t="shared" si="127"/>
        <v/>
      </c>
      <c r="J1629" s="59" t="str">
        <f t="shared" si="130"/>
        <v/>
      </c>
    </row>
    <row r="1630" spans="4:10" ht="22.5" customHeight="1" x14ac:dyDescent="0.25">
      <c r="D1630" s="59" t="str">
        <f t="shared" si="126"/>
        <v/>
      </c>
      <c r="E1630" s="59" t="str">
        <f t="shared" si="128"/>
        <v/>
      </c>
      <c r="F1630" s="59" t="str">
        <f t="shared" si="129"/>
        <v/>
      </c>
      <c r="G1630" s="59" t="str">
        <f>IF($A1630="","",
   SUMIFS(Transactions!$P:$P,
          Transactions!$G:$G,$A1630,
          Transactions!$C:$C,"IN",
          Transactions!$Q:$Q,"Paid"))</f>
        <v/>
      </c>
      <c r="H1630" s="59" t="str">
        <f>IF($A1630="","",
   SUMIFS(Transactions!$P:$P,
          Transactions!$G:$G,$A1630,
          Transactions!$C:$C,"OUT"))</f>
        <v/>
      </c>
      <c r="I1630" s="65" t="str">
        <f t="shared" si="127"/>
        <v/>
      </c>
      <c r="J1630" s="59" t="str">
        <f t="shared" si="130"/>
        <v/>
      </c>
    </row>
    <row r="1631" spans="4:10" ht="22.5" customHeight="1" x14ac:dyDescent="0.25">
      <c r="D1631" s="59" t="str">
        <f t="shared" si="126"/>
        <v/>
      </c>
      <c r="E1631" s="59" t="str">
        <f t="shared" si="128"/>
        <v/>
      </c>
      <c r="F1631" s="59" t="str">
        <f t="shared" si="129"/>
        <v/>
      </c>
      <c r="G1631" s="59" t="str">
        <f>IF($A1631="","",
   SUMIFS(Transactions!$P:$P,
          Transactions!$G:$G,$A1631,
          Transactions!$C:$C,"IN",
          Transactions!$Q:$Q,"Paid"))</f>
        <v/>
      </c>
      <c r="H1631" s="59" t="str">
        <f>IF($A1631="","",
   SUMIFS(Transactions!$P:$P,
          Transactions!$G:$G,$A1631,
          Transactions!$C:$C,"OUT"))</f>
        <v/>
      </c>
      <c r="I1631" s="65" t="str">
        <f t="shared" si="127"/>
        <v/>
      </c>
      <c r="J1631" s="59" t="str">
        <f t="shared" si="130"/>
        <v/>
      </c>
    </row>
    <row r="1632" spans="4:10" ht="22.5" customHeight="1" x14ac:dyDescent="0.25">
      <c r="D1632" s="59" t="str">
        <f t="shared" si="126"/>
        <v/>
      </c>
      <c r="E1632" s="59" t="str">
        <f t="shared" si="128"/>
        <v/>
      </c>
      <c r="F1632" s="59" t="str">
        <f t="shared" si="129"/>
        <v/>
      </c>
      <c r="G1632" s="59" t="str">
        <f>IF($A1632="","",
   SUMIFS(Transactions!$P:$P,
          Transactions!$G:$G,$A1632,
          Transactions!$C:$C,"IN",
          Transactions!$Q:$Q,"Paid"))</f>
        <v/>
      </c>
      <c r="H1632" s="59" t="str">
        <f>IF($A1632="","",
   SUMIFS(Transactions!$P:$P,
          Transactions!$G:$G,$A1632,
          Transactions!$C:$C,"OUT"))</f>
        <v/>
      </c>
      <c r="I1632" s="65" t="str">
        <f t="shared" si="127"/>
        <v/>
      </c>
      <c r="J1632" s="59" t="str">
        <f t="shared" si="130"/>
        <v/>
      </c>
    </row>
    <row r="1633" spans="4:10" ht="22.5" customHeight="1" x14ac:dyDescent="0.25">
      <c r="D1633" s="59" t="str">
        <f t="shared" si="126"/>
        <v/>
      </c>
      <c r="E1633" s="59" t="str">
        <f t="shared" si="128"/>
        <v/>
      </c>
      <c r="F1633" s="59" t="str">
        <f t="shared" si="129"/>
        <v/>
      </c>
      <c r="G1633" s="59" t="str">
        <f>IF($A1633="","",
   SUMIFS(Transactions!$P:$P,
          Transactions!$G:$G,$A1633,
          Transactions!$C:$C,"IN",
          Transactions!$Q:$Q,"Paid"))</f>
        <v/>
      </c>
      <c r="H1633" s="59" t="str">
        <f>IF($A1633="","",
   SUMIFS(Transactions!$P:$P,
          Transactions!$G:$G,$A1633,
          Transactions!$C:$C,"OUT"))</f>
        <v/>
      </c>
      <c r="I1633" s="65" t="str">
        <f t="shared" si="127"/>
        <v/>
      </c>
      <c r="J1633" s="59" t="str">
        <f t="shared" si="130"/>
        <v/>
      </c>
    </row>
    <row r="1634" spans="4:10" ht="22.5" customHeight="1" x14ac:dyDescent="0.25">
      <c r="D1634" s="59" t="str">
        <f t="shared" si="126"/>
        <v/>
      </c>
      <c r="E1634" s="59" t="str">
        <f t="shared" si="128"/>
        <v/>
      </c>
      <c r="F1634" s="59" t="str">
        <f t="shared" si="129"/>
        <v/>
      </c>
      <c r="G1634" s="59" t="str">
        <f>IF($A1634="","",
   SUMIFS(Transactions!$P:$P,
          Transactions!$G:$G,$A1634,
          Transactions!$C:$C,"IN",
          Transactions!$Q:$Q,"Paid"))</f>
        <v/>
      </c>
      <c r="H1634" s="59" t="str">
        <f>IF($A1634="","",
   SUMIFS(Transactions!$P:$P,
          Transactions!$G:$G,$A1634,
          Transactions!$C:$C,"OUT"))</f>
        <v/>
      </c>
      <c r="I1634" s="65" t="str">
        <f t="shared" si="127"/>
        <v/>
      </c>
      <c r="J1634" s="59" t="str">
        <f t="shared" si="130"/>
        <v/>
      </c>
    </row>
    <row r="1635" spans="4:10" ht="22.5" customHeight="1" x14ac:dyDescent="0.25">
      <c r="D1635" s="59" t="str">
        <f t="shared" si="126"/>
        <v/>
      </c>
      <c r="E1635" s="59" t="str">
        <f t="shared" si="128"/>
        <v/>
      </c>
      <c r="F1635" s="59" t="str">
        <f t="shared" si="129"/>
        <v/>
      </c>
      <c r="G1635" s="59" t="str">
        <f>IF($A1635="","",
   SUMIFS(Transactions!$P:$P,
          Transactions!$G:$G,$A1635,
          Transactions!$C:$C,"IN",
          Transactions!$Q:$Q,"Paid"))</f>
        <v/>
      </c>
      <c r="H1635" s="59" t="str">
        <f>IF($A1635="","",
   SUMIFS(Transactions!$P:$P,
          Transactions!$G:$G,$A1635,
          Transactions!$C:$C,"OUT"))</f>
        <v/>
      </c>
      <c r="I1635" s="65" t="str">
        <f t="shared" si="127"/>
        <v/>
      </c>
      <c r="J1635" s="59" t="str">
        <f t="shared" si="130"/>
        <v/>
      </c>
    </row>
    <row r="1636" spans="4:10" ht="22.5" customHeight="1" x14ac:dyDescent="0.25">
      <c r="D1636" s="59" t="str">
        <f t="shared" si="126"/>
        <v/>
      </c>
      <c r="E1636" s="59" t="str">
        <f t="shared" si="128"/>
        <v/>
      </c>
      <c r="F1636" s="59" t="str">
        <f t="shared" si="129"/>
        <v/>
      </c>
      <c r="G1636" s="59" t="str">
        <f>IF($A1636="","",
   SUMIFS(Transactions!$P:$P,
          Transactions!$G:$G,$A1636,
          Transactions!$C:$C,"IN",
          Transactions!$Q:$Q,"Paid"))</f>
        <v/>
      </c>
      <c r="H1636" s="59" t="str">
        <f>IF($A1636="","",
   SUMIFS(Transactions!$P:$P,
          Transactions!$G:$G,$A1636,
          Transactions!$C:$C,"OUT"))</f>
        <v/>
      </c>
      <c r="I1636" s="65" t="str">
        <f t="shared" si="127"/>
        <v/>
      </c>
      <c r="J1636" s="59" t="str">
        <f t="shared" si="130"/>
        <v/>
      </c>
    </row>
    <row r="1637" spans="4:10" ht="22.5" customHeight="1" x14ac:dyDescent="0.25">
      <c r="D1637" s="59" t="str">
        <f t="shared" si="126"/>
        <v/>
      </c>
      <c r="E1637" s="59" t="str">
        <f t="shared" si="128"/>
        <v/>
      </c>
      <c r="F1637" s="59" t="str">
        <f t="shared" si="129"/>
        <v/>
      </c>
      <c r="G1637" s="59" t="str">
        <f>IF($A1637="","",
   SUMIFS(Transactions!$P:$P,
          Transactions!$G:$G,$A1637,
          Transactions!$C:$C,"IN",
          Transactions!$Q:$Q,"Paid"))</f>
        <v/>
      </c>
      <c r="H1637" s="59" t="str">
        <f>IF($A1637="","",
   SUMIFS(Transactions!$P:$P,
          Transactions!$G:$G,$A1637,
          Transactions!$C:$C,"OUT"))</f>
        <v/>
      </c>
      <c r="I1637" s="65" t="str">
        <f t="shared" si="127"/>
        <v/>
      </c>
      <c r="J1637" s="59" t="str">
        <f t="shared" si="130"/>
        <v/>
      </c>
    </row>
    <row r="1638" spans="4:10" ht="22.5" customHeight="1" x14ac:dyDescent="0.25">
      <c r="D1638" s="59" t="str">
        <f t="shared" si="126"/>
        <v/>
      </c>
      <c r="E1638" s="59" t="str">
        <f t="shared" si="128"/>
        <v/>
      </c>
      <c r="F1638" s="59" t="str">
        <f t="shared" si="129"/>
        <v/>
      </c>
      <c r="G1638" s="59" t="str">
        <f>IF($A1638="","",
   SUMIFS(Transactions!$P:$P,
          Transactions!$G:$G,$A1638,
          Transactions!$C:$C,"IN",
          Transactions!$Q:$Q,"Paid"))</f>
        <v/>
      </c>
      <c r="H1638" s="59" t="str">
        <f>IF($A1638="","",
   SUMIFS(Transactions!$P:$P,
          Transactions!$G:$G,$A1638,
          Transactions!$C:$C,"OUT"))</f>
        <v/>
      </c>
      <c r="I1638" s="65" t="str">
        <f t="shared" si="127"/>
        <v/>
      </c>
      <c r="J1638" s="59" t="str">
        <f t="shared" si="130"/>
        <v/>
      </c>
    </row>
    <row r="1639" spans="4:10" ht="22.5" customHeight="1" x14ac:dyDescent="0.25">
      <c r="D1639" s="59" t="str">
        <f t="shared" si="126"/>
        <v/>
      </c>
      <c r="E1639" s="59" t="str">
        <f t="shared" si="128"/>
        <v/>
      </c>
      <c r="F1639" s="59" t="str">
        <f t="shared" si="129"/>
        <v/>
      </c>
      <c r="G1639" s="59" t="str">
        <f>IF($A1639="","",
   SUMIFS(Transactions!$P:$P,
          Transactions!$G:$G,$A1639,
          Transactions!$C:$C,"IN",
          Transactions!$Q:$Q,"Paid"))</f>
        <v/>
      </c>
      <c r="H1639" s="59" t="str">
        <f>IF($A1639="","",
   SUMIFS(Transactions!$P:$P,
          Transactions!$G:$G,$A1639,
          Transactions!$C:$C,"OUT"))</f>
        <v/>
      </c>
      <c r="I1639" s="65" t="str">
        <f t="shared" si="127"/>
        <v/>
      </c>
      <c r="J1639" s="59" t="str">
        <f t="shared" si="130"/>
        <v/>
      </c>
    </row>
    <row r="1640" spans="4:10" ht="22.5" customHeight="1" x14ac:dyDescent="0.25">
      <c r="D1640" s="59" t="str">
        <f t="shared" si="126"/>
        <v/>
      </c>
      <c r="E1640" s="59" t="str">
        <f t="shared" si="128"/>
        <v/>
      </c>
      <c r="F1640" s="59" t="str">
        <f t="shared" si="129"/>
        <v/>
      </c>
      <c r="G1640" s="59" t="str">
        <f>IF($A1640="","",
   SUMIFS(Transactions!$P:$P,
          Transactions!$G:$G,$A1640,
          Transactions!$C:$C,"IN",
          Transactions!$Q:$Q,"Paid"))</f>
        <v/>
      </c>
      <c r="H1640" s="59" t="str">
        <f>IF($A1640="","",
   SUMIFS(Transactions!$P:$P,
          Transactions!$G:$G,$A1640,
          Transactions!$C:$C,"OUT"))</f>
        <v/>
      </c>
      <c r="I1640" s="65" t="str">
        <f t="shared" si="127"/>
        <v/>
      </c>
      <c r="J1640" s="59" t="str">
        <f t="shared" si="130"/>
        <v/>
      </c>
    </row>
    <row r="1641" spans="4:10" ht="22.5" customHeight="1" x14ac:dyDescent="0.25">
      <c r="D1641" s="59" t="str">
        <f t="shared" si="126"/>
        <v/>
      </c>
      <c r="E1641" s="59" t="str">
        <f t="shared" si="128"/>
        <v/>
      </c>
      <c r="F1641" s="59" t="str">
        <f t="shared" si="129"/>
        <v/>
      </c>
      <c r="G1641" s="59" t="str">
        <f>IF($A1641="","",
   SUMIFS(Transactions!$P:$P,
          Transactions!$G:$G,$A1641,
          Transactions!$C:$C,"IN",
          Transactions!$Q:$Q,"Paid"))</f>
        <v/>
      </c>
      <c r="H1641" s="59" t="str">
        <f>IF($A1641="","",
   SUMIFS(Transactions!$P:$P,
          Transactions!$G:$G,$A1641,
          Transactions!$C:$C,"OUT"))</f>
        <v/>
      </c>
      <c r="I1641" s="65" t="str">
        <f t="shared" si="127"/>
        <v/>
      </c>
      <c r="J1641" s="59" t="str">
        <f t="shared" si="130"/>
        <v/>
      </c>
    </row>
    <row r="1642" spans="4:10" ht="22.5" customHeight="1" x14ac:dyDescent="0.25">
      <c r="D1642" s="59" t="str">
        <f t="shared" si="126"/>
        <v/>
      </c>
      <c r="E1642" s="59" t="str">
        <f t="shared" si="128"/>
        <v/>
      </c>
      <c r="F1642" s="59" t="str">
        <f t="shared" si="129"/>
        <v/>
      </c>
      <c r="G1642" s="59" t="str">
        <f>IF($A1642="","",
   SUMIFS(Transactions!$P:$P,
          Transactions!$G:$G,$A1642,
          Transactions!$C:$C,"IN",
          Transactions!$Q:$Q,"Paid"))</f>
        <v/>
      </c>
      <c r="H1642" s="59" t="str">
        <f>IF($A1642="","",
   SUMIFS(Transactions!$P:$P,
          Transactions!$G:$G,$A1642,
          Transactions!$C:$C,"OUT"))</f>
        <v/>
      </c>
      <c r="I1642" s="65" t="str">
        <f t="shared" si="127"/>
        <v/>
      </c>
      <c r="J1642" s="59" t="str">
        <f t="shared" si="130"/>
        <v/>
      </c>
    </row>
    <row r="1643" spans="4:10" ht="22.5" customHeight="1" x14ac:dyDescent="0.25">
      <c r="D1643" s="59" t="str">
        <f t="shared" si="126"/>
        <v/>
      </c>
      <c r="E1643" s="59" t="str">
        <f t="shared" si="128"/>
        <v/>
      </c>
      <c r="F1643" s="59" t="str">
        <f t="shared" si="129"/>
        <v/>
      </c>
      <c r="G1643" s="59" t="str">
        <f>IF($A1643="","",
   SUMIFS(Transactions!$P:$P,
          Transactions!$G:$G,$A1643,
          Transactions!$C:$C,"IN",
          Transactions!$Q:$Q,"Paid"))</f>
        <v/>
      </c>
      <c r="H1643" s="59" t="str">
        <f>IF($A1643="","",
   SUMIFS(Transactions!$P:$P,
          Transactions!$G:$G,$A1643,
          Transactions!$C:$C,"OUT"))</f>
        <v/>
      </c>
      <c r="I1643" s="65" t="str">
        <f t="shared" si="127"/>
        <v/>
      </c>
      <c r="J1643" s="59" t="str">
        <f t="shared" si="130"/>
        <v/>
      </c>
    </row>
    <row r="1644" spans="4:10" ht="22.5" customHeight="1" x14ac:dyDescent="0.25">
      <c r="D1644" s="59" t="str">
        <f t="shared" si="126"/>
        <v/>
      </c>
      <c r="E1644" s="59" t="str">
        <f t="shared" si="128"/>
        <v/>
      </c>
      <c r="F1644" s="59" t="str">
        <f t="shared" si="129"/>
        <v/>
      </c>
      <c r="G1644" s="59" t="str">
        <f>IF($A1644="","",
   SUMIFS(Transactions!$P:$P,
          Transactions!$G:$G,$A1644,
          Transactions!$C:$C,"IN",
          Transactions!$Q:$Q,"Paid"))</f>
        <v/>
      </c>
      <c r="H1644" s="59" t="str">
        <f>IF($A1644="","",
   SUMIFS(Transactions!$P:$P,
          Transactions!$G:$G,$A1644,
          Transactions!$C:$C,"OUT"))</f>
        <v/>
      </c>
      <c r="I1644" s="65" t="str">
        <f t="shared" si="127"/>
        <v/>
      </c>
      <c r="J1644" s="59" t="str">
        <f t="shared" si="130"/>
        <v/>
      </c>
    </row>
    <row r="1645" spans="4:10" ht="22.5" customHeight="1" x14ac:dyDescent="0.25">
      <c r="D1645" s="59" t="str">
        <f t="shared" si="126"/>
        <v/>
      </c>
      <c r="E1645" s="59" t="str">
        <f t="shared" si="128"/>
        <v/>
      </c>
      <c r="F1645" s="59" t="str">
        <f t="shared" si="129"/>
        <v/>
      </c>
      <c r="G1645" s="59" t="str">
        <f>IF($A1645="","",
   SUMIFS(Transactions!$P:$P,
          Transactions!$G:$G,$A1645,
          Transactions!$C:$C,"IN",
          Transactions!$Q:$Q,"Paid"))</f>
        <v/>
      </c>
      <c r="H1645" s="59" t="str">
        <f>IF($A1645="","",
   SUMIFS(Transactions!$P:$P,
          Transactions!$G:$G,$A1645,
          Transactions!$C:$C,"OUT"))</f>
        <v/>
      </c>
      <c r="I1645" s="65" t="str">
        <f t="shared" si="127"/>
        <v/>
      </c>
      <c r="J1645" s="59" t="str">
        <f t="shared" si="130"/>
        <v/>
      </c>
    </row>
    <row r="1646" spans="4:10" ht="22.5" customHeight="1" x14ac:dyDescent="0.25">
      <c r="D1646" s="59" t="str">
        <f t="shared" si="126"/>
        <v/>
      </c>
      <c r="E1646" s="59" t="str">
        <f t="shared" si="128"/>
        <v/>
      </c>
      <c r="F1646" s="59" t="str">
        <f t="shared" si="129"/>
        <v/>
      </c>
      <c r="G1646" s="59" t="str">
        <f>IF($A1646="","",
   SUMIFS(Transactions!$P:$P,
          Transactions!$G:$G,$A1646,
          Transactions!$C:$C,"IN",
          Transactions!$Q:$Q,"Paid"))</f>
        <v/>
      </c>
      <c r="H1646" s="59" t="str">
        <f>IF($A1646="","",
   SUMIFS(Transactions!$P:$P,
          Transactions!$G:$G,$A1646,
          Transactions!$C:$C,"OUT"))</f>
        <v/>
      </c>
      <c r="I1646" s="65" t="str">
        <f t="shared" si="127"/>
        <v/>
      </c>
      <c r="J1646" s="59" t="str">
        <f t="shared" si="130"/>
        <v/>
      </c>
    </row>
    <row r="1647" spans="4:10" ht="22.5" customHeight="1" x14ac:dyDescent="0.25">
      <c r="D1647" s="59" t="str">
        <f t="shared" si="126"/>
        <v/>
      </c>
      <c r="E1647" s="59" t="str">
        <f t="shared" si="128"/>
        <v/>
      </c>
      <c r="F1647" s="59" t="str">
        <f t="shared" si="129"/>
        <v/>
      </c>
      <c r="G1647" s="59" t="str">
        <f>IF($A1647="","",
   SUMIFS(Transactions!$P:$P,
          Transactions!$G:$G,$A1647,
          Transactions!$C:$C,"IN",
          Transactions!$Q:$Q,"Paid"))</f>
        <v/>
      </c>
      <c r="H1647" s="59" t="str">
        <f>IF($A1647="","",
   SUMIFS(Transactions!$P:$P,
          Transactions!$G:$G,$A1647,
          Transactions!$C:$C,"OUT"))</f>
        <v/>
      </c>
      <c r="I1647" s="65" t="str">
        <f t="shared" si="127"/>
        <v/>
      </c>
      <c r="J1647" s="59" t="str">
        <f t="shared" si="130"/>
        <v/>
      </c>
    </row>
    <row r="1648" spans="4:10" ht="22.5" customHeight="1" x14ac:dyDescent="0.25">
      <c r="D1648" s="59" t="str">
        <f t="shared" si="126"/>
        <v/>
      </c>
      <c r="E1648" s="59" t="str">
        <f t="shared" si="128"/>
        <v/>
      </c>
      <c r="F1648" s="59" t="str">
        <f t="shared" si="129"/>
        <v/>
      </c>
      <c r="G1648" s="59" t="str">
        <f>IF($A1648="","",
   SUMIFS(Transactions!$P:$P,
          Transactions!$G:$G,$A1648,
          Transactions!$C:$C,"IN",
          Transactions!$Q:$Q,"Paid"))</f>
        <v/>
      </c>
      <c r="H1648" s="59" t="str">
        <f>IF($A1648="","",
   SUMIFS(Transactions!$P:$P,
          Transactions!$G:$G,$A1648,
          Transactions!$C:$C,"OUT"))</f>
        <v/>
      </c>
      <c r="I1648" s="65" t="str">
        <f t="shared" si="127"/>
        <v/>
      </c>
      <c r="J1648" s="59" t="str">
        <f t="shared" si="130"/>
        <v/>
      </c>
    </row>
    <row r="1649" spans="4:10" ht="22.5" customHeight="1" x14ac:dyDescent="0.25">
      <c r="D1649" s="59" t="str">
        <f t="shared" si="126"/>
        <v/>
      </c>
      <c r="E1649" s="59" t="str">
        <f t="shared" si="128"/>
        <v/>
      </c>
      <c r="F1649" s="59" t="str">
        <f t="shared" si="129"/>
        <v/>
      </c>
      <c r="G1649" s="59" t="str">
        <f>IF($A1649="","",
   SUMIFS(Transactions!$P:$P,
          Transactions!$G:$G,$A1649,
          Transactions!$C:$C,"IN",
          Transactions!$Q:$Q,"Paid"))</f>
        <v/>
      </c>
      <c r="H1649" s="59" t="str">
        <f>IF($A1649="","",
   SUMIFS(Transactions!$P:$P,
          Transactions!$G:$G,$A1649,
          Transactions!$C:$C,"OUT"))</f>
        <v/>
      </c>
      <c r="I1649" s="65" t="str">
        <f t="shared" si="127"/>
        <v/>
      </c>
      <c r="J1649" s="59" t="str">
        <f t="shared" si="130"/>
        <v/>
      </c>
    </row>
    <row r="1650" spans="4:10" ht="22.5" customHeight="1" x14ac:dyDescent="0.25">
      <c r="D1650" s="59" t="str">
        <f t="shared" si="126"/>
        <v/>
      </c>
      <c r="E1650" s="59" t="str">
        <f t="shared" si="128"/>
        <v/>
      </c>
      <c r="F1650" s="59" t="str">
        <f t="shared" si="129"/>
        <v/>
      </c>
      <c r="G1650" s="59" t="str">
        <f>IF($A1650="","",
   SUMIFS(Transactions!$P:$P,
          Transactions!$G:$G,$A1650,
          Transactions!$C:$C,"IN",
          Transactions!$Q:$Q,"Paid"))</f>
        <v/>
      </c>
      <c r="H1650" s="59" t="str">
        <f>IF($A1650="","",
   SUMIFS(Transactions!$P:$P,
          Transactions!$G:$G,$A1650,
          Transactions!$C:$C,"OUT"))</f>
        <v/>
      </c>
      <c r="I1650" s="65" t="str">
        <f t="shared" si="127"/>
        <v/>
      </c>
      <c r="J1650" s="59" t="str">
        <f t="shared" si="130"/>
        <v/>
      </c>
    </row>
    <row r="1651" spans="4:10" ht="22.5" customHeight="1" x14ac:dyDescent="0.25">
      <c r="D1651" s="59" t="str">
        <f t="shared" si="126"/>
        <v/>
      </c>
      <c r="E1651" s="59" t="str">
        <f t="shared" si="128"/>
        <v/>
      </c>
      <c r="F1651" s="59" t="str">
        <f t="shared" si="129"/>
        <v/>
      </c>
      <c r="G1651" s="59" t="str">
        <f>IF($A1651="","",
   SUMIFS(Transactions!$P:$P,
          Transactions!$G:$G,$A1651,
          Transactions!$C:$C,"IN",
          Transactions!$Q:$Q,"Paid"))</f>
        <v/>
      </c>
      <c r="H1651" s="59" t="str">
        <f>IF($A1651="","",
   SUMIFS(Transactions!$P:$P,
          Transactions!$G:$G,$A1651,
          Transactions!$C:$C,"OUT"))</f>
        <v/>
      </c>
      <c r="I1651" s="65" t="str">
        <f t="shared" si="127"/>
        <v/>
      </c>
      <c r="J1651" s="59" t="str">
        <f t="shared" si="130"/>
        <v/>
      </c>
    </row>
    <row r="1652" spans="4:10" ht="22.5" customHeight="1" x14ac:dyDescent="0.25">
      <c r="D1652" s="59" t="str">
        <f t="shared" si="126"/>
        <v/>
      </c>
      <c r="E1652" s="59" t="str">
        <f t="shared" si="128"/>
        <v/>
      </c>
      <c r="F1652" s="59" t="str">
        <f t="shared" si="129"/>
        <v/>
      </c>
      <c r="G1652" s="59" t="str">
        <f>IF($A1652="","",
   SUMIFS(Transactions!$P:$P,
          Transactions!$G:$G,$A1652,
          Transactions!$C:$C,"IN",
          Transactions!$Q:$Q,"Paid"))</f>
        <v/>
      </c>
      <c r="H1652" s="59" t="str">
        <f>IF($A1652="","",
   SUMIFS(Transactions!$P:$P,
          Transactions!$G:$G,$A1652,
          Transactions!$C:$C,"OUT"))</f>
        <v/>
      </c>
      <c r="I1652" s="65" t="str">
        <f t="shared" si="127"/>
        <v/>
      </c>
      <c r="J1652" s="59" t="str">
        <f t="shared" si="130"/>
        <v/>
      </c>
    </row>
    <row r="1653" spans="4:10" ht="22.5" customHeight="1" x14ac:dyDescent="0.25">
      <c r="D1653" s="59" t="str">
        <f t="shared" si="126"/>
        <v/>
      </c>
      <c r="E1653" s="59" t="str">
        <f t="shared" si="128"/>
        <v/>
      </c>
      <c r="F1653" s="59" t="str">
        <f t="shared" si="129"/>
        <v/>
      </c>
      <c r="G1653" s="59" t="str">
        <f>IF($A1653="","",
   SUMIFS(Transactions!$P:$P,
          Transactions!$G:$G,$A1653,
          Transactions!$C:$C,"IN",
          Transactions!$Q:$Q,"Paid"))</f>
        <v/>
      </c>
      <c r="H1653" s="59" t="str">
        <f>IF($A1653="","",
   SUMIFS(Transactions!$P:$P,
          Transactions!$G:$G,$A1653,
          Transactions!$C:$C,"OUT"))</f>
        <v/>
      </c>
      <c r="I1653" s="65" t="str">
        <f t="shared" si="127"/>
        <v/>
      </c>
      <c r="J1653" s="59" t="str">
        <f t="shared" si="130"/>
        <v/>
      </c>
    </row>
    <row r="1654" spans="4:10" ht="22.5" customHeight="1" x14ac:dyDescent="0.25">
      <c r="D1654" s="59" t="str">
        <f t="shared" si="126"/>
        <v/>
      </c>
      <c r="E1654" s="59" t="str">
        <f t="shared" si="128"/>
        <v/>
      </c>
      <c r="F1654" s="59" t="str">
        <f t="shared" si="129"/>
        <v/>
      </c>
      <c r="G1654" s="59" t="str">
        <f>IF($A1654="","",
   SUMIFS(Transactions!$P:$P,
          Transactions!$G:$G,$A1654,
          Transactions!$C:$C,"IN",
          Transactions!$Q:$Q,"Paid"))</f>
        <v/>
      </c>
      <c r="H1654" s="59" t="str">
        <f>IF($A1654="","",
   SUMIFS(Transactions!$P:$P,
          Transactions!$G:$G,$A1654,
          Transactions!$C:$C,"OUT"))</f>
        <v/>
      </c>
      <c r="I1654" s="65" t="str">
        <f t="shared" si="127"/>
        <v/>
      </c>
      <c r="J1654" s="59" t="str">
        <f t="shared" si="130"/>
        <v/>
      </c>
    </row>
    <row r="1655" spans="4:10" ht="22.5" customHeight="1" x14ac:dyDescent="0.25">
      <c r="D1655" s="59" t="str">
        <f t="shared" si="126"/>
        <v/>
      </c>
      <c r="E1655" s="59" t="str">
        <f t="shared" si="128"/>
        <v/>
      </c>
      <c r="F1655" s="59" t="str">
        <f t="shared" si="129"/>
        <v/>
      </c>
      <c r="G1655" s="59" t="str">
        <f>IF($A1655="","",
   SUMIFS(Transactions!$P:$P,
          Transactions!$G:$G,$A1655,
          Transactions!$C:$C,"IN",
          Transactions!$Q:$Q,"Paid"))</f>
        <v/>
      </c>
      <c r="H1655" s="59" t="str">
        <f>IF($A1655="","",
   SUMIFS(Transactions!$P:$P,
          Transactions!$G:$G,$A1655,
          Transactions!$C:$C,"OUT"))</f>
        <v/>
      </c>
      <c r="I1655" s="65" t="str">
        <f t="shared" si="127"/>
        <v/>
      </c>
      <c r="J1655" s="59" t="str">
        <f t="shared" si="130"/>
        <v/>
      </c>
    </row>
    <row r="1656" spans="4:10" ht="22.5" customHeight="1" x14ac:dyDescent="0.25">
      <c r="D1656" s="59" t="str">
        <f t="shared" si="126"/>
        <v/>
      </c>
      <c r="E1656" s="59" t="str">
        <f t="shared" si="128"/>
        <v/>
      </c>
      <c r="F1656" s="59" t="str">
        <f t="shared" si="129"/>
        <v/>
      </c>
      <c r="G1656" s="59" t="str">
        <f>IF($A1656="","",
   SUMIFS(Transactions!$P:$P,
          Transactions!$G:$G,$A1656,
          Transactions!$C:$C,"IN",
          Transactions!$Q:$Q,"Paid"))</f>
        <v/>
      </c>
      <c r="H1656" s="59" t="str">
        <f>IF($A1656="","",
   SUMIFS(Transactions!$P:$P,
          Transactions!$G:$G,$A1656,
          Transactions!$C:$C,"OUT"))</f>
        <v/>
      </c>
      <c r="I1656" s="65" t="str">
        <f t="shared" si="127"/>
        <v/>
      </c>
      <c r="J1656" s="59" t="str">
        <f t="shared" si="130"/>
        <v/>
      </c>
    </row>
    <row r="1657" spans="4:10" ht="22.5" customHeight="1" x14ac:dyDescent="0.25">
      <c r="D1657" s="59" t="str">
        <f t="shared" si="126"/>
        <v/>
      </c>
      <c r="E1657" s="59" t="str">
        <f t="shared" si="128"/>
        <v/>
      </c>
      <c r="F1657" s="59" t="str">
        <f t="shared" si="129"/>
        <v/>
      </c>
      <c r="G1657" s="59" t="str">
        <f>IF($A1657="","",
   SUMIFS(Transactions!$P:$P,
          Transactions!$G:$G,$A1657,
          Transactions!$C:$C,"IN",
          Transactions!$Q:$Q,"Paid"))</f>
        <v/>
      </c>
      <c r="H1657" s="59" t="str">
        <f>IF($A1657="","",
   SUMIFS(Transactions!$P:$P,
          Transactions!$G:$G,$A1657,
          Transactions!$C:$C,"OUT"))</f>
        <v/>
      </c>
      <c r="I1657" s="65" t="str">
        <f t="shared" si="127"/>
        <v/>
      </c>
      <c r="J1657" s="59" t="str">
        <f t="shared" si="130"/>
        <v/>
      </c>
    </row>
    <row r="1658" spans="4:10" ht="22.5" customHeight="1" x14ac:dyDescent="0.25">
      <c r="D1658" s="59" t="str">
        <f t="shared" si="126"/>
        <v/>
      </c>
      <c r="E1658" s="59" t="str">
        <f t="shared" si="128"/>
        <v/>
      </c>
      <c r="F1658" s="59" t="str">
        <f t="shared" si="129"/>
        <v/>
      </c>
      <c r="G1658" s="59" t="str">
        <f>IF($A1658="","",
   SUMIFS(Transactions!$P:$P,
          Transactions!$G:$G,$A1658,
          Transactions!$C:$C,"IN",
          Transactions!$Q:$Q,"Paid"))</f>
        <v/>
      </c>
      <c r="H1658" s="59" t="str">
        <f>IF($A1658="","",
   SUMIFS(Transactions!$P:$P,
          Transactions!$G:$G,$A1658,
          Transactions!$C:$C,"OUT"))</f>
        <v/>
      </c>
      <c r="I1658" s="65" t="str">
        <f t="shared" si="127"/>
        <v/>
      </c>
      <c r="J1658" s="59" t="str">
        <f t="shared" si="130"/>
        <v/>
      </c>
    </row>
    <row r="1659" spans="4:10" ht="22.5" customHeight="1" x14ac:dyDescent="0.25">
      <c r="D1659" s="59" t="str">
        <f t="shared" si="126"/>
        <v/>
      </c>
      <c r="E1659" s="59" t="str">
        <f t="shared" si="128"/>
        <v/>
      </c>
      <c r="F1659" s="59" t="str">
        <f t="shared" si="129"/>
        <v/>
      </c>
      <c r="G1659" s="59" t="str">
        <f>IF($A1659="","",
   SUMIFS(Transactions!$P:$P,
          Transactions!$G:$G,$A1659,
          Transactions!$C:$C,"IN",
          Transactions!$Q:$Q,"Paid"))</f>
        <v/>
      </c>
      <c r="H1659" s="59" t="str">
        <f>IF($A1659="","",
   SUMIFS(Transactions!$P:$P,
          Transactions!$G:$G,$A1659,
          Transactions!$C:$C,"OUT"))</f>
        <v/>
      </c>
      <c r="I1659" s="65" t="str">
        <f t="shared" si="127"/>
        <v/>
      </c>
      <c r="J1659" s="59" t="str">
        <f t="shared" si="130"/>
        <v/>
      </c>
    </row>
    <row r="1660" spans="4:10" ht="22.5" customHeight="1" x14ac:dyDescent="0.25">
      <c r="D1660" s="59" t="str">
        <f t="shared" si="126"/>
        <v/>
      </c>
      <c r="E1660" s="59" t="str">
        <f t="shared" si="128"/>
        <v/>
      </c>
      <c r="F1660" s="59" t="str">
        <f t="shared" si="129"/>
        <v/>
      </c>
      <c r="G1660" s="59" t="str">
        <f>IF($A1660="","",
   SUMIFS(Transactions!$P:$P,
          Transactions!$G:$G,$A1660,
          Transactions!$C:$C,"IN",
          Transactions!$Q:$Q,"Paid"))</f>
        <v/>
      </c>
      <c r="H1660" s="59" t="str">
        <f>IF($A1660="","",
   SUMIFS(Transactions!$P:$P,
          Transactions!$G:$G,$A1660,
          Transactions!$C:$C,"OUT"))</f>
        <v/>
      </c>
      <c r="I1660" s="65" t="str">
        <f t="shared" si="127"/>
        <v/>
      </c>
      <c r="J1660" s="59" t="str">
        <f t="shared" si="130"/>
        <v/>
      </c>
    </row>
    <row r="1661" spans="4:10" ht="22.5" customHeight="1" x14ac:dyDescent="0.25">
      <c r="D1661" s="59" t="str">
        <f t="shared" si="126"/>
        <v/>
      </c>
      <c r="E1661" s="59" t="str">
        <f t="shared" si="128"/>
        <v/>
      </c>
      <c r="F1661" s="59" t="str">
        <f t="shared" si="129"/>
        <v/>
      </c>
      <c r="G1661" s="59" t="str">
        <f>IF($A1661="","",
   SUMIFS(Transactions!$P:$P,
          Transactions!$G:$G,$A1661,
          Transactions!$C:$C,"IN",
          Transactions!$Q:$Q,"Paid"))</f>
        <v/>
      </c>
      <c r="H1661" s="59" t="str">
        <f>IF($A1661="","",
   SUMIFS(Transactions!$P:$P,
          Transactions!$G:$G,$A1661,
          Transactions!$C:$C,"OUT"))</f>
        <v/>
      </c>
      <c r="I1661" s="65" t="str">
        <f t="shared" si="127"/>
        <v/>
      </c>
      <c r="J1661" s="59" t="str">
        <f t="shared" si="130"/>
        <v/>
      </c>
    </row>
    <row r="1662" spans="4:10" ht="22.5" customHeight="1" x14ac:dyDescent="0.25">
      <c r="D1662" s="59" t="str">
        <f t="shared" si="126"/>
        <v/>
      </c>
      <c r="E1662" s="59" t="str">
        <f t="shared" si="128"/>
        <v/>
      </c>
      <c r="F1662" s="59" t="str">
        <f t="shared" si="129"/>
        <v/>
      </c>
      <c r="G1662" s="59" t="str">
        <f>IF($A1662="","",
   SUMIFS(Transactions!$P:$P,
          Transactions!$G:$G,$A1662,
          Transactions!$C:$C,"IN",
          Transactions!$Q:$Q,"Paid"))</f>
        <v/>
      </c>
      <c r="H1662" s="59" t="str">
        <f>IF($A1662="","",
   SUMIFS(Transactions!$P:$P,
          Transactions!$G:$G,$A1662,
          Transactions!$C:$C,"OUT"))</f>
        <v/>
      </c>
      <c r="I1662" s="65" t="str">
        <f t="shared" si="127"/>
        <v/>
      </c>
      <c r="J1662" s="59" t="str">
        <f t="shared" si="130"/>
        <v/>
      </c>
    </row>
    <row r="1663" spans="4:10" ht="22.5" customHeight="1" x14ac:dyDescent="0.25">
      <c r="D1663" s="59" t="str">
        <f t="shared" si="126"/>
        <v/>
      </c>
      <c r="E1663" s="59" t="str">
        <f t="shared" si="128"/>
        <v/>
      </c>
      <c r="F1663" s="59" t="str">
        <f t="shared" si="129"/>
        <v/>
      </c>
      <c r="G1663" s="59" t="str">
        <f>IF($A1663="","",
   SUMIFS(Transactions!$P:$P,
          Transactions!$G:$G,$A1663,
          Transactions!$C:$C,"IN",
          Transactions!$Q:$Q,"Paid"))</f>
        <v/>
      </c>
      <c r="H1663" s="59" t="str">
        <f>IF($A1663="","",
   SUMIFS(Transactions!$P:$P,
          Transactions!$G:$G,$A1663,
          Transactions!$C:$C,"OUT"))</f>
        <v/>
      </c>
      <c r="I1663" s="65" t="str">
        <f t="shared" si="127"/>
        <v/>
      </c>
      <c r="J1663" s="59" t="str">
        <f t="shared" si="130"/>
        <v/>
      </c>
    </row>
    <row r="1664" spans="4:10" ht="22.5" customHeight="1" x14ac:dyDescent="0.25">
      <c r="D1664" s="59" t="str">
        <f t="shared" si="126"/>
        <v/>
      </c>
      <c r="E1664" s="59" t="str">
        <f t="shared" si="128"/>
        <v/>
      </c>
      <c r="F1664" s="59" t="str">
        <f t="shared" si="129"/>
        <v/>
      </c>
      <c r="G1664" s="59" t="str">
        <f>IF($A1664="","",
   SUMIFS(Transactions!$P:$P,
          Transactions!$G:$G,$A1664,
          Transactions!$C:$C,"IN",
          Transactions!$Q:$Q,"Paid"))</f>
        <v/>
      </c>
      <c r="H1664" s="59" t="str">
        <f>IF($A1664="","",
   SUMIFS(Transactions!$P:$P,
          Transactions!$G:$G,$A1664,
          Transactions!$C:$C,"OUT"))</f>
        <v/>
      </c>
      <c r="I1664" s="65" t="str">
        <f t="shared" si="127"/>
        <v/>
      </c>
      <c r="J1664" s="59" t="str">
        <f t="shared" si="130"/>
        <v/>
      </c>
    </row>
    <row r="1665" spans="4:10" ht="22.5" customHeight="1" x14ac:dyDescent="0.25">
      <c r="D1665" s="59" t="str">
        <f t="shared" si="126"/>
        <v/>
      </c>
      <c r="E1665" s="59" t="str">
        <f t="shared" si="128"/>
        <v/>
      </c>
      <c r="F1665" s="59" t="str">
        <f t="shared" si="129"/>
        <v/>
      </c>
      <c r="G1665" s="59" t="str">
        <f>IF($A1665="","",
   SUMIFS(Transactions!$P:$P,
          Transactions!$G:$G,$A1665,
          Transactions!$C:$C,"IN",
          Transactions!$Q:$Q,"Paid"))</f>
        <v/>
      </c>
      <c r="H1665" s="59" t="str">
        <f>IF($A1665="","",
   SUMIFS(Transactions!$P:$P,
          Transactions!$G:$G,$A1665,
          Transactions!$C:$C,"OUT"))</f>
        <v/>
      </c>
      <c r="I1665" s="65" t="str">
        <f t="shared" si="127"/>
        <v/>
      </c>
      <c r="J1665" s="59" t="str">
        <f t="shared" si="130"/>
        <v/>
      </c>
    </row>
    <row r="1666" spans="4:10" ht="22.5" customHeight="1" x14ac:dyDescent="0.25">
      <c r="D1666" s="59" t="str">
        <f t="shared" si="126"/>
        <v/>
      </c>
      <c r="E1666" s="59" t="str">
        <f t="shared" si="128"/>
        <v/>
      </c>
      <c r="F1666" s="59" t="str">
        <f t="shared" si="129"/>
        <v/>
      </c>
      <c r="G1666" s="59" t="str">
        <f>IF($A1666="","",
   SUMIFS(Transactions!$P:$P,
          Transactions!$G:$G,$A1666,
          Transactions!$C:$C,"IN",
          Transactions!$Q:$Q,"Paid"))</f>
        <v/>
      </c>
      <c r="H1666" s="59" t="str">
        <f>IF($A1666="","",
   SUMIFS(Transactions!$P:$P,
          Transactions!$G:$G,$A1666,
          Transactions!$C:$C,"OUT"))</f>
        <v/>
      </c>
      <c r="I1666" s="65" t="str">
        <f t="shared" si="127"/>
        <v/>
      </c>
      <c r="J1666" s="59" t="str">
        <f t="shared" si="130"/>
        <v/>
      </c>
    </row>
    <row r="1667" spans="4:10" ht="22.5" customHeight="1" x14ac:dyDescent="0.25">
      <c r="D1667" s="59" t="str">
        <f t="shared" ref="D1667:D1730" si="131">IF(C1667="","",ROUND(C1667*0.15,2))</f>
        <v/>
      </c>
      <c r="E1667" s="59" t="str">
        <f t="shared" si="128"/>
        <v/>
      </c>
      <c r="F1667" s="59" t="str">
        <f t="shared" si="129"/>
        <v/>
      </c>
      <c r="G1667" s="59" t="str">
        <f>IF($A1667="","",
   SUMIFS(Transactions!$P:$P,
          Transactions!$G:$G,$A1667,
          Transactions!$C:$C,"IN",
          Transactions!$Q:$Q,"Paid"))</f>
        <v/>
      </c>
      <c r="H1667" s="59" t="str">
        <f>IF($A1667="","",
   SUMIFS(Transactions!$P:$P,
          Transactions!$G:$G,$A1667,
          Transactions!$C:$C,"OUT"))</f>
        <v/>
      </c>
      <c r="I1667" s="65" t="str">
        <f t="shared" ref="I1667:I1730" si="132">IF(C1667="","",C1667-H1667)</f>
        <v/>
      </c>
      <c r="J1667" s="59" t="str">
        <f t="shared" si="130"/>
        <v/>
      </c>
    </row>
    <row r="1668" spans="4:10" ht="22.5" customHeight="1" x14ac:dyDescent="0.25">
      <c r="D1668" s="59" t="str">
        <f t="shared" si="131"/>
        <v/>
      </c>
      <c r="E1668" s="59" t="str">
        <f t="shared" ref="E1668:E1731" si="133">IF(C1668="","",C1668+D1668)</f>
        <v/>
      </c>
      <c r="F1668" s="59" t="str">
        <f t="shared" ref="F1668:F1731" si="134">IF(E1668="","",E1668*0.5)</f>
        <v/>
      </c>
      <c r="G1668" s="59" t="str">
        <f>IF($A1668="","",
   SUMIFS(Transactions!$P:$P,
          Transactions!$G:$G,$A1668,
          Transactions!$C:$C,"IN",
          Transactions!$Q:$Q,"Paid"))</f>
        <v/>
      </c>
      <c r="H1668" s="59" t="str">
        <f>IF($A1668="","",
   SUMIFS(Transactions!$P:$P,
          Transactions!$G:$G,$A1668,
          Transactions!$C:$C,"OUT"))</f>
        <v/>
      </c>
      <c r="I1668" s="65" t="str">
        <f t="shared" si="132"/>
        <v/>
      </c>
      <c r="J1668" s="59" t="str">
        <f t="shared" ref="J1668:J1731" si="135">IF(E1668="","",E1668-G1668)</f>
        <v/>
      </c>
    </row>
    <row r="1669" spans="4:10" ht="22.5" customHeight="1" x14ac:dyDescent="0.25">
      <c r="D1669" s="59" t="str">
        <f t="shared" si="131"/>
        <v/>
      </c>
      <c r="E1669" s="59" t="str">
        <f t="shared" si="133"/>
        <v/>
      </c>
      <c r="F1669" s="59" t="str">
        <f t="shared" si="134"/>
        <v/>
      </c>
      <c r="G1669" s="59" t="str">
        <f>IF($A1669="","",
   SUMIFS(Transactions!$P:$P,
          Transactions!$G:$G,$A1669,
          Transactions!$C:$C,"IN",
          Transactions!$Q:$Q,"Paid"))</f>
        <v/>
      </c>
      <c r="H1669" s="59" t="str">
        <f>IF($A1669="","",
   SUMIFS(Transactions!$P:$P,
          Transactions!$G:$G,$A1669,
          Transactions!$C:$C,"OUT"))</f>
        <v/>
      </c>
      <c r="I1669" s="65" t="str">
        <f t="shared" si="132"/>
        <v/>
      </c>
      <c r="J1669" s="59" t="str">
        <f t="shared" si="135"/>
        <v/>
      </c>
    </row>
    <row r="1670" spans="4:10" ht="22.5" customHeight="1" x14ac:dyDescent="0.25">
      <c r="D1670" s="59" t="str">
        <f t="shared" si="131"/>
        <v/>
      </c>
      <c r="E1670" s="59" t="str">
        <f t="shared" si="133"/>
        <v/>
      </c>
      <c r="F1670" s="59" t="str">
        <f t="shared" si="134"/>
        <v/>
      </c>
      <c r="G1670" s="59" t="str">
        <f>IF($A1670="","",
   SUMIFS(Transactions!$P:$P,
          Transactions!$G:$G,$A1670,
          Transactions!$C:$C,"IN",
          Transactions!$Q:$Q,"Paid"))</f>
        <v/>
      </c>
      <c r="H1670" s="59" t="str">
        <f>IF($A1670="","",
   SUMIFS(Transactions!$P:$P,
          Transactions!$G:$G,$A1670,
          Transactions!$C:$C,"OUT"))</f>
        <v/>
      </c>
      <c r="I1670" s="65" t="str">
        <f t="shared" si="132"/>
        <v/>
      </c>
      <c r="J1670" s="59" t="str">
        <f t="shared" si="135"/>
        <v/>
      </c>
    </row>
    <row r="1671" spans="4:10" ht="22.5" customHeight="1" x14ac:dyDescent="0.25">
      <c r="D1671" s="59" t="str">
        <f t="shared" si="131"/>
        <v/>
      </c>
      <c r="E1671" s="59" t="str">
        <f t="shared" si="133"/>
        <v/>
      </c>
      <c r="F1671" s="59" t="str">
        <f t="shared" si="134"/>
        <v/>
      </c>
      <c r="G1671" s="59" t="str">
        <f>IF($A1671="","",
   SUMIFS(Transactions!$P:$P,
          Transactions!$G:$G,$A1671,
          Transactions!$C:$C,"IN",
          Transactions!$Q:$Q,"Paid"))</f>
        <v/>
      </c>
      <c r="H1671" s="59" t="str">
        <f>IF($A1671="","",
   SUMIFS(Transactions!$P:$P,
          Transactions!$G:$G,$A1671,
          Transactions!$C:$C,"OUT"))</f>
        <v/>
      </c>
      <c r="I1671" s="65" t="str">
        <f t="shared" si="132"/>
        <v/>
      </c>
      <c r="J1671" s="59" t="str">
        <f t="shared" si="135"/>
        <v/>
      </c>
    </row>
    <row r="1672" spans="4:10" ht="22.5" customHeight="1" x14ac:dyDescent="0.25">
      <c r="D1672" s="59" t="str">
        <f t="shared" si="131"/>
        <v/>
      </c>
      <c r="E1672" s="59" t="str">
        <f t="shared" si="133"/>
        <v/>
      </c>
      <c r="F1672" s="59" t="str">
        <f t="shared" si="134"/>
        <v/>
      </c>
      <c r="G1672" s="59" t="str">
        <f>IF($A1672="","",
   SUMIFS(Transactions!$P:$P,
          Transactions!$G:$G,$A1672,
          Transactions!$C:$C,"IN",
          Transactions!$Q:$Q,"Paid"))</f>
        <v/>
      </c>
      <c r="H1672" s="59" t="str">
        <f>IF($A1672="","",
   SUMIFS(Transactions!$P:$P,
          Transactions!$G:$G,$A1672,
          Transactions!$C:$C,"OUT"))</f>
        <v/>
      </c>
      <c r="I1672" s="65" t="str">
        <f t="shared" si="132"/>
        <v/>
      </c>
      <c r="J1672" s="59" t="str">
        <f t="shared" si="135"/>
        <v/>
      </c>
    </row>
    <row r="1673" spans="4:10" ht="22.5" customHeight="1" x14ac:dyDescent="0.25">
      <c r="D1673" s="59" t="str">
        <f t="shared" si="131"/>
        <v/>
      </c>
      <c r="E1673" s="59" t="str">
        <f t="shared" si="133"/>
        <v/>
      </c>
      <c r="F1673" s="59" t="str">
        <f t="shared" si="134"/>
        <v/>
      </c>
      <c r="G1673" s="59" t="str">
        <f>IF($A1673="","",
   SUMIFS(Transactions!$P:$P,
          Transactions!$G:$G,$A1673,
          Transactions!$C:$C,"IN",
          Transactions!$Q:$Q,"Paid"))</f>
        <v/>
      </c>
      <c r="H1673" s="59" t="str">
        <f>IF($A1673="","",
   SUMIFS(Transactions!$P:$P,
          Transactions!$G:$G,$A1673,
          Transactions!$C:$C,"OUT"))</f>
        <v/>
      </c>
      <c r="I1673" s="65" t="str">
        <f t="shared" si="132"/>
        <v/>
      </c>
      <c r="J1673" s="59" t="str">
        <f t="shared" si="135"/>
        <v/>
      </c>
    </row>
    <row r="1674" spans="4:10" ht="22.5" customHeight="1" x14ac:dyDescent="0.25">
      <c r="D1674" s="59" t="str">
        <f t="shared" si="131"/>
        <v/>
      </c>
      <c r="E1674" s="59" t="str">
        <f t="shared" si="133"/>
        <v/>
      </c>
      <c r="F1674" s="59" t="str">
        <f t="shared" si="134"/>
        <v/>
      </c>
      <c r="G1674" s="59" t="str">
        <f>IF($A1674="","",
   SUMIFS(Transactions!$P:$P,
          Transactions!$G:$G,$A1674,
          Transactions!$C:$C,"IN",
          Transactions!$Q:$Q,"Paid"))</f>
        <v/>
      </c>
      <c r="H1674" s="59" t="str">
        <f>IF($A1674="","",
   SUMIFS(Transactions!$P:$P,
          Transactions!$G:$G,$A1674,
          Transactions!$C:$C,"OUT"))</f>
        <v/>
      </c>
      <c r="I1674" s="65" t="str">
        <f t="shared" si="132"/>
        <v/>
      </c>
      <c r="J1674" s="59" t="str">
        <f t="shared" si="135"/>
        <v/>
      </c>
    </row>
    <row r="1675" spans="4:10" ht="22.5" customHeight="1" x14ac:dyDescent="0.25">
      <c r="D1675" s="59" t="str">
        <f t="shared" si="131"/>
        <v/>
      </c>
      <c r="E1675" s="59" t="str">
        <f t="shared" si="133"/>
        <v/>
      </c>
      <c r="F1675" s="59" t="str">
        <f t="shared" si="134"/>
        <v/>
      </c>
      <c r="G1675" s="59" t="str">
        <f>IF($A1675="","",
   SUMIFS(Transactions!$P:$P,
          Transactions!$G:$G,$A1675,
          Transactions!$C:$C,"IN",
          Transactions!$Q:$Q,"Paid"))</f>
        <v/>
      </c>
      <c r="H1675" s="59" t="str">
        <f>IF($A1675="","",
   SUMIFS(Transactions!$P:$P,
          Transactions!$G:$G,$A1675,
          Transactions!$C:$C,"OUT"))</f>
        <v/>
      </c>
      <c r="I1675" s="65" t="str">
        <f t="shared" si="132"/>
        <v/>
      </c>
      <c r="J1675" s="59" t="str">
        <f t="shared" si="135"/>
        <v/>
      </c>
    </row>
    <row r="1676" spans="4:10" ht="22.5" customHeight="1" x14ac:dyDescent="0.25">
      <c r="D1676" s="59" t="str">
        <f t="shared" si="131"/>
        <v/>
      </c>
      <c r="E1676" s="59" t="str">
        <f t="shared" si="133"/>
        <v/>
      </c>
      <c r="F1676" s="59" t="str">
        <f t="shared" si="134"/>
        <v/>
      </c>
      <c r="G1676" s="59" t="str">
        <f>IF($A1676="","",
   SUMIFS(Transactions!$P:$P,
          Transactions!$G:$G,$A1676,
          Transactions!$C:$C,"IN",
          Transactions!$Q:$Q,"Paid"))</f>
        <v/>
      </c>
      <c r="H1676" s="59" t="str">
        <f>IF($A1676="","",
   SUMIFS(Transactions!$P:$P,
          Transactions!$G:$G,$A1676,
          Transactions!$C:$C,"OUT"))</f>
        <v/>
      </c>
      <c r="I1676" s="65" t="str">
        <f t="shared" si="132"/>
        <v/>
      </c>
      <c r="J1676" s="59" t="str">
        <f t="shared" si="135"/>
        <v/>
      </c>
    </row>
    <row r="1677" spans="4:10" ht="22.5" customHeight="1" x14ac:dyDescent="0.25">
      <c r="D1677" s="59" t="str">
        <f t="shared" si="131"/>
        <v/>
      </c>
      <c r="E1677" s="59" t="str">
        <f t="shared" si="133"/>
        <v/>
      </c>
      <c r="F1677" s="59" t="str">
        <f t="shared" si="134"/>
        <v/>
      </c>
      <c r="G1677" s="59" t="str">
        <f>IF($A1677="","",
   SUMIFS(Transactions!$P:$P,
          Transactions!$G:$G,$A1677,
          Transactions!$C:$C,"IN",
          Transactions!$Q:$Q,"Paid"))</f>
        <v/>
      </c>
      <c r="H1677" s="59" t="str">
        <f>IF($A1677="","",
   SUMIFS(Transactions!$P:$P,
          Transactions!$G:$G,$A1677,
          Transactions!$C:$C,"OUT"))</f>
        <v/>
      </c>
      <c r="I1677" s="65" t="str">
        <f t="shared" si="132"/>
        <v/>
      </c>
      <c r="J1677" s="59" t="str">
        <f t="shared" si="135"/>
        <v/>
      </c>
    </row>
    <row r="1678" spans="4:10" ht="22.5" customHeight="1" x14ac:dyDescent="0.25">
      <c r="D1678" s="59" t="str">
        <f t="shared" si="131"/>
        <v/>
      </c>
      <c r="E1678" s="59" t="str">
        <f t="shared" si="133"/>
        <v/>
      </c>
      <c r="F1678" s="59" t="str">
        <f t="shared" si="134"/>
        <v/>
      </c>
      <c r="G1678" s="59" t="str">
        <f>IF($A1678="","",
   SUMIFS(Transactions!$P:$P,
          Transactions!$G:$G,$A1678,
          Transactions!$C:$C,"IN",
          Transactions!$Q:$Q,"Paid"))</f>
        <v/>
      </c>
      <c r="H1678" s="59" t="str">
        <f>IF($A1678="","",
   SUMIFS(Transactions!$P:$P,
          Transactions!$G:$G,$A1678,
          Transactions!$C:$C,"OUT"))</f>
        <v/>
      </c>
      <c r="I1678" s="65" t="str">
        <f t="shared" si="132"/>
        <v/>
      </c>
      <c r="J1678" s="59" t="str">
        <f t="shared" si="135"/>
        <v/>
      </c>
    </row>
    <row r="1679" spans="4:10" ht="22.5" customHeight="1" x14ac:dyDescent="0.25">
      <c r="D1679" s="59" t="str">
        <f t="shared" si="131"/>
        <v/>
      </c>
      <c r="E1679" s="59" t="str">
        <f t="shared" si="133"/>
        <v/>
      </c>
      <c r="F1679" s="59" t="str">
        <f t="shared" si="134"/>
        <v/>
      </c>
      <c r="G1679" s="59" t="str">
        <f>IF($A1679="","",
   SUMIFS(Transactions!$P:$P,
          Transactions!$G:$G,$A1679,
          Transactions!$C:$C,"IN",
          Transactions!$Q:$Q,"Paid"))</f>
        <v/>
      </c>
      <c r="H1679" s="59" t="str">
        <f>IF($A1679="","",
   SUMIFS(Transactions!$P:$P,
          Transactions!$G:$G,$A1679,
          Transactions!$C:$C,"OUT"))</f>
        <v/>
      </c>
      <c r="I1679" s="65" t="str">
        <f t="shared" si="132"/>
        <v/>
      </c>
      <c r="J1679" s="59" t="str">
        <f t="shared" si="135"/>
        <v/>
      </c>
    </row>
    <row r="1680" spans="4:10" ht="22.5" customHeight="1" x14ac:dyDescent="0.25">
      <c r="D1680" s="59" t="str">
        <f t="shared" si="131"/>
        <v/>
      </c>
      <c r="E1680" s="59" t="str">
        <f t="shared" si="133"/>
        <v/>
      </c>
      <c r="F1680" s="59" t="str">
        <f t="shared" si="134"/>
        <v/>
      </c>
      <c r="G1680" s="59" t="str">
        <f>IF($A1680="","",
   SUMIFS(Transactions!$P:$P,
          Transactions!$G:$G,$A1680,
          Transactions!$C:$C,"IN",
          Transactions!$Q:$Q,"Paid"))</f>
        <v/>
      </c>
      <c r="H1680" s="59" t="str">
        <f>IF($A1680="","",
   SUMIFS(Transactions!$P:$P,
          Transactions!$G:$G,$A1680,
          Transactions!$C:$C,"OUT"))</f>
        <v/>
      </c>
      <c r="I1680" s="65" t="str">
        <f t="shared" si="132"/>
        <v/>
      </c>
      <c r="J1680" s="59" t="str">
        <f t="shared" si="135"/>
        <v/>
      </c>
    </row>
    <row r="1681" spans="4:10" ht="22.5" customHeight="1" x14ac:dyDescent="0.25">
      <c r="D1681" s="59" t="str">
        <f t="shared" si="131"/>
        <v/>
      </c>
      <c r="E1681" s="59" t="str">
        <f t="shared" si="133"/>
        <v/>
      </c>
      <c r="F1681" s="59" t="str">
        <f t="shared" si="134"/>
        <v/>
      </c>
      <c r="G1681" s="59" t="str">
        <f>IF($A1681="","",
   SUMIFS(Transactions!$P:$P,
          Transactions!$G:$G,$A1681,
          Transactions!$C:$C,"IN",
          Transactions!$Q:$Q,"Paid"))</f>
        <v/>
      </c>
      <c r="H1681" s="59" t="str">
        <f>IF($A1681="","",
   SUMIFS(Transactions!$P:$P,
          Transactions!$G:$G,$A1681,
          Transactions!$C:$C,"OUT"))</f>
        <v/>
      </c>
      <c r="I1681" s="65" t="str">
        <f t="shared" si="132"/>
        <v/>
      </c>
      <c r="J1681" s="59" t="str">
        <f t="shared" si="135"/>
        <v/>
      </c>
    </row>
    <row r="1682" spans="4:10" ht="22.5" customHeight="1" x14ac:dyDescent="0.25">
      <c r="D1682" s="59" t="str">
        <f t="shared" si="131"/>
        <v/>
      </c>
      <c r="E1682" s="59" t="str">
        <f t="shared" si="133"/>
        <v/>
      </c>
      <c r="F1682" s="59" t="str">
        <f t="shared" si="134"/>
        <v/>
      </c>
      <c r="G1682" s="59" t="str">
        <f>IF($A1682="","",
   SUMIFS(Transactions!$P:$P,
          Transactions!$G:$G,$A1682,
          Transactions!$C:$C,"IN",
          Transactions!$Q:$Q,"Paid"))</f>
        <v/>
      </c>
      <c r="H1682" s="59" t="str">
        <f>IF($A1682="","",
   SUMIFS(Transactions!$P:$P,
          Transactions!$G:$G,$A1682,
          Transactions!$C:$C,"OUT"))</f>
        <v/>
      </c>
      <c r="I1682" s="65" t="str">
        <f t="shared" si="132"/>
        <v/>
      </c>
      <c r="J1682" s="59" t="str">
        <f t="shared" si="135"/>
        <v/>
      </c>
    </row>
    <row r="1683" spans="4:10" ht="22.5" customHeight="1" x14ac:dyDescent="0.25">
      <c r="D1683" s="59" t="str">
        <f t="shared" si="131"/>
        <v/>
      </c>
      <c r="E1683" s="59" t="str">
        <f t="shared" si="133"/>
        <v/>
      </c>
      <c r="F1683" s="59" t="str">
        <f t="shared" si="134"/>
        <v/>
      </c>
      <c r="G1683" s="59" t="str">
        <f>IF($A1683="","",
   SUMIFS(Transactions!$P:$P,
          Transactions!$G:$G,$A1683,
          Transactions!$C:$C,"IN",
          Transactions!$Q:$Q,"Paid"))</f>
        <v/>
      </c>
      <c r="H1683" s="59" t="str">
        <f>IF($A1683="","",
   SUMIFS(Transactions!$P:$P,
          Transactions!$G:$G,$A1683,
          Transactions!$C:$C,"OUT"))</f>
        <v/>
      </c>
      <c r="I1683" s="65" t="str">
        <f t="shared" si="132"/>
        <v/>
      </c>
      <c r="J1683" s="59" t="str">
        <f t="shared" si="135"/>
        <v/>
      </c>
    </row>
    <row r="1684" spans="4:10" ht="22.5" customHeight="1" x14ac:dyDescent="0.25">
      <c r="D1684" s="59" t="str">
        <f t="shared" si="131"/>
        <v/>
      </c>
      <c r="E1684" s="59" t="str">
        <f t="shared" si="133"/>
        <v/>
      </c>
      <c r="F1684" s="59" t="str">
        <f t="shared" si="134"/>
        <v/>
      </c>
      <c r="G1684" s="59" t="str">
        <f>IF($A1684="","",
   SUMIFS(Transactions!$P:$P,
          Transactions!$G:$G,$A1684,
          Transactions!$C:$C,"IN",
          Transactions!$Q:$Q,"Paid"))</f>
        <v/>
      </c>
      <c r="H1684" s="59" t="str">
        <f>IF($A1684="","",
   SUMIFS(Transactions!$P:$P,
          Transactions!$G:$G,$A1684,
          Transactions!$C:$C,"OUT"))</f>
        <v/>
      </c>
      <c r="I1684" s="65" t="str">
        <f t="shared" si="132"/>
        <v/>
      </c>
      <c r="J1684" s="59" t="str">
        <f t="shared" si="135"/>
        <v/>
      </c>
    </row>
    <row r="1685" spans="4:10" ht="22.5" customHeight="1" x14ac:dyDescent="0.25">
      <c r="D1685" s="59" t="str">
        <f t="shared" si="131"/>
        <v/>
      </c>
      <c r="E1685" s="59" t="str">
        <f t="shared" si="133"/>
        <v/>
      </c>
      <c r="F1685" s="59" t="str">
        <f t="shared" si="134"/>
        <v/>
      </c>
      <c r="G1685" s="59" t="str">
        <f>IF($A1685="","",
   SUMIFS(Transactions!$P:$P,
          Transactions!$G:$G,$A1685,
          Transactions!$C:$C,"IN",
          Transactions!$Q:$Q,"Paid"))</f>
        <v/>
      </c>
      <c r="H1685" s="59" t="str">
        <f>IF($A1685="","",
   SUMIFS(Transactions!$P:$P,
          Transactions!$G:$G,$A1685,
          Transactions!$C:$C,"OUT"))</f>
        <v/>
      </c>
      <c r="I1685" s="65" t="str">
        <f t="shared" si="132"/>
        <v/>
      </c>
      <c r="J1685" s="59" t="str">
        <f t="shared" si="135"/>
        <v/>
      </c>
    </row>
    <row r="1686" spans="4:10" ht="22.5" customHeight="1" x14ac:dyDescent="0.25">
      <c r="D1686" s="59" t="str">
        <f t="shared" si="131"/>
        <v/>
      </c>
      <c r="E1686" s="59" t="str">
        <f t="shared" si="133"/>
        <v/>
      </c>
      <c r="F1686" s="59" t="str">
        <f t="shared" si="134"/>
        <v/>
      </c>
      <c r="G1686" s="59" t="str">
        <f>IF($A1686="","",
   SUMIFS(Transactions!$P:$P,
          Transactions!$G:$G,$A1686,
          Transactions!$C:$C,"IN",
          Transactions!$Q:$Q,"Paid"))</f>
        <v/>
      </c>
      <c r="H1686" s="59" t="str">
        <f>IF($A1686="","",
   SUMIFS(Transactions!$P:$P,
          Transactions!$G:$G,$A1686,
          Transactions!$C:$C,"OUT"))</f>
        <v/>
      </c>
      <c r="I1686" s="65" t="str">
        <f t="shared" si="132"/>
        <v/>
      </c>
      <c r="J1686" s="59" t="str">
        <f t="shared" si="135"/>
        <v/>
      </c>
    </row>
    <row r="1687" spans="4:10" ht="22.5" customHeight="1" x14ac:dyDescent="0.25">
      <c r="D1687" s="59" t="str">
        <f t="shared" si="131"/>
        <v/>
      </c>
      <c r="E1687" s="59" t="str">
        <f t="shared" si="133"/>
        <v/>
      </c>
      <c r="F1687" s="59" t="str">
        <f t="shared" si="134"/>
        <v/>
      </c>
      <c r="G1687" s="59" t="str">
        <f>IF($A1687="","",
   SUMIFS(Transactions!$P:$P,
          Transactions!$G:$G,$A1687,
          Transactions!$C:$C,"IN",
          Transactions!$Q:$Q,"Paid"))</f>
        <v/>
      </c>
      <c r="H1687" s="59" t="str">
        <f>IF($A1687="","",
   SUMIFS(Transactions!$P:$P,
          Transactions!$G:$G,$A1687,
          Transactions!$C:$C,"OUT"))</f>
        <v/>
      </c>
      <c r="I1687" s="65" t="str">
        <f t="shared" si="132"/>
        <v/>
      </c>
      <c r="J1687" s="59" t="str">
        <f t="shared" si="135"/>
        <v/>
      </c>
    </row>
    <row r="1688" spans="4:10" ht="22.5" customHeight="1" x14ac:dyDescent="0.25">
      <c r="D1688" s="59" t="str">
        <f t="shared" si="131"/>
        <v/>
      </c>
      <c r="E1688" s="59" t="str">
        <f t="shared" si="133"/>
        <v/>
      </c>
      <c r="F1688" s="59" t="str">
        <f t="shared" si="134"/>
        <v/>
      </c>
      <c r="G1688" s="59" t="str">
        <f>IF($A1688="","",
   SUMIFS(Transactions!$P:$P,
          Transactions!$G:$G,$A1688,
          Transactions!$C:$C,"IN",
          Transactions!$Q:$Q,"Paid"))</f>
        <v/>
      </c>
      <c r="H1688" s="59" t="str">
        <f>IF($A1688="","",
   SUMIFS(Transactions!$P:$P,
          Transactions!$G:$G,$A1688,
          Transactions!$C:$C,"OUT"))</f>
        <v/>
      </c>
      <c r="I1688" s="65" t="str">
        <f t="shared" si="132"/>
        <v/>
      </c>
      <c r="J1688" s="59" t="str">
        <f t="shared" si="135"/>
        <v/>
      </c>
    </row>
    <row r="1689" spans="4:10" ht="22.5" customHeight="1" x14ac:dyDescent="0.25">
      <c r="D1689" s="59" t="str">
        <f t="shared" si="131"/>
        <v/>
      </c>
      <c r="E1689" s="59" t="str">
        <f t="shared" si="133"/>
        <v/>
      </c>
      <c r="F1689" s="59" t="str">
        <f t="shared" si="134"/>
        <v/>
      </c>
      <c r="G1689" s="59" t="str">
        <f>IF($A1689="","",
   SUMIFS(Transactions!$P:$P,
          Transactions!$G:$G,$A1689,
          Transactions!$C:$C,"IN",
          Transactions!$Q:$Q,"Paid"))</f>
        <v/>
      </c>
      <c r="H1689" s="59" t="str">
        <f>IF($A1689="","",
   SUMIFS(Transactions!$P:$P,
          Transactions!$G:$G,$A1689,
          Transactions!$C:$C,"OUT"))</f>
        <v/>
      </c>
      <c r="I1689" s="65" t="str">
        <f t="shared" si="132"/>
        <v/>
      </c>
      <c r="J1689" s="59" t="str">
        <f t="shared" si="135"/>
        <v/>
      </c>
    </row>
    <row r="1690" spans="4:10" ht="22.5" customHeight="1" x14ac:dyDescent="0.25">
      <c r="D1690" s="59" t="str">
        <f t="shared" si="131"/>
        <v/>
      </c>
      <c r="E1690" s="59" t="str">
        <f t="shared" si="133"/>
        <v/>
      </c>
      <c r="F1690" s="59" t="str">
        <f t="shared" si="134"/>
        <v/>
      </c>
      <c r="G1690" s="59" t="str">
        <f>IF($A1690="","",
   SUMIFS(Transactions!$P:$P,
          Transactions!$G:$G,$A1690,
          Transactions!$C:$C,"IN",
          Transactions!$Q:$Q,"Paid"))</f>
        <v/>
      </c>
      <c r="H1690" s="59" t="str">
        <f>IF($A1690="","",
   SUMIFS(Transactions!$P:$P,
          Transactions!$G:$G,$A1690,
          Transactions!$C:$C,"OUT"))</f>
        <v/>
      </c>
      <c r="I1690" s="65" t="str">
        <f t="shared" si="132"/>
        <v/>
      </c>
      <c r="J1690" s="59" t="str">
        <f t="shared" si="135"/>
        <v/>
      </c>
    </row>
    <row r="1691" spans="4:10" ht="22.5" customHeight="1" x14ac:dyDescent="0.25">
      <c r="D1691" s="59" t="str">
        <f t="shared" si="131"/>
        <v/>
      </c>
      <c r="E1691" s="59" t="str">
        <f t="shared" si="133"/>
        <v/>
      </c>
      <c r="F1691" s="59" t="str">
        <f t="shared" si="134"/>
        <v/>
      </c>
      <c r="G1691" s="59" t="str">
        <f>IF($A1691="","",
   SUMIFS(Transactions!$P:$P,
          Transactions!$G:$G,$A1691,
          Transactions!$C:$C,"IN",
          Transactions!$Q:$Q,"Paid"))</f>
        <v/>
      </c>
      <c r="H1691" s="59" t="str">
        <f>IF($A1691="","",
   SUMIFS(Transactions!$P:$P,
          Transactions!$G:$G,$A1691,
          Transactions!$C:$C,"OUT"))</f>
        <v/>
      </c>
      <c r="I1691" s="65" t="str">
        <f t="shared" si="132"/>
        <v/>
      </c>
      <c r="J1691" s="59" t="str">
        <f t="shared" si="135"/>
        <v/>
      </c>
    </row>
    <row r="1692" spans="4:10" ht="22.5" customHeight="1" x14ac:dyDescent="0.25">
      <c r="D1692" s="59" t="str">
        <f t="shared" si="131"/>
        <v/>
      </c>
      <c r="E1692" s="59" t="str">
        <f t="shared" si="133"/>
        <v/>
      </c>
      <c r="F1692" s="59" t="str">
        <f t="shared" si="134"/>
        <v/>
      </c>
      <c r="G1692" s="59" t="str">
        <f>IF($A1692="","",
   SUMIFS(Transactions!$P:$P,
          Transactions!$G:$G,$A1692,
          Transactions!$C:$C,"IN",
          Transactions!$Q:$Q,"Paid"))</f>
        <v/>
      </c>
      <c r="H1692" s="59" t="str">
        <f>IF($A1692="","",
   SUMIFS(Transactions!$P:$P,
          Transactions!$G:$G,$A1692,
          Transactions!$C:$C,"OUT"))</f>
        <v/>
      </c>
      <c r="I1692" s="65" t="str">
        <f t="shared" si="132"/>
        <v/>
      </c>
      <c r="J1692" s="59" t="str">
        <f t="shared" si="135"/>
        <v/>
      </c>
    </row>
    <row r="1693" spans="4:10" ht="22.5" customHeight="1" x14ac:dyDescent="0.25">
      <c r="D1693" s="59" t="str">
        <f t="shared" si="131"/>
        <v/>
      </c>
      <c r="E1693" s="59" t="str">
        <f t="shared" si="133"/>
        <v/>
      </c>
      <c r="F1693" s="59" t="str">
        <f t="shared" si="134"/>
        <v/>
      </c>
      <c r="G1693" s="59" t="str">
        <f>IF($A1693="","",
   SUMIFS(Transactions!$P:$P,
          Transactions!$G:$G,$A1693,
          Transactions!$C:$C,"IN",
          Transactions!$Q:$Q,"Paid"))</f>
        <v/>
      </c>
      <c r="H1693" s="59" t="str">
        <f>IF($A1693="","",
   SUMIFS(Transactions!$P:$P,
          Transactions!$G:$G,$A1693,
          Transactions!$C:$C,"OUT"))</f>
        <v/>
      </c>
      <c r="I1693" s="65" t="str">
        <f t="shared" si="132"/>
        <v/>
      </c>
      <c r="J1693" s="59" t="str">
        <f t="shared" si="135"/>
        <v/>
      </c>
    </row>
    <row r="1694" spans="4:10" ht="22.5" customHeight="1" x14ac:dyDescent="0.25">
      <c r="D1694" s="59" t="str">
        <f t="shared" si="131"/>
        <v/>
      </c>
      <c r="E1694" s="59" t="str">
        <f t="shared" si="133"/>
        <v/>
      </c>
      <c r="F1694" s="59" t="str">
        <f t="shared" si="134"/>
        <v/>
      </c>
      <c r="G1694" s="59" t="str">
        <f>IF($A1694="","",
   SUMIFS(Transactions!$P:$P,
          Transactions!$G:$G,$A1694,
          Transactions!$C:$C,"IN",
          Transactions!$Q:$Q,"Paid"))</f>
        <v/>
      </c>
      <c r="H1694" s="59" t="str">
        <f>IF($A1694="","",
   SUMIFS(Transactions!$P:$P,
          Transactions!$G:$G,$A1694,
          Transactions!$C:$C,"OUT"))</f>
        <v/>
      </c>
      <c r="I1694" s="65" t="str">
        <f t="shared" si="132"/>
        <v/>
      </c>
      <c r="J1694" s="59" t="str">
        <f t="shared" si="135"/>
        <v/>
      </c>
    </row>
    <row r="1695" spans="4:10" ht="22.5" customHeight="1" x14ac:dyDescent="0.25">
      <c r="D1695" s="59" t="str">
        <f t="shared" si="131"/>
        <v/>
      </c>
      <c r="E1695" s="59" t="str">
        <f t="shared" si="133"/>
        <v/>
      </c>
      <c r="F1695" s="59" t="str">
        <f t="shared" si="134"/>
        <v/>
      </c>
      <c r="G1695" s="59" t="str">
        <f>IF($A1695="","",
   SUMIFS(Transactions!$P:$P,
          Transactions!$G:$G,$A1695,
          Transactions!$C:$C,"IN",
          Transactions!$Q:$Q,"Paid"))</f>
        <v/>
      </c>
      <c r="H1695" s="59" t="str">
        <f>IF($A1695="","",
   SUMIFS(Transactions!$P:$P,
          Transactions!$G:$G,$A1695,
          Transactions!$C:$C,"OUT"))</f>
        <v/>
      </c>
      <c r="I1695" s="65" t="str">
        <f t="shared" si="132"/>
        <v/>
      </c>
      <c r="J1695" s="59" t="str">
        <f t="shared" si="135"/>
        <v/>
      </c>
    </row>
    <row r="1696" spans="4:10" ht="22.5" customHeight="1" x14ac:dyDescent="0.25">
      <c r="D1696" s="59" t="str">
        <f t="shared" si="131"/>
        <v/>
      </c>
      <c r="E1696" s="59" t="str">
        <f t="shared" si="133"/>
        <v/>
      </c>
      <c r="F1696" s="59" t="str">
        <f t="shared" si="134"/>
        <v/>
      </c>
      <c r="G1696" s="59" t="str">
        <f>IF($A1696="","",
   SUMIFS(Transactions!$P:$P,
          Transactions!$G:$G,$A1696,
          Transactions!$C:$C,"IN",
          Transactions!$Q:$Q,"Paid"))</f>
        <v/>
      </c>
      <c r="H1696" s="59" t="str">
        <f>IF($A1696="","",
   SUMIFS(Transactions!$P:$P,
          Transactions!$G:$G,$A1696,
          Transactions!$C:$C,"OUT"))</f>
        <v/>
      </c>
      <c r="I1696" s="65" t="str">
        <f t="shared" si="132"/>
        <v/>
      </c>
      <c r="J1696" s="59" t="str">
        <f t="shared" si="135"/>
        <v/>
      </c>
    </row>
    <row r="1697" spans="4:10" ht="22.5" customHeight="1" x14ac:dyDescent="0.25">
      <c r="D1697" s="59" t="str">
        <f t="shared" si="131"/>
        <v/>
      </c>
      <c r="E1697" s="59" t="str">
        <f t="shared" si="133"/>
        <v/>
      </c>
      <c r="F1697" s="59" t="str">
        <f t="shared" si="134"/>
        <v/>
      </c>
      <c r="G1697" s="59" t="str">
        <f>IF($A1697="","",
   SUMIFS(Transactions!$P:$P,
          Transactions!$G:$G,$A1697,
          Transactions!$C:$C,"IN",
          Transactions!$Q:$Q,"Paid"))</f>
        <v/>
      </c>
      <c r="H1697" s="59" t="str">
        <f>IF($A1697="","",
   SUMIFS(Transactions!$P:$P,
          Transactions!$G:$G,$A1697,
          Transactions!$C:$C,"OUT"))</f>
        <v/>
      </c>
      <c r="I1697" s="65" t="str">
        <f t="shared" si="132"/>
        <v/>
      </c>
      <c r="J1697" s="59" t="str">
        <f t="shared" si="135"/>
        <v/>
      </c>
    </row>
    <row r="1698" spans="4:10" ht="22.5" customHeight="1" x14ac:dyDescent="0.25">
      <c r="D1698" s="59" t="str">
        <f t="shared" si="131"/>
        <v/>
      </c>
      <c r="E1698" s="59" t="str">
        <f t="shared" si="133"/>
        <v/>
      </c>
      <c r="F1698" s="59" t="str">
        <f t="shared" si="134"/>
        <v/>
      </c>
      <c r="G1698" s="59" t="str">
        <f>IF($A1698="","",
   SUMIFS(Transactions!$P:$P,
          Transactions!$G:$G,$A1698,
          Transactions!$C:$C,"IN",
          Transactions!$Q:$Q,"Paid"))</f>
        <v/>
      </c>
      <c r="H1698" s="59" t="str">
        <f>IF($A1698="","",
   SUMIFS(Transactions!$P:$P,
          Transactions!$G:$G,$A1698,
          Transactions!$C:$C,"OUT"))</f>
        <v/>
      </c>
      <c r="I1698" s="65" t="str">
        <f t="shared" si="132"/>
        <v/>
      </c>
      <c r="J1698" s="59" t="str">
        <f t="shared" si="135"/>
        <v/>
      </c>
    </row>
    <row r="1699" spans="4:10" ht="22.5" customHeight="1" x14ac:dyDescent="0.25">
      <c r="D1699" s="59" t="str">
        <f t="shared" si="131"/>
        <v/>
      </c>
      <c r="E1699" s="59" t="str">
        <f t="shared" si="133"/>
        <v/>
      </c>
      <c r="F1699" s="59" t="str">
        <f t="shared" si="134"/>
        <v/>
      </c>
      <c r="G1699" s="59" t="str">
        <f>IF($A1699="","",
   SUMIFS(Transactions!$P:$P,
          Transactions!$G:$G,$A1699,
          Transactions!$C:$C,"IN",
          Transactions!$Q:$Q,"Paid"))</f>
        <v/>
      </c>
      <c r="H1699" s="59" t="str">
        <f>IF($A1699="","",
   SUMIFS(Transactions!$P:$P,
          Transactions!$G:$G,$A1699,
          Transactions!$C:$C,"OUT"))</f>
        <v/>
      </c>
      <c r="I1699" s="65" t="str">
        <f t="shared" si="132"/>
        <v/>
      </c>
      <c r="J1699" s="59" t="str">
        <f t="shared" si="135"/>
        <v/>
      </c>
    </row>
    <row r="1700" spans="4:10" ht="22.5" customHeight="1" x14ac:dyDescent="0.25">
      <c r="D1700" s="59" t="str">
        <f t="shared" si="131"/>
        <v/>
      </c>
      <c r="E1700" s="59" t="str">
        <f t="shared" si="133"/>
        <v/>
      </c>
      <c r="F1700" s="59" t="str">
        <f t="shared" si="134"/>
        <v/>
      </c>
      <c r="G1700" s="59" t="str">
        <f>IF($A1700="","",
   SUMIFS(Transactions!$P:$P,
          Transactions!$G:$G,$A1700,
          Transactions!$C:$C,"IN",
          Transactions!$Q:$Q,"Paid"))</f>
        <v/>
      </c>
      <c r="H1700" s="59" t="str">
        <f>IF($A1700="","",
   SUMIFS(Transactions!$P:$P,
          Transactions!$G:$G,$A1700,
          Transactions!$C:$C,"OUT"))</f>
        <v/>
      </c>
      <c r="I1700" s="65" t="str">
        <f t="shared" si="132"/>
        <v/>
      </c>
      <c r="J1700" s="59" t="str">
        <f t="shared" si="135"/>
        <v/>
      </c>
    </row>
    <row r="1701" spans="4:10" ht="22.5" customHeight="1" x14ac:dyDescent="0.25">
      <c r="D1701" s="59" t="str">
        <f t="shared" si="131"/>
        <v/>
      </c>
      <c r="E1701" s="59" t="str">
        <f t="shared" si="133"/>
        <v/>
      </c>
      <c r="F1701" s="59" t="str">
        <f t="shared" si="134"/>
        <v/>
      </c>
      <c r="G1701" s="59" t="str">
        <f>IF($A1701="","",
   SUMIFS(Transactions!$P:$P,
          Transactions!$G:$G,$A1701,
          Transactions!$C:$C,"IN",
          Transactions!$Q:$Q,"Paid"))</f>
        <v/>
      </c>
      <c r="H1701" s="59" t="str">
        <f>IF($A1701="","",
   SUMIFS(Transactions!$P:$P,
          Transactions!$G:$G,$A1701,
          Transactions!$C:$C,"OUT"))</f>
        <v/>
      </c>
      <c r="I1701" s="65" t="str">
        <f t="shared" si="132"/>
        <v/>
      </c>
      <c r="J1701" s="59" t="str">
        <f t="shared" si="135"/>
        <v/>
      </c>
    </row>
    <row r="1702" spans="4:10" ht="22.5" customHeight="1" x14ac:dyDescent="0.25">
      <c r="D1702" s="59" t="str">
        <f t="shared" si="131"/>
        <v/>
      </c>
      <c r="E1702" s="59" t="str">
        <f t="shared" si="133"/>
        <v/>
      </c>
      <c r="F1702" s="59" t="str">
        <f t="shared" si="134"/>
        <v/>
      </c>
      <c r="G1702" s="59" t="str">
        <f>IF($A1702="","",
   SUMIFS(Transactions!$P:$P,
          Transactions!$G:$G,$A1702,
          Transactions!$C:$C,"IN",
          Transactions!$Q:$Q,"Paid"))</f>
        <v/>
      </c>
      <c r="H1702" s="59" t="str">
        <f>IF($A1702="","",
   SUMIFS(Transactions!$P:$P,
          Transactions!$G:$G,$A1702,
          Transactions!$C:$C,"OUT"))</f>
        <v/>
      </c>
      <c r="I1702" s="65" t="str">
        <f t="shared" si="132"/>
        <v/>
      </c>
      <c r="J1702" s="59" t="str">
        <f t="shared" si="135"/>
        <v/>
      </c>
    </row>
    <row r="1703" spans="4:10" ht="22.5" customHeight="1" x14ac:dyDescent="0.25">
      <c r="D1703" s="59" t="str">
        <f t="shared" si="131"/>
        <v/>
      </c>
      <c r="E1703" s="59" t="str">
        <f t="shared" si="133"/>
        <v/>
      </c>
      <c r="F1703" s="59" t="str">
        <f t="shared" si="134"/>
        <v/>
      </c>
      <c r="G1703" s="59" t="str">
        <f>IF($A1703="","",
   SUMIFS(Transactions!$P:$P,
          Transactions!$G:$G,$A1703,
          Transactions!$C:$C,"IN",
          Transactions!$Q:$Q,"Paid"))</f>
        <v/>
      </c>
      <c r="H1703" s="59" t="str">
        <f>IF($A1703="","",
   SUMIFS(Transactions!$P:$P,
          Transactions!$G:$G,$A1703,
          Transactions!$C:$C,"OUT"))</f>
        <v/>
      </c>
      <c r="I1703" s="65" t="str">
        <f t="shared" si="132"/>
        <v/>
      </c>
      <c r="J1703" s="59" t="str">
        <f t="shared" si="135"/>
        <v/>
      </c>
    </row>
    <row r="1704" spans="4:10" ht="22.5" customHeight="1" x14ac:dyDescent="0.25">
      <c r="D1704" s="59" t="str">
        <f t="shared" si="131"/>
        <v/>
      </c>
      <c r="E1704" s="59" t="str">
        <f t="shared" si="133"/>
        <v/>
      </c>
      <c r="F1704" s="59" t="str">
        <f t="shared" si="134"/>
        <v/>
      </c>
      <c r="G1704" s="59" t="str">
        <f>IF($A1704="","",
   SUMIFS(Transactions!$P:$P,
          Transactions!$G:$G,$A1704,
          Transactions!$C:$C,"IN",
          Transactions!$Q:$Q,"Paid"))</f>
        <v/>
      </c>
      <c r="H1704" s="59" t="str">
        <f>IF($A1704="","",
   SUMIFS(Transactions!$P:$P,
          Transactions!$G:$G,$A1704,
          Transactions!$C:$C,"OUT"))</f>
        <v/>
      </c>
      <c r="I1704" s="65" t="str">
        <f t="shared" si="132"/>
        <v/>
      </c>
      <c r="J1704" s="59" t="str">
        <f t="shared" si="135"/>
        <v/>
      </c>
    </row>
    <row r="1705" spans="4:10" ht="22.5" customHeight="1" x14ac:dyDescent="0.25">
      <c r="D1705" s="59" t="str">
        <f t="shared" si="131"/>
        <v/>
      </c>
      <c r="E1705" s="59" t="str">
        <f t="shared" si="133"/>
        <v/>
      </c>
      <c r="F1705" s="59" t="str">
        <f t="shared" si="134"/>
        <v/>
      </c>
      <c r="G1705" s="59" t="str">
        <f>IF($A1705="","",
   SUMIFS(Transactions!$P:$P,
          Transactions!$G:$G,$A1705,
          Transactions!$C:$C,"IN",
          Transactions!$Q:$Q,"Paid"))</f>
        <v/>
      </c>
      <c r="H1705" s="59" t="str">
        <f>IF($A1705="","",
   SUMIFS(Transactions!$P:$P,
          Transactions!$G:$G,$A1705,
          Transactions!$C:$C,"OUT"))</f>
        <v/>
      </c>
      <c r="I1705" s="65" t="str">
        <f t="shared" si="132"/>
        <v/>
      </c>
      <c r="J1705" s="59" t="str">
        <f t="shared" si="135"/>
        <v/>
      </c>
    </row>
    <row r="1706" spans="4:10" ht="22.5" customHeight="1" x14ac:dyDescent="0.25">
      <c r="D1706" s="59" t="str">
        <f t="shared" si="131"/>
        <v/>
      </c>
      <c r="E1706" s="59" t="str">
        <f t="shared" si="133"/>
        <v/>
      </c>
      <c r="F1706" s="59" t="str">
        <f t="shared" si="134"/>
        <v/>
      </c>
      <c r="G1706" s="59" t="str">
        <f>IF($A1706="","",
   SUMIFS(Transactions!$P:$P,
          Transactions!$G:$G,$A1706,
          Transactions!$C:$C,"IN",
          Transactions!$Q:$Q,"Paid"))</f>
        <v/>
      </c>
      <c r="H1706" s="59" t="str">
        <f>IF($A1706="","",
   SUMIFS(Transactions!$P:$P,
          Transactions!$G:$G,$A1706,
          Transactions!$C:$C,"OUT"))</f>
        <v/>
      </c>
      <c r="I1706" s="65" t="str">
        <f t="shared" si="132"/>
        <v/>
      </c>
      <c r="J1706" s="59" t="str">
        <f t="shared" si="135"/>
        <v/>
      </c>
    </row>
    <row r="1707" spans="4:10" ht="22.5" customHeight="1" x14ac:dyDescent="0.25">
      <c r="D1707" s="59" t="str">
        <f t="shared" si="131"/>
        <v/>
      </c>
      <c r="E1707" s="59" t="str">
        <f t="shared" si="133"/>
        <v/>
      </c>
      <c r="F1707" s="59" t="str">
        <f t="shared" si="134"/>
        <v/>
      </c>
      <c r="G1707" s="59" t="str">
        <f>IF($A1707="","",
   SUMIFS(Transactions!$P:$P,
          Transactions!$G:$G,$A1707,
          Transactions!$C:$C,"IN",
          Transactions!$Q:$Q,"Paid"))</f>
        <v/>
      </c>
      <c r="H1707" s="59" t="str">
        <f>IF($A1707="","",
   SUMIFS(Transactions!$P:$P,
          Transactions!$G:$G,$A1707,
          Transactions!$C:$C,"OUT"))</f>
        <v/>
      </c>
      <c r="I1707" s="65" t="str">
        <f t="shared" si="132"/>
        <v/>
      </c>
      <c r="J1707" s="59" t="str">
        <f t="shared" si="135"/>
        <v/>
      </c>
    </row>
    <row r="1708" spans="4:10" ht="22.5" customHeight="1" x14ac:dyDescent="0.25">
      <c r="D1708" s="59" t="str">
        <f t="shared" si="131"/>
        <v/>
      </c>
      <c r="E1708" s="59" t="str">
        <f t="shared" si="133"/>
        <v/>
      </c>
      <c r="F1708" s="59" t="str">
        <f t="shared" si="134"/>
        <v/>
      </c>
      <c r="G1708" s="59" t="str">
        <f>IF($A1708="","",
   SUMIFS(Transactions!$P:$P,
          Transactions!$G:$G,$A1708,
          Transactions!$C:$C,"IN",
          Transactions!$Q:$Q,"Paid"))</f>
        <v/>
      </c>
      <c r="H1708" s="59" t="str">
        <f>IF($A1708="","",
   SUMIFS(Transactions!$P:$P,
          Transactions!$G:$G,$A1708,
          Transactions!$C:$C,"OUT"))</f>
        <v/>
      </c>
      <c r="I1708" s="65" t="str">
        <f t="shared" si="132"/>
        <v/>
      </c>
      <c r="J1708" s="59" t="str">
        <f t="shared" si="135"/>
        <v/>
      </c>
    </row>
    <row r="1709" spans="4:10" ht="22.5" customHeight="1" x14ac:dyDescent="0.25">
      <c r="D1709" s="59" t="str">
        <f t="shared" si="131"/>
        <v/>
      </c>
      <c r="E1709" s="59" t="str">
        <f t="shared" si="133"/>
        <v/>
      </c>
      <c r="F1709" s="59" t="str">
        <f t="shared" si="134"/>
        <v/>
      </c>
      <c r="G1709" s="59" t="str">
        <f>IF($A1709="","",
   SUMIFS(Transactions!$P:$P,
          Transactions!$G:$G,$A1709,
          Transactions!$C:$C,"IN",
          Transactions!$Q:$Q,"Paid"))</f>
        <v/>
      </c>
      <c r="H1709" s="59" t="str">
        <f>IF($A1709="","",
   SUMIFS(Transactions!$P:$P,
          Transactions!$G:$G,$A1709,
          Transactions!$C:$C,"OUT"))</f>
        <v/>
      </c>
      <c r="I1709" s="65" t="str">
        <f t="shared" si="132"/>
        <v/>
      </c>
      <c r="J1709" s="59" t="str">
        <f t="shared" si="135"/>
        <v/>
      </c>
    </row>
    <row r="1710" spans="4:10" ht="22.5" customHeight="1" x14ac:dyDescent="0.25">
      <c r="D1710" s="59" t="str">
        <f t="shared" si="131"/>
        <v/>
      </c>
      <c r="E1710" s="59" t="str">
        <f t="shared" si="133"/>
        <v/>
      </c>
      <c r="F1710" s="59" t="str">
        <f t="shared" si="134"/>
        <v/>
      </c>
      <c r="G1710" s="59" t="str">
        <f>IF($A1710="","",
   SUMIFS(Transactions!$P:$P,
          Transactions!$G:$G,$A1710,
          Transactions!$C:$C,"IN",
          Transactions!$Q:$Q,"Paid"))</f>
        <v/>
      </c>
      <c r="H1710" s="59" t="str">
        <f>IF($A1710="","",
   SUMIFS(Transactions!$P:$P,
          Transactions!$G:$G,$A1710,
          Transactions!$C:$C,"OUT"))</f>
        <v/>
      </c>
      <c r="I1710" s="65" t="str">
        <f t="shared" si="132"/>
        <v/>
      </c>
      <c r="J1710" s="59" t="str">
        <f t="shared" si="135"/>
        <v/>
      </c>
    </row>
    <row r="1711" spans="4:10" ht="22.5" customHeight="1" x14ac:dyDescent="0.25">
      <c r="D1711" s="59" t="str">
        <f t="shared" si="131"/>
        <v/>
      </c>
      <c r="E1711" s="59" t="str">
        <f t="shared" si="133"/>
        <v/>
      </c>
      <c r="F1711" s="59" t="str">
        <f t="shared" si="134"/>
        <v/>
      </c>
      <c r="G1711" s="59" t="str">
        <f>IF($A1711="","",
   SUMIFS(Transactions!$P:$P,
          Transactions!$G:$G,$A1711,
          Transactions!$C:$C,"IN",
          Transactions!$Q:$Q,"Paid"))</f>
        <v/>
      </c>
      <c r="H1711" s="59" t="str">
        <f>IF($A1711="","",
   SUMIFS(Transactions!$P:$P,
          Transactions!$G:$G,$A1711,
          Transactions!$C:$C,"OUT"))</f>
        <v/>
      </c>
      <c r="I1711" s="65" t="str">
        <f t="shared" si="132"/>
        <v/>
      </c>
      <c r="J1711" s="59" t="str">
        <f t="shared" si="135"/>
        <v/>
      </c>
    </row>
    <row r="1712" spans="4:10" ht="22.5" customHeight="1" x14ac:dyDescent="0.25">
      <c r="D1712" s="59" t="str">
        <f t="shared" si="131"/>
        <v/>
      </c>
      <c r="E1712" s="59" t="str">
        <f t="shared" si="133"/>
        <v/>
      </c>
      <c r="F1712" s="59" t="str">
        <f t="shared" si="134"/>
        <v/>
      </c>
      <c r="G1712" s="59" t="str">
        <f>IF($A1712="","",
   SUMIFS(Transactions!$P:$P,
          Transactions!$G:$G,$A1712,
          Transactions!$C:$C,"IN",
          Transactions!$Q:$Q,"Paid"))</f>
        <v/>
      </c>
      <c r="H1712" s="59" t="str">
        <f>IF($A1712="","",
   SUMIFS(Transactions!$P:$P,
          Transactions!$G:$G,$A1712,
          Transactions!$C:$C,"OUT"))</f>
        <v/>
      </c>
      <c r="I1712" s="65" t="str">
        <f t="shared" si="132"/>
        <v/>
      </c>
      <c r="J1712" s="59" t="str">
        <f t="shared" si="135"/>
        <v/>
      </c>
    </row>
    <row r="1713" spans="4:10" ht="22.5" customHeight="1" x14ac:dyDescent="0.25">
      <c r="D1713" s="59" t="str">
        <f t="shared" si="131"/>
        <v/>
      </c>
      <c r="E1713" s="59" t="str">
        <f t="shared" si="133"/>
        <v/>
      </c>
      <c r="F1713" s="59" t="str">
        <f t="shared" si="134"/>
        <v/>
      </c>
      <c r="G1713" s="59" t="str">
        <f>IF($A1713="","",
   SUMIFS(Transactions!$P:$P,
          Transactions!$G:$G,$A1713,
          Transactions!$C:$C,"IN",
          Transactions!$Q:$Q,"Paid"))</f>
        <v/>
      </c>
      <c r="H1713" s="59" t="str">
        <f>IF($A1713="","",
   SUMIFS(Transactions!$P:$P,
          Transactions!$G:$G,$A1713,
          Transactions!$C:$C,"OUT"))</f>
        <v/>
      </c>
      <c r="I1713" s="65" t="str">
        <f t="shared" si="132"/>
        <v/>
      </c>
      <c r="J1713" s="59" t="str">
        <f t="shared" si="135"/>
        <v/>
      </c>
    </row>
    <row r="1714" spans="4:10" ht="22.5" customHeight="1" x14ac:dyDescent="0.25">
      <c r="D1714" s="59" t="str">
        <f t="shared" si="131"/>
        <v/>
      </c>
      <c r="E1714" s="59" t="str">
        <f t="shared" si="133"/>
        <v/>
      </c>
      <c r="F1714" s="59" t="str">
        <f t="shared" si="134"/>
        <v/>
      </c>
      <c r="G1714" s="59" t="str">
        <f>IF($A1714="","",
   SUMIFS(Transactions!$P:$P,
          Transactions!$G:$G,$A1714,
          Transactions!$C:$C,"IN",
          Transactions!$Q:$Q,"Paid"))</f>
        <v/>
      </c>
      <c r="H1714" s="59" t="str">
        <f>IF($A1714="","",
   SUMIFS(Transactions!$P:$P,
          Transactions!$G:$G,$A1714,
          Transactions!$C:$C,"OUT"))</f>
        <v/>
      </c>
      <c r="I1714" s="65" t="str">
        <f t="shared" si="132"/>
        <v/>
      </c>
      <c r="J1714" s="59" t="str">
        <f t="shared" si="135"/>
        <v/>
      </c>
    </row>
    <row r="1715" spans="4:10" ht="22.5" customHeight="1" x14ac:dyDescent="0.25">
      <c r="D1715" s="59" t="str">
        <f t="shared" si="131"/>
        <v/>
      </c>
      <c r="E1715" s="59" t="str">
        <f t="shared" si="133"/>
        <v/>
      </c>
      <c r="F1715" s="59" t="str">
        <f t="shared" si="134"/>
        <v/>
      </c>
      <c r="G1715" s="59" t="str">
        <f>IF($A1715="","",
   SUMIFS(Transactions!$P:$P,
          Transactions!$G:$G,$A1715,
          Transactions!$C:$C,"IN",
          Transactions!$Q:$Q,"Paid"))</f>
        <v/>
      </c>
      <c r="H1715" s="59" t="str">
        <f>IF($A1715="","",
   SUMIFS(Transactions!$P:$P,
          Transactions!$G:$G,$A1715,
          Transactions!$C:$C,"OUT"))</f>
        <v/>
      </c>
      <c r="I1715" s="65" t="str">
        <f t="shared" si="132"/>
        <v/>
      </c>
      <c r="J1715" s="59" t="str">
        <f t="shared" si="135"/>
        <v/>
      </c>
    </row>
    <row r="1716" spans="4:10" ht="22.5" customHeight="1" x14ac:dyDescent="0.25">
      <c r="D1716" s="59" t="str">
        <f t="shared" si="131"/>
        <v/>
      </c>
      <c r="E1716" s="59" t="str">
        <f t="shared" si="133"/>
        <v/>
      </c>
      <c r="F1716" s="59" t="str">
        <f t="shared" si="134"/>
        <v/>
      </c>
      <c r="G1716" s="59" t="str">
        <f>IF($A1716="","",
   SUMIFS(Transactions!$P:$P,
          Transactions!$G:$G,$A1716,
          Transactions!$C:$C,"IN",
          Transactions!$Q:$Q,"Paid"))</f>
        <v/>
      </c>
      <c r="H1716" s="59" t="str">
        <f>IF($A1716="","",
   SUMIFS(Transactions!$P:$P,
          Transactions!$G:$G,$A1716,
          Transactions!$C:$C,"OUT"))</f>
        <v/>
      </c>
      <c r="I1716" s="65" t="str">
        <f t="shared" si="132"/>
        <v/>
      </c>
      <c r="J1716" s="59" t="str">
        <f t="shared" si="135"/>
        <v/>
      </c>
    </row>
    <row r="1717" spans="4:10" ht="22.5" customHeight="1" x14ac:dyDescent="0.25">
      <c r="D1717" s="59" t="str">
        <f t="shared" si="131"/>
        <v/>
      </c>
      <c r="E1717" s="59" t="str">
        <f t="shared" si="133"/>
        <v/>
      </c>
      <c r="F1717" s="59" t="str">
        <f t="shared" si="134"/>
        <v/>
      </c>
      <c r="G1717" s="59" t="str">
        <f>IF($A1717="","",
   SUMIFS(Transactions!$P:$P,
          Transactions!$G:$G,$A1717,
          Transactions!$C:$C,"IN",
          Transactions!$Q:$Q,"Paid"))</f>
        <v/>
      </c>
      <c r="H1717" s="59" t="str">
        <f>IF($A1717="","",
   SUMIFS(Transactions!$P:$P,
          Transactions!$G:$G,$A1717,
          Transactions!$C:$C,"OUT"))</f>
        <v/>
      </c>
      <c r="I1717" s="65" t="str">
        <f t="shared" si="132"/>
        <v/>
      </c>
      <c r="J1717" s="59" t="str">
        <f t="shared" si="135"/>
        <v/>
      </c>
    </row>
    <row r="1718" spans="4:10" ht="22.5" customHeight="1" x14ac:dyDescent="0.25">
      <c r="D1718" s="59" t="str">
        <f t="shared" si="131"/>
        <v/>
      </c>
      <c r="E1718" s="59" t="str">
        <f t="shared" si="133"/>
        <v/>
      </c>
      <c r="F1718" s="59" t="str">
        <f t="shared" si="134"/>
        <v/>
      </c>
      <c r="G1718" s="59" t="str">
        <f>IF($A1718="","",
   SUMIFS(Transactions!$P:$P,
          Transactions!$G:$G,$A1718,
          Transactions!$C:$C,"IN",
          Transactions!$Q:$Q,"Paid"))</f>
        <v/>
      </c>
      <c r="H1718" s="59" t="str">
        <f>IF($A1718="","",
   SUMIFS(Transactions!$P:$P,
          Transactions!$G:$G,$A1718,
          Transactions!$C:$C,"OUT"))</f>
        <v/>
      </c>
      <c r="I1718" s="65" t="str">
        <f t="shared" si="132"/>
        <v/>
      </c>
      <c r="J1718" s="59" t="str">
        <f t="shared" si="135"/>
        <v/>
      </c>
    </row>
    <row r="1719" spans="4:10" ht="22.5" customHeight="1" x14ac:dyDescent="0.25">
      <c r="D1719" s="59" t="str">
        <f t="shared" si="131"/>
        <v/>
      </c>
      <c r="E1719" s="59" t="str">
        <f t="shared" si="133"/>
        <v/>
      </c>
      <c r="F1719" s="59" t="str">
        <f t="shared" si="134"/>
        <v/>
      </c>
      <c r="G1719" s="59" t="str">
        <f>IF($A1719="","",
   SUMIFS(Transactions!$P:$P,
          Transactions!$G:$G,$A1719,
          Transactions!$C:$C,"IN",
          Transactions!$Q:$Q,"Paid"))</f>
        <v/>
      </c>
      <c r="H1719" s="59" t="str">
        <f>IF($A1719="","",
   SUMIFS(Transactions!$P:$P,
          Transactions!$G:$G,$A1719,
          Transactions!$C:$C,"OUT"))</f>
        <v/>
      </c>
      <c r="I1719" s="65" t="str">
        <f t="shared" si="132"/>
        <v/>
      </c>
      <c r="J1719" s="59" t="str">
        <f t="shared" si="135"/>
        <v/>
      </c>
    </row>
    <row r="1720" spans="4:10" ht="22.5" customHeight="1" x14ac:dyDescent="0.25">
      <c r="D1720" s="59" t="str">
        <f t="shared" si="131"/>
        <v/>
      </c>
      <c r="E1720" s="59" t="str">
        <f t="shared" si="133"/>
        <v/>
      </c>
      <c r="F1720" s="59" t="str">
        <f t="shared" si="134"/>
        <v/>
      </c>
      <c r="G1720" s="59" t="str">
        <f>IF($A1720="","",
   SUMIFS(Transactions!$P:$P,
          Transactions!$G:$G,$A1720,
          Transactions!$C:$C,"IN",
          Transactions!$Q:$Q,"Paid"))</f>
        <v/>
      </c>
      <c r="H1720" s="59" t="str">
        <f>IF($A1720="","",
   SUMIFS(Transactions!$P:$P,
          Transactions!$G:$G,$A1720,
          Transactions!$C:$C,"OUT"))</f>
        <v/>
      </c>
      <c r="I1720" s="65" t="str">
        <f t="shared" si="132"/>
        <v/>
      </c>
      <c r="J1720" s="59" t="str">
        <f t="shared" si="135"/>
        <v/>
      </c>
    </row>
    <row r="1721" spans="4:10" ht="22.5" customHeight="1" x14ac:dyDescent="0.25">
      <c r="D1721" s="59" t="str">
        <f t="shared" si="131"/>
        <v/>
      </c>
      <c r="E1721" s="59" t="str">
        <f t="shared" si="133"/>
        <v/>
      </c>
      <c r="F1721" s="59" t="str">
        <f t="shared" si="134"/>
        <v/>
      </c>
      <c r="G1721" s="59" t="str">
        <f>IF($A1721="","",
   SUMIFS(Transactions!$P:$P,
          Transactions!$G:$G,$A1721,
          Transactions!$C:$C,"IN",
          Transactions!$Q:$Q,"Paid"))</f>
        <v/>
      </c>
      <c r="H1721" s="59" t="str">
        <f>IF($A1721="","",
   SUMIFS(Transactions!$P:$P,
          Transactions!$G:$G,$A1721,
          Transactions!$C:$C,"OUT"))</f>
        <v/>
      </c>
      <c r="I1721" s="65" t="str">
        <f t="shared" si="132"/>
        <v/>
      </c>
      <c r="J1721" s="59" t="str">
        <f t="shared" si="135"/>
        <v/>
      </c>
    </row>
    <row r="1722" spans="4:10" ht="22.5" customHeight="1" x14ac:dyDescent="0.25">
      <c r="D1722" s="59" t="str">
        <f t="shared" si="131"/>
        <v/>
      </c>
      <c r="E1722" s="59" t="str">
        <f t="shared" si="133"/>
        <v/>
      </c>
      <c r="F1722" s="59" t="str">
        <f t="shared" si="134"/>
        <v/>
      </c>
      <c r="G1722" s="59" t="str">
        <f>IF($A1722="","",
   SUMIFS(Transactions!$P:$P,
          Transactions!$G:$G,$A1722,
          Transactions!$C:$C,"IN",
          Transactions!$Q:$Q,"Paid"))</f>
        <v/>
      </c>
      <c r="H1722" s="59" t="str">
        <f>IF($A1722="","",
   SUMIFS(Transactions!$P:$P,
          Transactions!$G:$G,$A1722,
          Transactions!$C:$C,"OUT"))</f>
        <v/>
      </c>
      <c r="I1722" s="65" t="str">
        <f t="shared" si="132"/>
        <v/>
      </c>
      <c r="J1722" s="59" t="str">
        <f t="shared" si="135"/>
        <v/>
      </c>
    </row>
    <row r="1723" spans="4:10" ht="22.5" customHeight="1" x14ac:dyDescent="0.25">
      <c r="D1723" s="59" t="str">
        <f t="shared" si="131"/>
        <v/>
      </c>
      <c r="E1723" s="59" t="str">
        <f t="shared" si="133"/>
        <v/>
      </c>
      <c r="F1723" s="59" t="str">
        <f t="shared" si="134"/>
        <v/>
      </c>
      <c r="G1723" s="59" t="str">
        <f>IF($A1723="","",
   SUMIFS(Transactions!$P:$P,
          Transactions!$G:$G,$A1723,
          Transactions!$C:$C,"IN",
          Transactions!$Q:$Q,"Paid"))</f>
        <v/>
      </c>
      <c r="H1723" s="59" t="str">
        <f>IF($A1723="","",
   SUMIFS(Transactions!$P:$P,
          Transactions!$G:$G,$A1723,
          Transactions!$C:$C,"OUT"))</f>
        <v/>
      </c>
      <c r="I1723" s="65" t="str">
        <f t="shared" si="132"/>
        <v/>
      </c>
      <c r="J1723" s="59" t="str">
        <f t="shared" si="135"/>
        <v/>
      </c>
    </row>
    <row r="1724" spans="4:10" ht="22.5" customHeight="1" x14ac:dyDescent="0.25">
      <c r="D1724" s="59" t="str">
        <f t="shared" si="131"/>
        <v/>
      </c>
      <c r="E1724" s="59" t="str">
        <f t="shared" si="133"/>
        <v/>
      </c>
      <c r="F1724" s="59" t="str">
        <f t="shared" si="134"/>
        <v/>
      </c>
      <c r="G1724" s="59" t="str">
        <f>IF($A1724="","",
   SUMIFS(Transactions!$P:$P,
          Transactions!$G:$G,$A1724,
          Transactions!$C:$C,"IN",
          Transactions!$Q:$Q,"Paid"))</f>
        <v/>
      </c>
      <c r="H1724" s="59" t="str">
        <f>IF($A1724="","",
   SUMIFS(Transactions!$P:$P,
          Transactions!$G:$G,$A1724,
          Transactions!$C:$C,"OUT"))</f>
        <v/>
      </c>
      <c r="I1724" s="65" t="str">
        <f t="shared" si="132"/>
        <v/>
      </c>
      <c r="J1724" s="59" t="str">
        <f t="shared" si="135"/>
        <v/>
      </c>
    </row>
    <row r="1725" spans="4:10" ht="22.5" customHeight="1" x14ac:dyDescent="0.25">
      <c r="D1725" s="59" t="str">
        <f t="shared" si="131"/>
        <v/>
      </c>
      <c r="E1725" s="59" t="str">
        <f t="shared" si="133"/>
        <v/>
      </c>
      <c r="F1725" s="59" t="str">
        <f t="shared" si="134"/>
        <v/>
      </c>
      <c r="G1725" s="59" t="str">
        <f>IF($A1725="","",
   SUMIFS(Transactions!$P:$P,
          Transactions!$G:$G,$A1725,
          Transactions!$C:$C,"IN",
          Transactions!$Q:$Q,"Paid"))</f>
        <v/>
      </c>
      <c r="H1725" s="59" t="str">
        <f>IF($A1725="","",
   SUMIFS(Transactions!$P:$P,
          Transactions!$G:$G,$A1725,
          Transactions!$C:$C,"OUT"))</f>
        <v/>
      </c>
      <c r="I1725" s="65" t="str">
        <f t="shared" si="132"/>
        <v/>
      </c>
      <c r="J1725" s="59" t="str">
        <f t="shared" si="135"/>
        <v/>
      </c>
    </row>
    <row r="1726" spans="4:10" ht="22.5" customHeight="1" x14ac:dyDescent="0.25">
      <c r="D1726" s="59" t="str">
        <f t="shared" si="131"/>
        <v/>
      </c>
      <c r="E1726" s="59" t="str">
        <f t="shared" si="133"/>
        <v/>
      </c>
      <c r="F1726" s="59" t="str">
        <f t="shared" si="134"/>
        <v/>
      </c>
      <c r="G1726" s="59" t="str">
        <f>IF($A1726="","",
   SUMIFS(Transactions!$P:$P,
          Transactions!$G:$G,$A1726,
          Transactions!$C:$C,"IN",
          Transactions!$Q:$Q,"Paid"))</f>
        <v/>
      </c>
      <c r="H1726" s="59" t="str">
        <f>IF($A1726="","",
   SUMIFS(Transactions!$P:$P,
          Transactions!$G:$G,$A1726,
          Transactions!$C:$C,"OUT"))</f>
        <v/>
      </c>
      <c r="I1726" s="65" t="str">
        <f t="shared" si="132"/>
        <v/>
      </c>
      <c r="J1726" s="59" t="str">
        <f t="shared" si="135"/>
        <v/>
      </c>
    </row>
    <row r="1727" spans="4:10" ht="22.5" customHeight="1" x14ac:dyDescent="0.25">
      <c r="D1727" s="59" t="str">
        <f t="shared" si="131"/>
        <v/>
      </c>
      <c r="E1727" s="59" t="str">
        <f t="shared" si="133"/>
        <v/>
      </c>
      <c r="F1727" s="59" t="str">
        <f t="shared" si="134"/>
        <v/>
      </c>
      <c r="G1727" s="59" t="str">
        <f>IF($A1727="","",
   SUMIFS(Transactions!$P:$P,
          Transactions!$G:$G,$A1727,
          Transactions!$C:$C,"IN",
          Transactions!$Q:$Q,"Paid"))</f>
        <v/>
      </c>
      <c r="H1727" s="59" t="str">
        <f>IF($A1727="","",
   SUMIFS(Transactions!$P:$P,
          Transactions!$G:$G,$A1727,
          Transactions!$C:$C,"OUT"))</f>
        <v/>
      </c>
      <c r="I1727" s="65" t="str">
        <f t="shared" si="132"/>
        <v/>
      </c>
      <c r="J1727" s="59" t="str">
        <f t="shared" si="135"/>
        <v/>
      </c>
    </row>
    <row r="1728" spans="4:10" ht="22.5" customHeight="1" x14ac:dyDescent="0.25">
      <c r="D1728" s="59" t="str">
        <f t="shared" si="131"/>
        <v/>
      </c>
      <c r="E1728" s="59" t="str">
        <f t="shared" si="133"/>
        <v/>
      </c>
      <c r="F1728" s="59" t="str">
        <f t="shared" si="134"/>
        <v/>
      </c>
      <c r="G1728" s="59" t="str">
        <f>IF($A1728="","",
   SUMIFS(Transactions!$P:$P,
          Transactions!$G:$G,$A1728,
          Transactions!$C:$C,"IN",
          Transactions!$Q:$Q,"Paid"))</f>
        <v/>
      </c>
      <c r="H1728" s="59" t="str">
        <f>IF($A1728="","",
   SUMIFS(Transactions!$P:$P,
          Transactions!$G:$G,$A1728,
          Transactions!$C:$C,"OUT"))</f>
        <v/>
      </c>
      <c r="I1728" s="65" t="str">
        <f t="shared" si="132"/>
        <v/>
      </c>
      <c r="J1728" s="59" t="str">
        <f t="shared" si="135"/>
        <v/>
      </c>
    </row>
    <row r="1729" spans="4:10" ht="22.5" customHeight="1" x14ac:dyDescent="0.25">
      <c r="D1729" s="59" t="str">
        <f t="shared" si="131"/>
        <v/>
      </c>
      <c r="E1729" s="59" t="str">
        <f t="shared" si="133"/>
        <v/>
      </c>
      <c r="F1729" s="59" t="str">
        <f t="shared" si="134"/>
        <v/>
      </c>
      <c r="G1729" s="59" t="str">
        <f>IF($A1729="","",
   SUMIFS(Transactions!$P:$P,
          Transactions!$G:$G,$A1729,
          Transactions!$C:$C,"IN",
          Transactions!$Q:$Q,"Paid"))</f>
        <v/>
      </c>
      <c r="H1729" s="59" t="str">
        <f>IF($A1729="","",
   SUMIFS(Transactions!$P:$P,
          Transactions!$G:$G,$A1729,
          Transactions!$C:$C,"OUT"))</f>
        <v/>
      </c>
      <c r="I1729" s="65" t="str">
        <f t="shared" si="132"/>
        <v/>
      </c>
      <c r="J1729" s="59" t="str">
        <f t="shared" si="135"/>
        <v/>
      </c>
    </row>
    <row r="1730" spans="4:10" ht="22.5" customHeight="1" x14ac:dyDescent="0.25">
      <c r="D1730" s="59" t="str">
        <f t="shared" si="131"/>
        <v/>
      </c>
      <c r="E1730" s="59" t="str">
        <f t="shared" si="133"/>
        <v/>
      </c>
      <c r="F1730" s="59" t="str">
        <f t="shared" si="134"/>
        <v/>
      </c>
      <c r="G1730" s="59" t="str">
        <f>IF($A1730="","",
   SUMIFS(Transactions!$P:$P,
          Transactions!$G:$G,$A1730,
          Transactions!$C:$C,"IN",
          Transactions!$Q:$Q,"Paid"))</f>
        <v/>
      </c>
      <c r="H1730" s="59" t="str">
        <f>IF($A1730="","",
   SUMIFS(Transactions!$P:$P,
          Transactions!$G:$G,$A1730,
          Transactions!$C:$C,"OUT"))</f>
        <v/>
      </c>
      <c r="I1730" s="65" t="str">
        <f t="shared" si="132"/>
        <v/>
      </c>
      <c r="J1730" s="59" t="str">
        <f t="shared" si="135"/>
        <v/>
      </c>
    </row>
    <row r="1731" spans="4:10" ht="22.5" customHeight="1" x14ac:dyDescent="0.25">
      <c r="D1731" s="59" t="str">
        <f t="shared" ref="D1731:D1794" si="136">IF(C1731="","",ROUND(C1731*0.15,2))</f>
        <v/>
      </c>
      <c r="E1731" s="59" t="str">
        <f t="shared" si="133"/>
        <v/>
      </c>
      <c r="F1731" s="59" t="str">
        <f t="shared" si="134"/>
        <v/>
      </c>
      <c r="G1731" s="59" t="str">
        <f>IF($A1731="","",
   SUMIFS(Transactions!$P:$P,
          Transactions!$G:$G,$A1731,
          Transactions!$C:$C,"IN",
          Transactions!$Q:$Q,"Paid"))</f>
        <v/>
      </c>
      <c r="H1731" s="59" t="str">
        <f>IF($A1731="","",
   SUMIFS(Transactions!$P:$P,
          Transactions!$G:$G,$A1731,
          Transactions!$C:$C,"OUT"))</f>
        <v/>
      </c>
      <c r="I1731" s="65" t="str">
        <f t="shared" ref="I1731:I1794" si="137">IF(C1731="","",C1731-H1731)</f>
        <v/>
      </c>
      <c r="J1731" s="59" t="str">
        <f t="shared" si="135"/>
        <v/>
      </c>
    </row>
    <row r="1732" spans="4:10" ht="22.5" customHeight="1" x14ac:dyDescent="0.25">
      <c r="D1732" s="59" t="str">
        <f t="shared" si="136"/>
        <v/>
      </c>
      <c r="E1732" s="59" t="str">
        <f t="shared" ref="E1732:E1795" si="138">IF(C1732="","",C1732+D1732)</f>
        <v/>
      </c>
      <c r="F1732" s="59" t="str">
        <f t="shared" ref="F1732:F1795" si="139">IF(E1732="","",E1732*0.5)</f>
        <v/>
      </c>
      <c r="G1732" s="59" t="str">
        <f>IF($A1732="","",
   SUMIFS(Transactions!$P:$P,
          Transactions!$G:$G,$A1732,
          Transactions!$C:$C,"IN",
          Transactions!$Q:$Q,"Paid"))</f>
        <v/>
      </c>
      <c r="H1732" s="59" t="str">
        <f>IF($A1732="","",
   SUMIFS(Transactions!$P:$P,
          Transactions!$G:$G,$A1732,
          Transactions!$C:$C,"OUT"))</f>
        <v/>
      </c>
      <c r="I1732" s="65" t="str">
        <f t="shared" si="137"/>
        <v/>
      </c>
      <c r="J1732" s="59" t="str">
        <f t="shared" ref="J1732:J1795" si="140">IF(E1732="","",E1732-G1732)</f>
        <v/>
      </c>
    </row>
    <row r="1733" spans="4:10" ht="22.5" customHeight="1" x14ac:dyDescent="0.25">
      <c r="D1733" s="59" t="str">
        <f t="shared" si="136"/>
        <v/>
      </c>
      <c r="E1733" s="59" t="str">
        <f t="shared" si="138"/>
        <v/>
      </c>
      <c r="F1733" s="59" t="str">
        <f t="shared" si="139"/>
        <v/>
      </c>
      <c r="G1733" s="59" t="str">
        <f>IF($A1733="","",
   SUMIFS(Transactions!$P:$P,
          Transactions!$G:$G,$A1733,
          Transactions!$C:$C,"IN",
          Transactions!$Q:$Q,"Paid"))</f>
        <v/>
      </c>
      <c r="H1733" s="59" t="str">
        <f>IF($A1733="","",
   SUMIFS(Transactions!$P:$P,
          Transactions!$G:$G,$A1733,
          Transactions!$C:$C,"OUT"))</f>
        <v/>
      </c>
      <c r="I1733" s="65" t="str">
        <f t="shared" si="137"/>
        <v/>
      </c>
      <c r="J1733" s="59" t="str">
        <f t="shared" si="140"/>
        <v/>
      </c>
    </row>
    <row r="1734" spans="4:10" ht="22.5" customHeight="1" x14ac:dyDescent="0.25">
      <c r="D1734" s="59" t="str">
        <f t="shared" si="136"/>
        <v/>
      </c>
      <c r="E1734" s="59" t="str">
        <f t="shared" si="138"/>
        <v/>
      </c>
      <c r="F1734" s="59" t="str">
        <f t="shared" si="139"/>
        <v/>
      </c>
      <c r="G1734" s="59" t="str">
        <f>IF($A1734="","",
   SUMIFS(Transactions!$P:$P,
          Transactions!$G:$G,$A1734,
          Transactions!$C:$C,"IN",
          Transactions!$Q:$Q,"Paid"))</f>
        <v/>
      </c>
      <c r="H1734" s="59" t="str">
        <f>IF($A1734="","",
   SUMIFS(Transactions!$P:$P,
          Transactions!$G:$G,$A1734,
          Transactions!$C:$C,"OUT"))</f>
        <v/>
      </c>
      <c r="I1734" s="65" t="str">
        <f t="shared" si="137"/>
        <v/>
      </c>
      <c r="J1734" s="59" t="str">
        <f t="shared" si="140"/>
        <v/>
      </c>
    </row>
    <row r="1735" spans="4:10" ht="22.5" customHeight="1" x14ac:dyDescent="0.25">
      <c r="D1735" s="59" t="str">
        <f t="shared" si="136"/>
        <v/>
      </c>
      <c r="E1735" s="59" t="str">
        <f t="shared" si="138"/>
        <v/>
      </c>
      <c r="F1735" s="59" t="str">
        <f t="shared" si="139"/>
        <v/>
      </c>
      <c r="G1735" s="59" t="str">
        <f>IF($A1735="","",
   SUMIFS(Transactions!$P:$P,
          Transactions!$G:$G,$A1735,
          Transactions!$C:$C,"IN",
          Transactions!$Q:$Q,"Paid"))</f>
        <v/>
      </c>
      <c r="H1735" s="59" t="str">
        <f>IF($A1735="","",
   SUMIFS(Transactions!$P:$P,
          Transactions!$G:$G,$A1735,
          Transactions!$C:$C,"OUT"))</f>
        <v/>
      </c>
      <c r="I1735" s="65" t="str">
        <f t="shared" si="137"/>
        <v/>
      </c>
      <c r="J1735" s="59" t="str">
        <f t="shared" si="140"/>
        <v/>
      </c>
    </row>
    <row r="1736" spans="4:10" ht="22.5" customHeight="1" x14ac:dyDescent="0.25">
      <c r="D1736" s="59" t="str">
        <f t="shared" si="136"/>
        <v/>
      </c>
      <c r="E1736" s="59" t="str">
        <f t="shared" si="138"/>
        <v/>
      </c>
      <c r="F1736" s="59" t="str">
        <f t="shared" si="139"/>
        <v/>
      </c>
      <c r="G1736" s="59" t="str">
        <f>IF($A1736="","",
   SUMIFS(Transactions!$P:$P,
          Transactions!$G:$G,$A1736,
          Transactions!$C:$C,"IN",
          Transactions!$Q:$Q,"Paid"))</f>
        <v/>
      </c>
      <c r="H1736" s="59" t="str">
        <f>IF($A1736="","",
   SUMIFS(Transactions!$P:$P,
          Transactions!$G:$G,$A1736,
          Transactions!$C:$C,"OUT"))</f>
        <v/>
      </c>
      <c r="I1736" s="65" t="str">
        <f t="shared" si="137"/>
        <v/>
      </c>
      <c r="J1736" s="59" t="str">
        <f t="shared" si="140"/>
        <v/>
      </c>
    </row>
    <row r="1737" spans="4:10" ht="22.5" customHeight="1" x14ac:dyDescent="0.25">
      <c r="D1737" s="59" t="str">
        <f t="shared" si="136"/>
        <v/>
      </c>
      <c r="E1737" s="59" t="str">
        <f t="shared" si="138"/>
        <v/>
      </c>
      <c r="F1737" s="59" t="str">
        <f t="shared" si="139"/>
        <v/>
      </c>
      <c r="G1737" s="59" t="str">
        <f>IF($A1737="","",
   SUMIFS(Transactions!$P:$P,
          Transactions!$G:$G,$A1737,
          Transactions!$C:$C,"IN",
          Transactions!$Q:$Q,"Paid"))</f>
        <v/>
      </c>
      <c r="H1737" s="59" t="str">
        <f>IF($A1737="","",
   SUMIFS(Transactions!$P:$P,
          Transactions!$G:$G,$A1737,
          Transactions!$C:$C,"OUT"))</f>
        <v/>
      </c>
      <c r="I1737" s="65" t="str">
        <f t="shared" si="137"/>
        <v/>
      </c>
      <c r="J1737" s="59" t="str">
        <f t="shared" si="140"/>
        <v/>
      </c>
    </row>
    <row r="1738" spans="4:10" ht="22.5" customHeight="1" x14ac:dyDescent="0.25">
      <c r="D1738" s="59" t="str">
        <f t="shared" si="136"/>
        <v/>
      </c>
      <c r="E1738" s="59" t="str">
        <f t="shared" si="138"/>
        <v/>
      </c>
      <c r="F1738" s="59" t="str">
        <f t="shared" si="139"/>
        <v/>
      </c>
      <c r="G1738" s="59" t="str">
        <f>IF($A1738="","",
   SUMIFS(Transactions!$P:$P,
          Transactions!$G:$G,$A1738,
          Transactions!$C:$C,"IN",
          Transactions!$Q:$Q,"Paid"))</f>
        <v/>
      </c>
      <c r="H1738" s="59" t="str">
        <f>IF($A1738="","",
   SUMIFS(Transactions!$P:$P,
          Transactions!$G:$G,$A1738,
          Transactions!$C:$C,"OUT"))</f>
        <v/>
      </c>
      <c r="I1738" s="65" t="str">
        <f t="shared" si="137"/>
        <v/>
      </c>
      <c r="J1738" s="59" t="str">
        <f t="shared" si="140"/>
        <v/>
      </c>
    </row>
    <row r="1739" spans="4:10" ht="22.5" customHeight="1" x14ac:dyDescent="0.25">
      <c r="D1739" s="59" t="str">
        <f t="shared" si="136"/>
        <v/>
      </c>
      <c r="E1739" s="59" t="str">
        <f t="shared" si="138"/>
        <v/>
      </c>
      <c r="F1739" s="59" t="str">
        <f t="shared" si="139"/>
        <v/>
      </c>
      <c r="G1739" s="59" t="str">
        <f>IF($A1739="","",
   SUMIFS(Transactions!$P:$P,
          Transactions!$G:$G,$A1739,
          Transactions!$C:$C,"IN",
          Transactions!$Q:$Q,"Paid"))</f>
        <v/>
      </c>
      <c r="H1739" s="59" t="str">
        <f>IF($A1739="","",
   SUMIFS(Transactions!$P:$P,
          Transactions!$G:$G,$A1739,
          Transactions!$C:$C,"OUT"))</f>
        <v/>
      </c>
      <c r="I1739" s="65" t="str">
        <f t="shared" si="137"/>
        <v/>
      </c>
      <c r="J1739" s="59" t="str">
        <f t="shared" si="140"/>
        <v/>
      </c>
    </row>
    <row r="1740" spans="4:10" ht="22.5" customHeight="1" x14ac:dyDescent="0.25">
      <c r="D1740" s="59" t="str">
        <f t="shared" si="136"/>
        <v/>
      </c>
      <c r="E1740" s="59" t="str">
        <f t="shared" si="138"/>
        <v/>
      </c>
      <c r="F1740" s="59" t="str">
        <f t="shared" si="139"/>
        <v/>
      </c>
      <c r="G1740" s="59" t="str">
        <f>IF($A1740="","",
   SUMIFS(Transactions!$P:$P,
          Transactions!$G:$G,$A1740,
          Transactions!$C:$C,"IN",
          Transactions!$Q:$Q,"Paid"))</f>
        <v/>
      </c>
      <c r="H1740" s="59" t="str">
        <f>IF($A1740="","",
   SUMIFS(Transactions!$P:$P,
          Transactions!$G:$G,$A1740,
          Transactions!$C:$C,"OUT"))</f>
        <v/>
      </c>
      <c r="I1740" s="65" t="str">
        <f t="shared" si="137"/>
        <v/>
      </c>
      <c r="J1740" s="59" t="str">
        <f t="shared" si="140"/>
        <v/>
      </c>
    </row>
    <row r="1741" spans="4:10" ht="22.5" customHeight="1" x14ac:dyDescent="0.25">
      <c r="D1741" s="59" t="str">
        <f t="shared" si="136"/>
        <v/>
      </c>
      <c r="E1741" s="59" t="str">
        <f t="shared" si="138"/>
        <v/>
      </c>
      <c r="F1741" s="59" t="str">
        <f t="shared" si="139"/>
        <v/>
      </c>
      <c r="G1741" s="59" t="str">
        <f>IF($A1741="","",
   SUMIFS(Transactions!$P:$P,
          Transactions!$G:$G,$A1741,
          Transactions!$C:$C,"IN",
          Transactions!$Q:$Q,"Paid"))</f>
        <v/>
      </c>
      <c r="H1741" s="59" t="str">
        <f>IF($A1741="","",
   SUMIFS(Transactions!$P:$P,
          Transactions!$G:$G,$A1741,
          Transactions!$C:$C,"OUT"))</f>
        <v/>
      </c>
      <c r="I1741" s="65" t="str">
        <f t="shared" si="137"/>
        <v/>
      </c>
      <c r="J1741" s="59" t="str">
        <f t="shared" si="140"/>
        <v/>
      </c>
    </row>
    <row r="1742" spans="4:10" ht="22.5" customHeight="1" x14ac:dyDescent="0.25">
      <c r="D1742" s="59" t="str">
        <f t="shared" si="136"/>
        <v/>
      </c>
      <c r="E1742" s="59" t="str">
        <f t="shared" si="138"/>
        <v/>
      </c>
      <c r="F1742" s="59" t="str">
        <f t="shared" si="139"/>
        <v/>
      </c>
      <c r="G1742" s="59" t="str">
        <f>IF($A1742="","",
   SUMIFS(Transactions!$P:$P,
          Transactions!$G:$G,$A1742,
          Transactions!$C:$C,"IN",
          Transactions!$Q:$Q,"Paid"))</f>
        <v/>
      </c>
      <c r="H1742" s="59" t="str">
        <f>IF($A1742="","",
   SUMIFS(Transactions!$P:$P,
          Transactions!$G:$G,$A1742,
          Transactions!$C:$C,"OUT"))</f>
        <v/>
      </c>
      <c r="I1742" s="65" t="str">
        <f t="shared" si="137"/>
        <v/>
      </c>
      <c r="J1742" s="59" t="str">
        <f t="shared" si="140"/>
        <v/>
      </c>
    </row>
    <row r="1743" spans="4:10" ht="22.5" customHeight="1" x14ac:dyDescent="0.25">
      <c r="D1743" s="59" t="str">
        <f t="shared" si="136"/>
        <v/>
      </c>
      <c r="E1743" s="59" t="str">
        <f t="shared" si="138"/>
        <v/>
      </c>
      <c r="F1743" s="59" t="str">
        <f t="shared" si="139"/>
        <v/>
      </c>
      <c r="G1743" s="59" t="str">
        <f>IF($A1743="","",
   SUMIFS(Transactions!$P:$P,
          Transactions!$G:$G,$A1743,
          Transactions!$C:$C,"IN",
          Transactions!$Q:$Q,"Paid"))</f>
        <v/>
      </c>
      <c r="H1743" s="59" t="str">
        <f>IF($A1743="","",
   SUMIFS(Transactions!$P:$P,
          Transactions!$G:$G,$A1743,
          Transactions!$C:$C,"OUT"))</f>
        <v/>
      </c>
      <c r="I1743" s="65" t="str">
        <f t="shared" si="137"/>
        <v/>
      </c>
      <c r="J1743" s="59" t="str">
        <f t="shared" si="140"/>
        <v/>
      </c>
    </row>
    <row r="1744" spans="4:10" ht="22.5" customHeight="1" x14ac:dyDescent="0.25">
      <c r="D1744" s="59" t="str">
        <f t="shared" si="136"/>
        <v/>
      </c>
      <c r="E1744" s="59" t="str">
        <f t="shared" si="138"/>
        <v/>
      </c>
      <c r="F1744" s="59" t="str">
        <f t="shared" si="139"/>
        <v/>
      </c>
      <c r="G1744" s="59" t="str">
        <f>IF($A1744="","",
   SUMIFS(Transactions!$P:$P,
          Transactions!$G:$G,$A1744,
          Transactions!$C:$C,"IN",
          Transactions!$Q:$Q,"Paid"))</f>
        <v/>
      </c>
      <c r="H1744" s="59" t="str">
        <f>IF($A1744="","",
   SUMIFS(Transactions!$P:$P,
          Transactions!$G:$G,$A1744,
          Transactions!$C:$C,"OUT"))</f>
        <v/>
      </c>
      <c r="I1744" s="65" t="str">
        <f t="shared" si="137"/>
        <v/>
      </c>
      <c r="J1744" s="59" t="str">
        <f t="shared" si="140"/>
        <v/>
      </c>
    </row>
    <row r="1745" spans="4:10" ht="22.5" customHeight="1" x14ac:dyDescent="0.25">
      <c r="D1745" s="59" t="str">
        <f t="shared" si="136"/>
        <v/>
      </c>
      <c r="E1745" s="59" t="str">
        <f t="shared" si="138"/>
        <v/>
      </c>
      <c r="F1745" s="59" t="str">
        <f t="shared" si="139"/>
        <v/>
      </c>
      <c r="G1745" s="59" t="str">
        <f>IF($A1745="","",
   SUMIFS(Transactions!$P:$P,
          Transactions!$G:$G,$A1745,
          Transactions!$C:$C,"IN",
          Transactions!$Q:$Q,"Paid"))</f>
        <v/>
      </c>
      <c r="H1745" s="59" t="str">
        <f>IF($A1745="","",
   SUMIFS(Transactions!$P:$P,
          Transactions!$G:$G,$A1745,
          Transactions!$C:$C,"OUT"))</f>
        <v/>
      </c>
      <c r="I1745" s="65" t="str">
        <f t="shared" si="137"/>
        <v/>
      </c>
      <c r="J1745" s="59" t="str">
        <f t="shared" si="140"/>
        <v/>
      </c>
    </row>
    <row r="1746" spans="4:10" ht="22.5" customHeight="1" x14ac:dyDescent="0.25">
      <c r="D1746" s="59" t="str">
        <f t="shared" si="136"/>
        <v/>
      </c>
      <c r="E1746" s="59" t="str">
        <f t="shared" si="138"/>
        <v/>
      </c>
      <c r="F1746" s="59" t="str">
        <f t="shared" si="139"/>
        <v/>
      </c>
      <c r="G1746" s="59" t="str">
        <f>IF($A1746="","",
   SUMIFS(Transactions!$P:$P,
          Transactions!$G:$G,$A1746,
          Transactions!$C:$C,"IN",
          Transactions!$Q:$Q,"Paid"))</f>
        <v/>
      </c>
      <c r="H1746" s="59" t="str">
        <f>IF($A1746="","",
   SUMIFS(Transactions!$P:$P,
          Transactions!$G:$G,$A1746,
          Transactions!$C:$C,"OUT"))</f>
        <v/>
      </c>
      <c r="I1746" s="65" t="str">
        <f t="shared" si="137"/>
        <v/>
      </c>
      <c r="J1746" s="59" t="str">
        <f t="shared" si="140"/>
        <v/>
      </c>
    </row>
    <row r="1747" spans="4:10" ht="22.5" customHeight="1" x14ac:dyDescent="0.25">
      <c r="D1747" s="59" t="str">
        <f t="shared" si="136"/>
        <v/>
      </c>
      <c r="E1747" s="59" t="str">
        <f t="shared" si="138"/>
        <v/>
      </c>
      <c r="F1747" s="59" t="str">
        <f t="shared" si="139"/>
        <v/>
      </c>
      <c r="G1747" s="59" t="str">
        <f>IF($A1747="","",
   SUMIFS(Transactions!$P:$P,
          Transactions!$G:$G,$A1747,
          Transactions!$C:$C,"IN",
          Transactions!$Q:$Q,"Paid"))</f>
        <v/>
      </c>
      <c r="H1747" s="59" t="str">
        <f>IF($A1747="","",
   SUMIFS(Transactions!$P:$P,
          Transactions!$G:$G,$A1747,
          Transactions!$C:$C,"OUT"))</f>
        <v/>
      </c>
      <c r="I1747" s="65" t="str">
        <f t="shared" si="137"/>
        <v/>
      </c>
      <c r="J1747" s="59" t="str">
        <f t="shared" si="140"/>
        <v/>
      </c>
    </row>
    <row r="1748" spans="4:10" ht="22.5" customHeight="1" x14ac:dyDescent="0.25">
      <c r="D1748" s="59" t="str">
        <f t="shared" si="136"/>
        <v/>
      </c>
      <c r="E1748" s="59" t="str">
        <f t="shared" si="138"/>
        <v/>
      </c>
      <c r="F1748" s="59" t="str">
        <f t="shared" si="139"/>
        <v/>
      </c>
      <c r="G1748" s="59" t="str">
        <f>IF($A1748="","",
   SUMIFS(Transactions!$P:$P,
          Transactions!$G:$G,$A1748,
          Transactions!$C:$C,"IN",
          Transactions!$Q:$Q,"Paid"))</f>
        <v/>
      </c>
      <c r="H1748" s="59" t="str">
        <f>IF($A1748="","",
   SUMIFS(Transactions!$P:$P,
          Transactions!$G:$G,$A1748,
          Transactions!$C:$C,"OUT"))</f>
        <v/>
      </c>
      <c r="I1748" s="65" t="str">
        <f t="shared" si="137"/>
        <v/>
      </c>
      <c r="J1748" s="59" t="str">
        <f t="shared" si="140"/>
        <v/>
      </c>
    </row>
    <row r="1749" spans="4:10" ht="22.5" customHeight="1" x14ac:dyDescent="0.25">
      <c r="D1749" s="59" t="str">
        <f t="shared" si="136"/>
        <v/>
      </c>
      <c r="E1749" s="59" t="str">
        <f t="shared" si="138"/>
        <v/>
      </c>
      <c r="F1749" s="59" t="str">
        <f t="shared" si="139"/>
        <v/>
      </c>
      <c r="G1749" s="59" t="str">
        <f>IF($A1749="","",
   SUMIFS(Transactions!$P:$P,
          Transactions!$G:$G,$A1749,
          Transactions!$C:$C,"IN",
          Transactions!$Q:$Q,"Paid"))</f>
        <v/>
      </c>
      <c r="H1749" s="59" t="str">
        <f>IF($A1749="","",
   SUMIFS(Transactions!$P:$P,
          Transactions!$G:$G,$A1749,
          Transactions!$C:$C,"OUT"))</f>
        <v/>
      </c>
      <c r="I1749" s="65" t="str">
        <f t="shared" si="137"/>
        <v/>
      </c>
      <c r="J1749" s="59" t="str">
        <f t="shared" si="140"/>
        <v/>
      </c>
    </row>
    <row r="1750" spans="4:10" ht="22.5" customHeight="1" x14ac:dyDescent="0.25">
      <c r="D1750" s="59" t="str">
        <f t="shared" si="136"/>
        <v/>
      </c>
      <c r="E1750" s="59" t="str">
        <f t="shared" si="138"/>
        <v/>
      </c>
      <c r="F1750" s="59" t="str">
        <f t="shared" si="139"/>
        <v/>
      </c>
      <c r="G1750" s="59" t="str">
        <f>IF($A1750="","",
   SUMIFS(Transactions!$P:$P,
          Transactions!$G:$G,$A1750,
          Transactions!$C:$C,"IN",
          Transactions!$Q:$Q,"Paid"))</f>
        <v/>
      </c>
      <c r="H1750" s="59" t="str">
        <f>IF($A1750="","",
   SUMIFS(Transactions!$P:$P,
          Transactions!$G:$G,$A1750,
          Transactions!$C:$C,"OUT"))</f>
        <v/>
      </c>
      <c r="I1750" s="65" t="str">
        <f t="shared" si="137"/>
        <v/>
      </c>
      <c r="J1750" s="59" t="str">
        <f t="shared" si="140"/>
        <v/>
      </c>
    </row>
    <row r="1751" spans="4:10" ht="22.5" customHeight="1" x14ac:dyDescent="0.25">
      <c r="D1751" s="59" t="str">
        <f t="shared" si="136"/>
        <v/>
      </c>
      <c r="E1751" s="59" t="str">
        <f t="shared" si="138"/>
        <v/>
      </c>
      <c r="F1751" s="59" t="str">
        <f t="shared" si="139"/>
        <v/>
      </c>
      <c r="G1751" s="59" t="str">
        <f>IF($A1751="","",
   SUMIFS(Transactions!$P:$P,
          Transactions!$G:$G,$A1751,
          Transactions!$C:$C,"IN",
          Transactions!$Q:$Q,"Paid"))</f>
        <v/>
      </c>
      <c r="H1751" s="59" t="str">
        <f>IF($A1751="","",
   SUMIFS(Transactions!$P:$P,
          Transactions!$G:$G,$A1751,
          Transactions!$C:$C,"OUT"))</f>
        <v/>
      </c>
      <c r="I1751" s="65" t="str">
        <f t="shared" si="137"/>
        <v/>
      </c>
      <c r="J1751" s="59" t="str">
        <f t="shared" si="140"/>
        <v/>
      </c>
    </row>
    <row r="1752" spans="4:10" ht="22.5" customHeight="1" x14ac:dyDescent="0.25">
      <c r="D1752" s="59" t="str">
        <f t="shared" si="136"/>
        <v/>
      </c>
      <c r="E1752" s="59" t="str">
        <f t="shared" si="138"/>
        <v/>
      </c>
      <c r="F1752" s="59" t="str">
        <f t="shared" si="139"/>
        <v/>
      </c>
      <c r="G1752" s="59" t="str">
        <f>IF($A1752="","",
   SUMIFS(Transactions!$P:$P,
          Transactions!$G:$G,$A1752,
          Transactions!$C:$C,"IN",
          Transactions!$Q:$Q,"Paid"))</f>
        <v/>
      </c>
      <c r="H1752" s="59" t="str">
        <f>IF($A1752="","",
   SUMIFS(Transactions!$P:$P,
          Transactions!$G:$G,$A1752,
          Transactions!$C:$C,"OUT"))</f>
        <v/>
      </c>
      <c r="I1752" s="65" t="str">
        <f t="shared" si="137"/>
        <v/>
      </c>
      <c r="J1752" s="59" t="str">
        <f t="shared" si="140"/>
        <v/>
      </c>
    </row>
    <row r="1753" spans="4:10" ht="22.5" customHeight="1" x14ac:dyDescent="0.25">
      <c r="D1753" s="59" t="str">
        <f t="shared" si="136"/>
        <v/>
      </c>
      <c r="E1753" s="59" t="str">
        <f t="shared" si="138"/>
        <v/>
      </c>
      <c r="F1753" s="59" t="str">
        <f t="shared" si="139"/>
        <v/>
      </c>
      <c r="G1753" s="59" t="str">
        <f>IF($A1753="","",
   SUMIFS(Transactions!$P:$P,
          Transactions!$G:$G,$A1753,
          Transactions!$C:$C,"IN",
          Transactions!$Q:$Q,"Paid"))</f>
        <v/>
      </c>
      <c r="H1753" s="59" t="str">
        <f>IF($A1753="","",
   SUMIFS(Transactions!$P:$P,
          Transactions!$G:$G,$A1753,
          Transactions!$C:$C,"OUT"))</f>
        <v/>
      </c>
      <c r="I1753" s="65" t="str">
        <f t="shared" si="137"/>
        <v/>
      </c>
      <c r="J1753" s="59" t="str">
        <f t="shared" si="140"/>
        <v/>
      </c>
    </row>
    <row r="1754" spans="4:10" ht="22.5" customHeight="1" x14ac:dyDescent="0.25">
      <c r="D1754" s="59" t="str">
        <f t="shared" si="136"/>
        <v/>
      </c>
      <c r="E1754" s="59" t="str">
        <f t="shared" si="138"/>
        <v/>
      </c>
      <c r="F1754" s="59" t="str">
        <f t="shared" si="139"/>
        <v/>
      </c>
      <c r="G1754" s="59" t="str">
        <f>IF($A1754="","",
   SUMIFS(Transactions!$P:$P,
          Transactions!$G:$G,$A1754,
          Transactions!$C:$C,"IN",
          Transactions!$Q:$Q,"Paid"))</f>
        <v/>
      </c>
      <c r="H1754" s="59" t="str">
        <f>IF($A1754="","",
   SUMIFS(Transactions!$P:$P,
          Transactions!$G:$G,$A1754,
          Transactions!$C:$C,"OUT"))</f>
        <v/>
      </c>
      <c r="I1754" s="65" t="str">
        <f t="shared" si="137"/>
        <v/>
      </c>
      <c r="J1754" s="59" t="str">
        <f t="shared" si="140"/>
        <v/>
      </c>
    </row>
    <row r="1755" spans="4:10" ht="22.5" customHeight="1" x14ac:dyDescent="0.25">
      <c r="D1755" s="59" t="str">
        <f t="shared" si="136"/>
        <v/>
      </c>
      <c r="E1755" s="59" t="str">
        <f t="shared" si="138"/>
        <v/>
      </c>
      <c r="F1755" s="59" t="str">
        <f t="shared" si="139"/>
        <v/>
      </c>
      <c r="G1755" s="59" t="str">
        <f>IF($A1755="","",
   SUMIFS(Transactions!$P:$P,
          Transactions!$G:$G,$A1755,
          Transactions!$C:$C,"IN",
          Transactions!$Q:$Q,"Paid"))</f>
        <v/>
      </c>
      <c r="H1755" s="59" t="str">
        <f>IF($A1755="","",
   SUMIFS(Transactions!$P:$P,
          Transactions!$G:$G,$A1755,
          Transactions!$C:$C,"OUT"))</f>
        <v/>
      </c>
      <c r="I1755" s="65" t="str">
        <f t="shared" si="137"/>
        <v/>
      </c>
      <c r="J1755" s="59" t="str">
        <f t="shared" si="140"/>
        <v/>
      </c>
    </row>
    <row r="1756" spans="4:10" ht="22.5" customHeight="1" x14ac:dyDescent="0.25">
      <c r="D1756" s="59" t="str">
        <f t="shared" si="136"/>
        <v/>
      </c>
      <c r="E1756" s="59" t="str">
        <f t="shared" si="138"/>
        <v/>
      </c>
      <c r="F1756" s="59" t="str">
        <f t="shared" si="139"/>
        <v/>
      </c>
      <c r="G1756" s="59" t="str">
        <f>IF($A1756="","",
   SUMIFS(Transactions!$P:$P,
          Transactions!$G:$G,$A1756,
          Transactions!$C:$C,"IN",
          Transactions!$Q:$Q,"Paid"))</f>
        <v/>
      </c>
      <c r="H1756" s="59" t="str">
        <f>IF($A1756="","",
   SUMIFS(Transactions!$P:$P,
          Transactions!$G:$G,$A1756,
          Transactions!$C:$C,"OUT"))</f>
        <v/>
      </c>
      <c r="I1756" s="65" t="str">
        <f t="shared" si="137"/>
        <v/>
      </c>
      <c r="J1756" s="59" t="str">
        <f t="shared" si="140"/>
        <v/>
      </c>
    </row>
    <row r="1757" spans="4:10" ht="22.5" customHeight="1" x14ac:dyDescent="0.25">
      <c r="D1757" s="59" t="str">
        <f t="shared" si="136"/>
        <v/>
      </c>
      <c r="E1757" s="59" t="str">
        <f t="shared" si="138"/>
        <v/>
      </c>
      <c r="F1757" s="59" t="str">
        <f t="shared" si="139"/>
        <v/>
      </c>
      <c r="G1757" s="59" t="str">
        <f>IF($A1757="","",
   SUMIFS(Transactions!$P:$P,
          Transactions!$G:$G,$A1757,
          Transactions!$C:$C,"IN",
          Transactions!$Q:$Q,"Paid"))</f>
        <v/>
      </c>
      <c r="H1757" s="59" t="str">
        <f>IF($A1757="","",
   SUMIFS(Transactions!$P:$P,
          Transactions!$G:$G,$A1757,
          Transactions!$C:$C,"OUT"))</f>
        <v/>
      </c>
      <c r="I1757" s="65" t="str">
        <f t="shared" si="137"/>
        <v/>
      </c>
      <c r="J1757" s="59" t="str">
        <f t="shared" si="140"/>
        <v/>
      </c>
    </row>
    <row r="1758" spans="4:10" ht="22.5" customHeight="1" x14ac:dyDescent="0.25">
      <c r="D1758" s="59" t="str">
        <f t="shared" si="136"/>
        <v/>
      </c>
      <c r="E1758" s="59" t="str">
        <f t="shared" si="138"/>
        <v/>
      </c>
      <c r="F1758" s="59" t="str">
        <f t="shared" si="139"/>
        <v/>
      </c>
      <c r="G1758" s="59" t="str">
        <f>IF($A1758="","",
   SUMIFS(Transactions!$P:$P,
          Transactions!$G:$G,$A1758,
          Transactions!$C:$C,"IN",
          Transactions!$Q:$Q,"Paid"))</f>
        <v/>
      </c>
      <c r="H1758" s="59" t="str">
        <f>IF($A1758="","",
   SUMIFS(Transactions!$P:$P,
          Transactions!$G:$G,$A1758,
          Transactions!$C:$C,"OUT"))</f>
        <v/>
      </c>
      <c r="I1758" s="65" t="str">
        <f t="shared" si="137"/>
        <v/>
      </c>
      <c r="J1758" s="59" t="str">
        <f t="shared" si="140"/>
        <v/>
      </c>
    </row>
    <row r="1759" spans="4:10" ht="22.5" customHeight="1" x14ac:dyDescent="0.25">
      <c r="D1759" s="59" t="str">
        <f t="shared" si="136"/>
        <v/>
      </c>
      <c r="E1759" s="59" t="str">
        <f t="shared" si="138"/>
        <v/>
      </c>
      <c r="F1759" s="59" t="str">
        <f t="shared" si="139"/>
        <v/>
      </c>
      <c r="G1759" s="59" t="str">
        <f>IF($A1759="","",
   SUMIFS(Transactions!$P:$P,
          Transactions!$G:$G,$A1759,
          Transactions!$C:$C,"IN",
          Transactions!$Q:$Q,"Paid"))</f>
        <v/>
      </c>
      <c r="H1759" s="59" t="str">
        <f>IF($A1759="","",
   SUMIFS(Transactions!$P:$P,
          Transactions!$G:$G,$A1759,
          Transactions!$C:$C,"OUT"))</f>
        <v/>
      </c>
      <c r="I1759" s="65" t="str">
        <f t="shared" si="137"/>
        <v/>
      </c>
      <c r="J1759" s="59" t="str">
        <f t="shared" si="140"/>
        <v/>
      </c>
    </row>
    <row r="1760" spans="4:10" ht="22.5" customHeight="1" x14ac:dyDescent="0.25">
      <c r="D1760" s="59" t="str">
        <f t="shared" si="136"/>
        <v/>
      </c>
      <c r="E1760" s="59" t="str">
        <f t="shared" si="138"/>
        <v/>
      </c>
      <c r="F1760" s="59" t="str">
        <f t="shared" si="139"/>
        <v/>
      </c>
      <c r="G1760" s="59" t="str">
        <f>IF($A1760="","",
   SUMIFS(Transactions!$P:$P,
          Transactions!$G:$G,$A1760,
          Transactions!$C:$C,"IN",
          Transactions!$Q:$Q,"Paid"))</f>
        <v/>
      </c>
      <c r="H1760" s="59" t="str">
        <f>IF($A1760="","",
   SUMIFS(Transactions!$P:$P,
          Transactions!$G:$G,$A1760,
          Transactions!$C:$C,"OUT"))</f>
        <v/>
      </c>
      <c r="I1760" s="65" t="str">
        <f t="shared" si="137"/>
        <v/>
      </c>
      <c r="J1760" s="59" t="str">
        <f t="shared" si="140"/>
        <v/>
      </c>
    </row>
    <row r="1761" spans="4:10" ht="22.5" customHeight="1" x14ac:dyDescent="0.25">
      <c r="D1761" s="59" t="str">
        <f t="shared" si="136"/>
        <v/>
      </c>
      <c r="E1761" s="59" t="str">
        <f t="shared" si="138"/>
        <v/>
      </c>
      <c r="F1761" s="59" t="str">
        <f t="shared" si="139"/>
        <v/>
      </c>
      <c r="G1761" s="59" t="str">
        <f>IF($A1761="","",
   SUMIFS(Transactions!$P:$P,
          Transactions!$G:$G,$A1761,
          Transactions!$C:$C,"IN",
          Transactions!$Q:$Q,"Paid"))</f>
        <v/>
      </c>
      <c r="H1761" s="59" t="str">
        <f>IF($A1761="","",
   SUMIFS(Transactions!$P:$P,
          Transactions!$G:$G,$A1761,
          Transactions!$C:$C,"OUT"))</f>
        <v/>
      </c>
      <c r="I1761" s="65" t="str">
        <f t="shared" si="137"/>
        <v/>
      </c>
      <c r="J1761" s="59" t="str">
        <f t="shared" si="140"/>
        <v/>
      </c>
    </row>
    <row r="1762" spans="4:10" ht="22.5" customHeight="1" x14ac:dyDescent="0.25">
      <c r="D1762" s="59" t="str">
        <f t="shared" si="136"/>
        <v/>
      </c>
      <c r="E1762" s="59" t="str">
        <f t="shared" si="138"/>
        <v/>
      </c>
      <c r="F1762" s="59" t="str">
        <f t="shared" si="139"/>
        <v/>
      </c>
      <c r="G1762" s="59" t="str">
        <f>IF($A1762="","",
   SUMIFS(Transactions!$P:$P,
          Transactions!$G:$G,$A1762,
          Transactions!$C:$C,"IN",
          Transactions!$Q:$Q,"Paid"))</f>
        <v/>
      </c>
      <c r="H1762" s="59" t="str">
        <f>IF($A1762="","",
   SUMIFS(Transactions!$P:$P,
          Transactions!$G:$G,$A1762,
          Transactions!$C:$C,"OUT"))</f>
        <v/>
      </c>
      <c r="I1762" s="65" t="str">
        <f t="shared" si="137"/>
        <v/>
      </c>
      <c r="J1762" s="59" t="str">
        <f t="shared" si="140"/>
        <v/>
      </c>
    </row>
    <row r="1763" spans="4:10" ht="22.5" customHeight="1" x14ac:dyDescent="0.25">
      <c r="D1763" s="59" t="str">
        <f t="shared" si="136"/>
        <v/>
      </c>
      <c r="E1763" s="59" t="str">
        <f t="shared" si="138"/>
        <v/>
      </c>
      <c r="F1763" s="59" t="str">
        <f t="shared" si="139"/>
        <v/>
      </c>
      <c r="G1763" s="59" t="str">
        <f>IF($A1763="","",
   SUMIFS(Transactions!$P:$P,
          Transactions!$G:$G,$A1763,
          Transactions!$C:$C,"IN",
          Transactions!$Q:$Q,"Paid"))</f>
        <v/>
      </c>
      <c r="H1763" s="59" t="str">
        <f>IF($A1763="","",
   SUMIFS(Transactions!$P:$P,
          Transactions!$G:$G,$A1763,
          Transactions!$C:$C,"OUT"))</f>
        <v/>
      </c>
      <c r="I1763" s="65" t="str">
        <f t="shared" si="137"/>
        <v/>
      </c>
      <c r="J1763" s="59" t="str">
        <f t="shared" si="140"/>
        <v/>
      </c>
    </row>
    <row r="1764" spans="4:10" ht="22.5" customHeight="1" x14ac:dyDescent="0.25">
      <c r="D1764" s="59" t="str">
        <f t="shared" si="136"/>
        <v/>
      </c>
      <c r="E1764" s="59" t="str">
        <f t="shared" si="138"/>
        <v/>
      </c>
      <c r="F1764" s="59" t="str">
        <f t="shared" si="139"/>
        <v/>
      </c>
      <c r="G1764" s="59" t="str">
        <f>IF($A1764="","",
   SUMIFS(Transactions!$P:$P,
          Transactions!$G:$G,$A1764,
          Transactions!$C:$C,"IN",
          Transactions!$Q:$Q,"Paid"))</f>
        <v/>
      </c>
      <c r="H1764" s="59" t="str">
        <f>IF($A1764="","",
   SUMIFS(Transactions!$P:$P,
          Transactions!$G:$G,$A1764,
          Transactions!$C:$C,"OUT"))</f>
        <v/>
      </c>
      <c r="I1764" s="65" t="str">
        <f t="shared" si="137"/>
        <v/>
      </c>
      <c r="J1764" s="59" t="str">
        <f t="shared" si="140"/>
        <v/>
      </c>
    </row>
    <row r="1765" spans="4:10" ht="22.5" customHeight="1" x14ac:dyDescent="0.25">
      <c r="D1765" s="59" t="str">
        <f t="shared" si="136"/>
        <v/>
      </c>
      <c r="E1765" s="59" t="str">
        <f t="shared" si="138"/>
        <v/>
      </c>
      <c r="F1765" s="59" t="str">
        <f t="shared" si="139"/>
        <v/>
      </c>
      <c r="G1765" s="59" t="str">
        <f>IF($A1765="","",
   SUMIFS(Transactions!$P:$P,
          Transactions!$G:$G,$A1765,
          Transactions!$C:$C,"IN",
          Transactions!$Q:$Q,"Paid"))</f>
        <v/>
      </c>
      <c r="H1765" s="59" t="str">
        <f>IF($A1765="","",
   SUMIFS(Transactions!$P:$P,
          Transactions!$G:$G,$A1765,
          Transactions!$C:$C,"OUT"))</f>
        <v/>
      </c>
      <c r="I1765" s="65" t="str">
        <f t="shared" si="137"/>
        <v/>
      </c>
      <c r="J1765" s="59" t="str">
        <f t="shared" si="140"/>
        <v/>
      </c>
    </row>
    <row r="1766" spans="4:10" ht="22.5" customHeight="1" x14ac:dyDescent="0.25">
      <c r="D1766" s="59" t="str">
        <f t="shared" si="136"/>
        <v/>
      </c>
      <c r="E1766" s="59" t="str">
        <f t="shared" si="138"/>
        <v/>
      </c>
      <c r="F1766" s="59" t="str">
        <f t="shared" si="139"/>
        <v/>
      </c>
      <c r="G1766" s="59" t="str">
        <f>IF($A1766="","",
   SUMIFS(Transactions!$P:$P,
          Transactions!$G:$G,$A1766,
          Transactions!$C:$C,"IN",
          Transactions!$Q:$Q,"Paid"))</f>
        <v/>
      </c>
      <c r="H1766" s="59" t="str">
        <f>IF($A1766="","",
   SUMIFS(Transactions!$P:$P,
          Transactions!$G:$G,$A1766,
          Transactions!$C:$C,"OUT"))</f>
        <v/>
      </c>
      <c r="I1766" s="65" t="str">
        <f t="shared" si="137"/>
        <v/>
      </c>
      <c r="J1766" s="59" t="str">
        <f t="shared" si="140"/>
        <v/>
      </c>
    </row>
    <row r="1767" spans="4:10" ht="22.5" customHeight="1" x14ac:dyDescent="0.25">
      <c r="D1767" s="59" t="str">
        <f t="shared" si="136"/>
        <v/>
      </c>
      <c r="E1767" s="59" t="str">
        <f t="shared" si="138"/>
        <v/>
      </c>
      <c r="F1767" s="59" t="str">
        <f t="shared" si="139"/>
        <v/>
      </c>
      <c r="G1767" s="59" t="str">
        <f>IF($A1767="","",
   SUMIFS(Transactions!$P:$P,
          Transactions!$G:$G,$A1767,
          Transactions!$C:$C,"IN",
          Transactions!$Q:$Q,"Paid"))</f>
        <v/>
      </c>
      <c r="H1767" s="59" t="str">
        <f>IF($A1767="","",
   SUMIFS(Transactions!$P:$P,
          Transactions!$G:$G,$A1767,
          Transactions!$C:$C,"OUT"))</f>
        <v/>
      </c>
      <c r="I1767" s="65" t="str">
        <f t="shared" si="137"/>
        <v/>
      </c>
      <c r="J1767" s="59" t="str">
        <f t="shared" si="140"/>
        <v/>
      </c>
    </row>
    <row r="1768" spans="4:10" ht="22.5" customHeight="1" x14ac:dyDescent="0.25">
      <c r="D1768" s="59" t="str">
        <f t="shared" si="136"/>
        <v/>
      </c>
      <c r="E1768" s="59" t="str">
        <f t="shared" si="138"/>
        <v/>
      </c>
      <c r="F1768" s="59" t="str">
        <f t="shared" si="139"/>
        <v/>
      </c>
      <c r="G1768" s="59" t="str">
        <f>IF($A1768="","",
   SUMIFS(Transactions!$P:$P,
          Transactions!$G:$G,$A1768,
          Transactions!$C:$C,"IN",
          Transactions!$Q:$Q,"Paid"))</f>
        <v/>
      </c>
      <c r="H1768" s="59" t="str">
        <f>IF($A1768="","",
   SUMIFS(Transactions!$P:$P,
          Transactions!$G:$G,$A1768,
          Transactions!$C:$C,"OUT"))</f>
        <v/>
      </c>
      <c r="I1768" s="65" t="str">
        <f t="shared" si="137"/>
        <v/>
      </c>
      <c r="J1768" s="59" t="str">
        <f t="shared" si="140"/>
        <v/>
      </c>
    </row>
    <row r="1769" spans="4:10" ht="22.5" customHeight="1" x14ac:dyDescent="0.25">
      <c r="D1769" s="59" t="str">
        <f t="shared" si="136"/>
        <v/>
      </c>
      <c r="E1769" s="59" t="str">
        <f t="shared" si="138"/>
        <v/>
      </c>
      <c r="F1769" s="59" t="str">
        <f t="shared" si="139"/>
        <v/>
      </c>
      <c r="G1769" s="59" t="str">
        <f>IF($A1769="","",
   SUMIFS(Transactions!$P:$P,
          Transactions!$G:$G,$A1769,
          Transactions!$C:$C,"IN",
          Transactions!$Q:$Q,"Paid"))</f>
        <v/>
      </c>
      <c r="H1769" s="59" t="str">
        <f>IF($A1769="","",
   SUMIFS(Transactions!$P:$P,
          Transactions!$G:$G,$A1769,
          Transactions!$C:$C,"OUT"))</f>
        <v/>
      </c>
      <c r="I1769" s="65" t="str">
        <f t="shared" si="137"/>
        <v/>
      </c>
      <c r="J1769" s="59" t="str">
        <f t="shared" si="140"/>
        <v/>
      </c>
    </row>
    <row r="1770" spans="4:10" ht="22.5" customHeight="1" x14ac:dyDescent="0.25">
      <c r="D1770" s="59" t="str">
        <f t="shared" si="136"/>
        <v/>
      </c>
      <c r="E1770" s="59" t="str">
        <f t="shared" si="138"/>
        <v/>
      </c>
      <c r="F1770" s="59" t="str">
        <f t="shared" si="139"/>
        <v/>
      </c>
      <c r="G1770" s="59" t="str">
        <f>IF($A1770="","",
   SUMIFS(Transactions!$P:$P,
          Transactions!$G:$G,$A1770,
          Transactions!$C:$C,"IN",
          Transactions!$Q:$Q,"Paid"))</f>
        <v/>
      </c>
      <c r="H1770" s="59" t="str">
        <f>IF($A1770="","",
   SUMIFS(Transactions!$P:$P,
          Transactions!$G:$G,$A1770,
          Transactions!$C:$C,"OUT"))</f>
        <v/>
      </c>
      <c r="I1770" s="65" t="str">
        <f t="shared" si="137"/>
        <v/>
      </c>
      <c r="J1770" s="59" t="str">
        <f t="shared" si="140"/>
        <v/>
      </c>
    </row>
    <row r="1771" spans="4:10" ht="22.5" customHeight="1" x14ac:dyDescent="0.25">
      <c r="D1771" s="59" t="str">
        <f t="shared" si="136"/>
        <v/>
      </c>
      <c r="E1771" s="59" t="str">
        <f t="shared" si="138"/>
        <v/>
      </c>
      <c r="F1771" s="59" t="str">
        <f t="shared" si="139"/>
        <v/>
      </c>
      <c r="G1771" s="59" t="str">
        <f>IF($A1771="","",
   SUMIFS(Transactions!$P:$P,
          Transactions!$G:$G,$A1771,
          Transactions!$C:$C,"IN",
          Transactions!$Q:$Q,"Paid"))</f>
        <v/>
      </c>
      <c r="H1771" s="59" t="str">
        <f>IF($A1771="","",
   SUMIFS(Transactions!$P:$P,
          Transactions!$G:$G,$A1771,
          Transactions!$C:$C,"OUT"))</f>
        <v/>
      </c>
      <c r="I1771" s="65" t="str">
        <f t="shared" si="137"/>
        <v/>
      </c>
      <c r="J1771" s="59" t="str">
        <f t="shared" si="140"/>
        <v/>
      </c>
    </row>
    <row r="1772" spans="4:10" ht="22.5" customHeight="1" x14ac:dyDescent="0.25">
      <c r="D1772" s="59" t="str">
        <f t="shared" si="136"/>
        <v/>
      </c>
      <c r="E1772" s="59" t="str">
        <f t="shared" si="138"/>
        <v/>
      </c>
      <c r="F1772" s="59" t="str">
        <f t="shared" si="139"/>
        <v/>
      </c>
      <c r="G1772" s="59" t="str">
        <f>IF($A1772="","",
   SUMIFS(Transactions!$P:$P,
          Transactions!$G:$G,$A1772,
          Transactions!$C:$C,"IN",
          Transactions!$Q:$Q,"Paid"))</f>
        <v/>
      </c>
      <c r="H1772" s="59" t="str">
        <f>IF($A1772="","",
   SUMIFS(Transactions!$P:$P,
          Transactions!$G:$G,$A1772,
          Transactions!$C:$C,"OUT"))</f>
        <v/>
      </c>
      <c r="I1772" s="65" t="str">
        <f t="shared" si="137"/>
        <v/>
      </c>
      <c r="J1772" s="59" t="str">
        <f t="shared" si="140"/>
        <v/>
      </c>
    </row>
    <row r="1773" spans="4:10" ht="22.5" customHeight="1" x14ac:dyDescent="0.25">
      <c r="D1773" s="59" t="str">
        <f t="shared" si="136"/>
        <v/>
      </c>
      <c r="E1773" s="59" t="str">
        <f t="shared" si="138"/>
        <v/>
      </c>
      <c r="F1773" s="59" t="str">
        <f t="shared" si="139"/>
        <v/>
      </c>
      <c r="G1773" s="59" t="str">
        <f>IF($A1773="","",
   SUMIFS(Transactions!$P:$P,
          Transactions!$G:$G,$A1773,
          Transactions!$C:$C,"IN",
          Transactions!$Q:$Q,"Paid"))</f>
        <v/>
      </c>
      <c r="H1773" s="59" t="str">
        <f>IF($A1773="","",
   SUMIFS(Transactions!$P:$P,
          Transactions!$G:$G,$A1773,
          Transactions!$C:$C,"OUT"))</f>
        <v/>
      </c>
      <c r="I1773" s="65" t="str">
        <f t="shared" si="137"/>
        <v/>
      </c>
      <c r="J1773" s="59" t="str">
        <f t="shared" si="140"/>
        <v/>
      </c>
    </row>
    <row r="1774" spans="4:10" ht="22.5" customHeight="1" x14ac:dyDescent="0.25">
      <c r="D1774" s="59" t="str">
        <f t="shared" si="136"/>
        <v/>
      </c>
      <c r="E1774" s="59" t="str">
        <f t="shared" si="138"/>
        <v/>
      </c>
      <c r="F1774" s="59" t="str">
        <f t="shared" si="139"/>
        <v/>
      </c>
      <c r="G1774" s="59" t="str">
        <f>IF($A1774="","",
   SUMIFS(Transactions!$P:$P,
          Transactions!$G:$G,$A1774,
          Transactions!$C:$C,"IN",
          Transactions!$Q:$Q,"Paid"))</f>
        <v/>
      </c>
      <c r="H1774" s="59" t="str">
        <f>IF($A1774="","",
   SUMIFS(Transactions!$P:$P,
          Transactions!$G:$G,$A1774,
          Transactions!$C:$C,"OUT"))</f>
        <v/>
      </c>
      <c r="I1774" s="65" t="str">
        <f t="shared" si="137"/>
        <v/>
      </c>
      <c r="J1774" s="59" t="str">
        <f t="shared" si="140"/>
        <v/>
      </c>
    </row>
    <row r="1775" spans="4:10" ht="22.5" customHeight="1" x14ac:dyDescent="0.25">
      <c r="D1775" s="59" t="str">
        <f t="shared" si="136"/>
        <v/>
      </c>
      <c r="E1775" s="59" t="str">
        <f t="shared" si="138"/>
        <v/>
      </c>
      <c r="F1775" s="59" t="str">
        <f t="shared" si="139"/>
        <v/>
      </c>
      <c r="G1775" s="59" t="str">
        <f>IF($A1775="","",
   SUMIFS(Transactions!$P:$P,
          Transactions!$G:$G,$A1775,
          Transactions!$C:$C,"IN",
          Transactions!$Q:$Q,"Paid"))</f>
        <v/>
      </c>
      <c r="H1775" s="59" t="str">
        <f>IF($A1775="","",
   SUMIFS(Transactions!$P:$P,
          Transactions!$G:$G,$A1775,
          Transactions!$C:$C,"OUT"))</f>
        <v/>
      </c>
      <c r="I1775" s="65" t="str">
        <f t="shared" si="137"/>
        <v/>
      </c>
      <c r="J1775" s="59" t="str">
        <f t="shared" si="140"/>
        <v/>
      </c>
    </row>
    <row r="1776" spans="4:10" ht="22.5" customHeight="1" x14ac:dyDescent="0.25">
      <c r="D1776" s="59" t="str">
        <f t="shared" si="136"/>
        <v/>
      </c>
      <c r="E1776" s="59" t="str">
        <f t="shared" si="138"/>
        <v/>
      </c>
      <c r="F1776" s="59" t="str">
        <f t="shared" si="139"/>
        <v/>
      </c>
      <c r="G1776" s="59" t="str">
        <f>IF($A1776="","",
   SUMIFS(Transactions!$P:$P,
          Transactions!$G:$G,$A1776,
          Transactions!$C:$C,"IN",
          Transactions!$Q:$Q,"Paid"))</f>
        <v/>
      </c>
      <c r="H1776" s="59" t="str">
        <f>IF($A1776="","",
   SUMIFS(Transactions!$P:$P,
          Transactions!$G:$G,$A1776,
          Transactions!$C:$C,"OUT"))</f>
        <v/>
      </c>
      <c r="I1776" s="65" t="str">
        <f t="shared" si="137"/>
        <v/>
      </c>
      <c r="J1776" s="59" t="str">
        <f t="shared" si="140"/>
        <v/>
      </c>
    </row>
    <row r="1777" spans="4:10" ht="22.5" customHeight="1" x14ac:dyDescent="0.25">
      <c r="D1777" s="59" t="str">
        <f t="shared" si="136"/>
        <v/>
      </c>
      <c r="E1777" s="59" t="str">
        <f t="shared" si="138"/>
        <v/>
      </c>
      <c r="F1777" s="59" t="str">
        <f t="shared" si="139"/>
        <v/>
      </c>
      <c r="G1777" s="59" t="str">
        <f>IF($A1777="","",
   SUMIFS(Transactions!$P:$P,
          Transactions!$G:$G,$A1777,
          Transactions!$C:$C,"IN",
          Transactions!$Q:$Q,"Paid"))</f>
        <v/>
      </c>
      <c r="H1777" s="59" t="str">
        <f>IF($A1777="","",
   SUMIFS(Transactions!$P:$P,
          Transactions!$G:$G,$A1777,
          Transactions!$C:$C,"OUT"))</f>
        <v/>
      </c>
      <c r="I1777" s="65" t="str">
        <f t="shared" si="137"/>
        <v/>
      </c>
      <c r="J1777" s="59" t="str">
        <f t="shared" si="140"/>
        <v/>
      </c>
    </row>
    <row r="1778" spans="4:10" ht="22.5" customHeight="1" x14ac:dyDescent="0.25">
      <c r="D1778" s="59" t="str">
        <f t="shared" si="136"/>
        <v/>
      </c>
      <c r="E1778" s="59" t="str">
        <f t="shared" si="138"/>
        <v/>
      </c>
      <c r="F1778" s="59" t="str">
        <f t="shared" si="139"/>
        <v/>
      </c>
      <c r="G1778" s="59" t="str">
        <f>IF($A1778="","",
   SUMIFS(Transactions!$P:$P,
          Transactions!$G:$G,$A1778,
          Transactions!$C:$C,"IN",
          Transactions!$Q:$Q,"Paid"))</f>
        <v/>
      </c>
      <c r="H1778" s="59" t="str">
        <f>IF($A1778="","",
   SUMIFS(Transactions!$P:$P,
          Transactions!$G:$G,$A1778,
          Transactions!$C:$C,"OUT"))</f>
        <v/>
      </c>
      <c r="I1778" s="65" t="str">
        <f t="shared" si="137"/>
        <v/>
      </c>
      <c r="J1778" s="59" t="str">
        <f t="shared" si="140"/>
        <v/>
      </c>
    </row>
    <row r="1779" spans="4:10" ht="22.5" customHeight="1" x14ac:dyDescent="0.25">
      <c r="D1779" s="59" t="str">
        <f t="shared" si="136"/>
        <v/>
      </c>
      <c r="E1779" s="59" t="str">
        <f t="shared" si="138"/>
        <v/>
      </c>
      <c r="F1779" s="59" t="str">
        <f t="shared" si="139"/>
        <v/>
      </c>
      <c r="G1779" s="59" t="str">
        <f>IF($A1779="","",
   SUMIFS(Transactions!$P:$P,
          Transactions!$G:$G,$A1779,
          Transactions!$C:$C,"IN",
          Transactions!$Q:$Q,"Paid"))</f>
        <v/>
      </c>
      <c r="H1779" s="59" t="str">
        <f>IF($A1779="","",
   SUMIFS(Transactions!$P:$P,
          Transactions!$G:$G,$A1779,
          Transactions!$C:$C,"OUT"))</f>
        <v/>
      </c>
      <c r="I1779" s="65" t="str">
        <f t="shared" si="137"/>
        <v/>
      </c>
      <c r="J1779" s="59" t="str">
        <f t="shared" si="140"/>
        <v/>
      </c>
    </row>
    <row r="1780" spans="4:10" ht="22.5" customHeight="1" x14ac:dyDescent="0.25">
      <c r="D1780" s="59" t="str">
        <f t="shared" si="136"/>
        <v/>
      </c>
      <c r="E1780" s="59" t="str">
        <f t="shared" si="138"/>
        <v/>
      </c>
      <c r="F1780" s="59" t="str">
        <f t="shared" si="139"/>
        <v/>
      </c>
      <c r="G1780" s="59" t="str">
        <f>IF($A1780="","",
   SUMIFS(Transactions!$P:$P,
          Transactions!$G:$G,$A1780,
          Transactions!$C:$C,"IN",
          Transactions!$Q:$Q,"Paid"))</f>
        <v/>
      </c>
      <c r="H1780" s="59" t="str">
        <f>IF($A1780="","",
   SUMIFS(Transactions!$P:$P,
          Transactions!$G:$G,$A1780,
          Transactions!$C:$C,"OUT"))</f>
        <v/>
      </c>
      <c r="I1780" s="65" t="str">
        <f t="shared" si="137"/>
        <v/>
      </c>
      <c r="J1780" s="59" t="str">
        <f t="shared" si="140"/>
        <v/>
      </c>
    </row>
    <row r="1781" spans="4:10" ht="22.5" customHeight="1" x14ac:dyDescent="0.25">
      <c r="D1781" s="59" t="str">
        <f t="shared" si="136"/>
        <v/>
      </c>
      <c r="E1781" s="59" t="str">
        <f t="shared" si="138"/>
        <v/>
      </c>
      <c r="F1781" s="59" t="str">
        <f t="shared" si="139"/>
        <v/>
      </c>
      <c r="G1781" s="59" t="str">
        <f>IF($A1781="","",
   SUMIFS(Transactions!$P:$P,
          Transactions!$G:$G,$A1781,
          Transactions!$C:$C,"IN",
          Transactions!$Q:$Q,"Paid"))</f>
        <v/>
      </c>
      <c r="H1781" s="59" t="str">
        <f>IF($A1781="","",
   SUMIFS(Transactions!$P:$P,
          Transactions!$G:$G,$A1781,
          Transactions!$C:$C,"OUT"))</f>
        <v/>
      </c>
      <c r="I1781" s="65" t="str">
        <f t="shared" si="137"/>
        <v/>
      </c>
      <c r="J1781" s="59" t="str">
        <f t="shared" si="140"/>
        <v/>
      </c>
    </row>
    <row r="1782" spans="4:10" ht="22.5" customHeight="1" x14ac:dyDescent="0.25">
      <c r="D1782" s="59" t="str">
        <f t="shared" si="136"/>
        <v/>
      </c>
      <c r="E1782" s="59" t="str">
        <f t="shared" si="138"/>
        <v/>
      </c>
      <c r="F1782" s="59" t="str">
        <f t="shared" si="139"/>
        <v/>
      </c>
      <c r="G1782" s="59" t="str">
        <f>IF($A1782="","",
   SUMIFS(Transactions!$P:$P,
          Transactions!$G:$G,$A1782,
          Transactions!$C:$C,"IN",
          Transactions!$Q:$Q,"Paid"))</f>
        <v/>
      </c>
      <c r="H1782" s="59" t="str">
        <f>IF($A1782="","",
   SUMIFS(Transactions!$P:$P,
          Transactions!$G:$G,$A1782,
          Transactions!$C:$C,"OUT"))</f>
        <v/>
      </c>
      <c r="I1782" s="65" t="str">
        <f t="shared" si="137"/>
        <v/>
      </c>
      <c r="J1782" s="59" t="str">
        <f t="shared" si="140"/>
        <v/>
      </c>
    </row>
    <row r="1783" spans="4:10" ht="22.5" customHeight="1" x14ac:dyDescent="0.25">
      <c r="D1783" s="59" t="str">
        <f t="shared" si="136"/>
        <v/>
      </c>
      <c r="E1783" s="59" t="str">
        <f t="shared" si="138"/>
        <v/>
      </c>
      <c r="F1783" s="59" t="str">
        <f t="shared" si="139"/>
        <v/>
      </c>
      <c r="G1783" s="59" t="str">
        <f>IF($A1783="","",
   SUMIFS(Transactions!$P:$P,
          Transactions!$G:$G,$A1783,
          Transactions!$C:$C,"IN",
          Transactions!$Q:$Q,"Paid"))</f>
        <v/>
      </c>
      <c r="H1783" s="59" t="str">
        <f>IF($A1783="","",
   SUMIFS(Transactions!$P:$P,
          Transactions!$G:$G,$A1783,
          Transactions!$C:$C,"OUT"))</f>
        <v/>
      </c>
      <c r="I1783" s="65" t="str">
        <f t="shared" si="137"/>
        <v/>
      </c>
      <c r="J1783" s="59" t="str">
        <f t="shared" si="140"/>
        <v/>
      </c>
    </row>
    <row r="1784" spans="4:10" ht="22.5" customHeight="1" x14ac:dyDescent="0.25">
      <c r="D1784" s="59" t="str">
        <f t="shared" si="136"/>
        <v/>
      </c>
      <c r="E1784" s="59" t="str">
        <f t="shared" si="138"/>
        <v/>
      </c>
      <c r="F1784" s="59" t="str">
        <f t="shared" si="139"/>
        <v/>
      </c>
      <c r="G1784" s="59" t="str">
        <f>IF($A1784="","",
   SUMIFS(Transactions!$P:$P,
          Transactions!$G:$G,$A1784,
          Transactions!$C:$C,"IN",
          Transactions!$Q:$Q,"Paid"))</f>
        <v/>
      </c>
      <c r="H1784" s="59" t="str">
        <f>IF($A1784="","",
   SUMIFS(Transactions!$P:$P,
          Transactions!$G:$G,$A1784,
          Transactions!$C:$C,"OUT"))</f>
        <v/>
      </c>
      <c r="I1784" s="65" t="str">
        <f t="shared" si="137"/>
        <v/>
      </c>
      <c r="J1784" s="59" t="str">
        <f t="shared" si="140"/>
        <v/>
      </c>
    </row>
    <row r="1785" spans="4:10" ht="22.5" customHeight="1" x14ac:dyDescent="0.25">
      <c r="D1785" s="59" t="str">
        <f t="shared" si="136"/>
        <v/>
      </c>
      <c r="E1785" s="59" t="str">
        <f t="shared" si="138"/>
        <v/>
      </c>
      <c r="F1785" s="59" t="str">
        <f t="shared" si="139"/>
        <v/>
      </c>
      <c r="G1785" s="59" t="str">
        <f>IF($A1785="","",
   SUMIFS(Transactions!$P:$P,
          Transactions!$G:$G,$A1785,
          Transactions!$C:$C,"IN",
          Transactions!$Q:$Q,"Paid"))</f>
        <v/>
      </c>
      <c r="H1785" s="59" t="str">
        <f>IF($A1785="","",
   SUMIFS(Transactions!$P:$P,
          Transactions!$G:$G,$A1785,
          Transactions!$C:$C,"OUT"))</f>
        <v/>
      </c>
      <c r="I1785" s="65" t="str">
        <f t="shared" si="137"/>
        <v/>
      </c>
      <c r="J1785" s="59" t="str">
        <f t="shared" si="140"/>
        <v/>
      </c>
    </row>
    <row r="1786" spans="4:10" ht="22.5" customHeight="1" x14ac:dyDescent="0.25">
      <c r="D1786" s="59" t="str">
        <f t="shared" si="136"/>
        <v/>
      </c>
      <c r="E1786" s="59" t="str">
        <f t="shared" si="138"/>
        <v/>
      </c>
      <c r="F1786" s="59" t="str">
        <f t="shared" si="139"/>
        <v/>
      </c>
      <c r="G1786" s="59" t="str">
        <f>IF($A1786="","",
   SUMIFS(Transactions!$P:$P,
          Transactions!$G:$G,$A1786,
          Transactions!$C:$C,"IN",
          Transactions!$Q:$Q,"Paid"))</f>
        <v/>
      </c>
      <c r="H1786" s="59" t="str">
        <f>IF($A1786="","",
   SUMIFS(Transactions!$P:$P,
          Transactions!$G:$G,$A1786,
          Transactions!$C:$C,"OUT"))</f>
        <v/>
      </c>
      <c r="I1786" s="65" t="str">
        <f t="shared" si="137"/>
        <v/>
      </c>
      <c r="J1786" s="59" t="str">
        <f t="shared" si="140"/>
        <v/>
      </c>
    </row>
    <row r="1787" spans="4:10" ht="22.5" customHeight="1" x14ac:dyDescent="0.25">
      <c r="D1787" s="59" t="str">
        <f t="shared" si="136"/>
        <v/>
      </c>
      <c r="E1787" s="59" t="str">
        <f t="shared" si="138"/>
        <v/>
      </c>
      <c r="F1787" s="59" t="str">
        <f t="shared" si="139"/>
        <v/>
      </c>
      <c r="G1787" s="59" t="str">
        <f>IF($A1787="","",
   SUMIFS(Transactions!$P:$P,
          Transactions!$G:$G,$A1787,
          Transactions!$C:$C,"IN",
          Transactions!$Q:$Q,"Paid"))</f>
        <v/>
      </c>
      <c r="H1787" s="59" t="str">
        <f>IF($A1787="","",
   SUMIFS(Transactions!$P:$P,
          Transactions!$G:$G,$A1787,
          Transactions!$C:$C,"OUT"))</f>
        <v/>
      </c>
      <c r="I1787" s="65" t="str">
        <f t="shared" si="137"/>
        <v/>
      </c>
      <c r="J1787" s="59" t="str">
        <f t="shared" si="140"/>
        <v/>
      </c>
    </row>
    <row r="1788" spans="4:10" ht="22.5" customHeight="1" x14ac:dyDescent="0.25">
      <c r="D1788" s="59" t="str">
        <f t="shared" si="136"/>
        <v/>
      </c>
      <c r="E1788" s="59" t="str">
        <f t="shared" si="138"/>
        <v/>
      </c>
      <c r="F1788" s="59" t="str">
        <f t="shared" si="139"/>
        <v/>
      </c>
      <c r="G1788" s="59" t="str">
        <f>IF($A1788="","",
   SUMIFS(Transactions!$P:$P,
          Transactions!$G:$G,$A1788,
          Transactions!$C:$C,"IN",
          Transactions!$Q:$Q,"Paid"))</f>
        <v/>
      </c>
      <c r="H1788" s="59" t="str">
        <f>IF($A1788="","",
   SUMIFS(Transactions!$P:$P,
          Transactions!$G:$G,$A1788,
          Transactions!$C:$C,"OUT"))</f>
        <v/>
      </c>
      <c r="I1788" s="65" t="str">
        <f t="shared" si="137"/>
        <v/>
      </c>
      <c r="J1788" s="59" t="str">
        <f t="shared" si="140"/>
        <v/>
      </c>
    </row>
    <row r="1789" spans="4:10" ht="22.5" customHeight="1" x14ac:dyDescent="0.25">
      <c r="D1789" s="59" t="str">
        <f t="shared" si="136"/>
        <v/>
      </c>
      <c r="E1789" s="59" t="str">
        <f t="shared" si="138"/>
        <v/>
      </c>
      <c r="F1789" s="59" t="str">
        <f t="shared" si="139"/>
        <v/>
      </c>
      <c r="G1789" s="59" t="str">
        <f>IF($A1789="","",
   SUMIFS(Transactions!$P:$P,
          Transactions!$G:$G,$A1789,
          Transactions!$C:$C,"IN",
          Transactions!$Q:$Q,"Paid"))</f>
        <v/>
      </c>
      <c r="H1789" s="59" t="str">
        <f>IF($A1789="","",
   SUMIFS(Transactions!$P:$P,
          Transactions!$G:$G,$A1789,
          Transactions!$C:$C,"OUT"))</f>
        <v/>
      </c>
      <c r="I1789" s="65" t="str">
        <f t="shared" si="137"/>
        <v/>
      </c>
      <c r="J1789" s="59" t="str">
        <f t="shared" si="140"/>
        <v/>
      </c>
    </row>
    <row r="1790" spans="4:10" ht="22.5" customHeight="1" x14ac:dyDescent="0.25">
      <c r="D1790" s="59" t="str">
        <f t="shared" si="136"/>
        <v/>
      </c>
      <c r="E1790" s="59" t="str">
        <f t="shared" si="138"/>
        <v/>
      </c>
      <c r="F1790" s="59" t="str">
        <f t="shared" si="139"/>
        <v/>
      </c>
      <c r="G1790" s="59" t="str">
        <f>IF($A1790="","",
   SUMIFS(Transactions!$P:$P,
          Transactions!$G:$G,$A1790,
          Transactions!$C:$C,"IN",
          Transactions!$Q:$Q,"Paid"))</f>
        <v/>
      </c>
      <c r="H1790" s="59" t="str">
        <f>IF($A1790="","",
   SUMIFS(Transactions!$P:$P,
          Transactions!$G:$G,$A1790,
          Transactions!$C:$C,"OUT"))</f>
        <v/>
      </c>
      <c r="I1790" s="65" t="str">
        <f t="shared" si="137"/>
        <v/>
      </c>
      <c r="J1790" s="59" t="str">
        <f t="shared" si="140"/>
        <v/>
      </c>
    </row>
    <row r="1791" spans="4:10" ht="22.5" customHeight="1" x14ac:dyDescent="0.25">
      <c r="D1791" s="59" t="str">
        <f t="shared" si="136"/>
        <v/>
      </c>
      <c r="E1791" s="59" t="str">
        <f t="shared" si="138"/>
        <v/>
      </c>
      <c r="F1791" s="59" t="str">
        <f t="shared" si="139"/>
        <v/>
      </c>
      <c r="G1791" s="59" t="str">
        <f>IF($A1791="","",
   SUMIFS(Transactions!$P:$P,
          Transactions!$G:$G,$A1791,
          Transactions!$C:$C,"IN",
          Transactions!$Q:$Q,"Paid"))</f>
        <v/>
      </c>
      <c r="H1791" s="59" t="str">
        <f>IF($A1791="","",
   SUMIFS(Transactions!$P:$P,
          Transactions!$G:$G,$A1791,
          Transactions!$C:$C,"OUT"))</f>
        <v/>
      </c>
      <c r="I1791" s="65" t="str">
        <f t="shared" si="137"/>
        <v/>
      </c>
      <c r="J1791" s="59" t="str">
        <f t="shared" si="140"/>
        <v/>
      </c>
    </row>
    <row r="1792" spans="4:10" ht="22.5" customHeight="1" x14ac:dyDescent="0.25">
      <c r="D1792" s="59" t="str">
        <f t="shared" si="136"/>
        <v/>
      </c>
      <c r="E1792" s="59" t="str">
        <f t="shared" si="138"/>
        <v/>
      </c>
      <c r="F1792" s="59" t="str">
        <f t="shared" si="139"/>
        <v/>
      </c>
      <c r="G1792" s="59" t="str">
        <f>IF($A1792="","",
   SUMIFS(Transactions!$P:$P,
          Transactions!$G:$G,$A1792,
          Transactions!$C:$C,"IN",
          Transactions!$Q:$Q,"Paid"))</f>
        <v/>
      </c>
      <c r="H1792" s="59" t="str">
        <f>IF($A1792="","",
   SUMIFS(Transactions!$P:$P,
          Transactions!$G:$G,$A1792,
          Transactions!$C:$C,"OUT"))</f>
        <v/>
      </c>
      <c r="I1792" s="65" t="str">
        <f t="shared" si="137"/>
        <v/>
      </c>
      <c r="J1792" s="59" t="str">
        <f t="shared" si="140"/>
        <v/>
      </c>
    </row>
    <row r="1793" spans="4:10" ht="22.5" customHeight="1" x14ac:dyDescent="0.25">
      <c r="D1793" s="59" t="str">
        <f t="shared" si="136"/>
        <v/>
      </c>
      <c r="E1793" s="59" t="str">
        <f t="shared" si="138"/>
        <v/>
      </c>
      <c r="F1793" s="59" t="str">
        <f t="shared" si="139"/>
        <v/>
      </c>
      <c r="G1793" s="59" t="str">
        <f>IF($A1793="","",
   SUMIFS(Transactions!$P:$P,
          Transactions!$G:$G,$A1793,
          Transactions!$C:$C,"IN",
          Transactions!$Q:$Q,"Paid"))</f>
        <v/>
      </c>
      <c r="H1793" s="59" t="str">
        <f>IF($A1793="","",
   SUMIFS(Transactions!$P:$P,
          Transactions!$G:$G,$A1793,
          Transactions!$C:$C,"OUT"))</f>
        <v/>
      </c>
      <c r="I1793" s="65" t="str">
        <f t="shared" si="137"/>
        <v/>
      </c>
      <c r="J1793" s="59" t="str">
        <f t="shared" si="140"/>
        <v/>
      </c>
    </row>
    <row r="1794" spans="4:10" ht="22.5" customHeight="1" x14ac:dyDescent="0.25">
      <c r="D1794" s="59" t="str">
        <f t="shared" si="136"/>
        <v/>
      </c>
      <c r="E1794" s="59" t="str">
        <f t="shared" si="138"/>
        <v/>
      </c>
      <c r="F1794" s="59" t="str">
        <f t="shared" si="139"/>
        <v/>
      </c>
      <c r="G1794" s="59" t="str">
        <f>IF($A1794="","",
   SUMIFS(Transactions!$P:$P,
          Transactions!$G:$G,$A1794,
          Transactions!$C:$C,"IN",
          Transactions!$Q:$Q,"Paid"))</f>
        <v/>
      </c>
      <c r="H1794" s="59" t="str">
        <f>IF($A1794="","",
   SUMIFS(Transactions!$P:$P,
          Transactions!$G:$G,$A1794,
          Transactions!$C:$C,"OUT"))</f>
        <v/>
      </c>
      <c r="I1794" s="65" t="str">
        <f t="shared" si="137"/>
        <v/>
      </c>
      <c r="J1794" s="59" t="str">
        <f t="shared" si="140"/>
        <v/>
      </c>
    </row>
    <row r="1795" spans="4:10" ht="22.5" customHeight="1" x14ac:dyDescent="0.25">
      <c r="D1795" s="59" t="str">
        <f t="shared" ref="D1795:D1858" si="141">IF(C1795="","",ROUND(C1795*0.15,2))</f>
        <v/>
      </c>
      <c r="E1795" s="59" t="str">
        <f t="shared" si="138"/>
        <v/>
      </c>
      <c r="F1795" s="59" t="str">
        <f t="shared" si="139"/>
        <v/>
      </c>
      <c r="G1795" s="59" t="str">
        <f>IF($A1795="","",
   SUMIFS(Transactions!$P:$P,
          Transactions!$G:$G,$A1795,
          Transactions!$C:$C,"IN",
          Transactions!$Q:$Q,"Paid"))</f>
        <v/>
      </c>
      <c r="H1795" s="59" t="str">
        <f>IF($A1795="","",
   SUMIFS(Transactions!$P:$P,
          Transactions!$G:$G,$A1795,
          Transactions!$C:$C,"OUT"))</f>
        <v/>
      </c>
      <c r="I1795" s="65" t="str">
        <f t="shared" ref="I1795:I1858" si="142">IF(C1795="","",C1795-H1795)</f>
        <v/>
      </c>
      <c r="J1795" s="59" t="str">
        <f t="shared" si="140"/>
        <v/>
      </c>
    </row>
    <row r="1796" spans="4:10" ht="22.5" customHeight="1" x14ac:dyDescent="0.25">
      <c r="D1796" s="59" t="str">
        <f t="shared" si="141"/>
        <v/>
      </c>
      <c r="E1796" s="59" t="str">
        <f t="shared" ref="E1796:E1859" si="143">IF(C1796="","",C1796+D1796)</f>
        <v/>
      </c>
      <c r="F1796" s="59" t="str">
        <f t="shared" ref="F1796:F1859" si="144">IF(E1796="","",E1796*0.5)</f>
        <v/>
      </c>
      <c r="G1796" s="59" t="str">
        <f>IF($A1796="","",
   SUMIFS(Transactions!$P:$P,
          Transactions!$G:$G,$A1796,
          Transactions!$C:$C,"IN",
          Transactions!$Q:$Q,"Paid"))</f>
        <v/>
      </c>
      <c r="H1796" s="59" t="str">
        <f>IF($A1796="","",
   SUMIFS(Transactions!$P:$P,
          Transactions!$G:$G,$A1796,
          Transactions!$C:$C,"OUT"))</f>
        <v/>
      </c>
      <c r="I1796" s="65" t="str">
        <f t="shared" si="142"/>
        <v/>
      </c>
      <c r="J1796" s="59" t="str">
        <f t="shared" ref="J1796:J1859" si="145">IF(E1796="","",E1796-G1796)</f>
        <v/>
      </c>
    </row>
    <row r="1797" spans="4:10" ht="22.5" customHeight="1" x14ac:dyDescent="0.25">
      <c r="D1797" s="59" t="str">
        <f t="shared" si="141"/>
        <v/>
      </c>
      <c r="E1797" s="59" t="str">
        <f t="shared" si="143"/>
        <v/>
      </c>
      <c r="F1797" s="59" t="str">
        <f t="shared" si="144"/>
        <v/>
      </c>
      <c r="G1797" s="59" t="str">
        <f>IF($A1797="","",
   SUMIFS(Transactions!$P:$P,
          Transactions!$G:$G,$A1797,
          Transactions!$C:$C,"IN",
          Transactions!$Q:$Q,"Paid"))</f>
        <v/>
      </c>
      <c r="H1797" s="59" t="str">
        <f>IF($A1797="","",
   SUMIFS(Transactions!$P:$P,
          Transactions!$G:$G,$A1797,
          Transactions!$C:$C,"OUT"))</f>
        <v/>
      </c>
      <c r="I1797" s="65" t="str">
        <f t="shared" si="142"/>
        <v/>
      </c>
      <c r="J1797" s="59" t="str">
        <f t="shared" si="145"/>
        <v/>
      </c>
    </row>
    <row r="1798" spans="4:10" ht="22.5" customHeight="1" x14ac:dyDescent="0.25">
      <c r="D1798" s="59" t="str">
        <f t="shared" si="141"/>
        <v/>
      </c>
      <c r="E1798" s="59" t="str">
        <f t="shared" si="143"/>
        <v/>
      </c>
      <c r="F1798" s="59" t="str">
        <f t="shared" si="144"/>
        <v/>
      </c>
      <c r="G1798" s="59" t="str">
        <f>IF($A1798="","",
   SUMIFS(Transactions!$P:$P,
          Transactions!$G:$G,$A1798,
          Transactions!$C:$C,"IN",
          Transactions!$Q:$Q,"Paid"))</f>
        <v/>
      </c>
      <c r="H1798" s="59" t="str">
        <f>IF($A1798="","",
   SUMIFS(Transactions!$P:$P,
          Transactions!$G:$G,$A1798,
          Transactions!$C:$C,"OUT"))</f>
        <v/>
      </c>
      <c r="I1798" s="65" t="str">
        <f t="shared" si="142"/>
        <v/>
      </c>
      <c r="J1798" s="59" t="str">
        <f t="shared" si="145"/>
        <v/>
      </c>
    </row>
    <row r="1799" spans="4:10" ht="22.5" customHeight="1" x14ac:dyDescent="0.25">
      <c r="D1799" s="59" t="str">
        <f t="shared" si="141"/>
        <v/>
      </c>
      <c r="E1799" s="59" t="str">
        <f t="shared" si="143"/>
        <v/>
      </c>
      <c r="F1799" s="59" t="str">
        <f t="shared" si="144"/>
        <v/>
      </c>
      <c r="G1799" s="59" t="str">
        <f>IF($A1799="","",
   SUMIFS(Transactions!$P:$P,
          Transactions!$G:$G,$A1799,
          Transactions!$C:$C,"IN",
          Transactions!$Q:$Q,"Paid"))</f>
        <v/>
      </c>
      <c r="H1799" s="59" t="str">
        <f>IF($A1799="","",
   SUMIFS(Transactions!$P:$P,
          Transactions!$G:$G,$A1799,
          Transactions!$C:$C,"OUT"))</f>
        <v/>
      </c>
      <c r="I1799" s="65" t="str">
        <f t="shared" si="142"/>
        <v/>
      </c>
      <c r="J1799" s="59" t="str">
        <f t="shared" si="145"/>
        <v/>
      </c>
    </row>
    <row r="1800" spans="4:10" ht="22.5" customHeight="1" x14ac:dyDescent="0.25">
      <c r="D1800" s="59" t="str">
        <f t="shared" si="141"/>
        <v/>
      </c>
      <c r="E1800" s="59" t="str">
        <f t="shared" si="143"/>
        <v/>
      </c>
      <c r="F1800" s="59" t="str">
        <f t="shared" si="144"/>
        <v/>
      </c>
      <c r="G1800" s="59" t="str">
        <f>IF($A1800="","",
   SUMIFS(Transactions!$P:$P,
          Transactions!$G:$G,$A1800,
          Transactions!$C:$C,"IN",
          Transactions!$Q:$Q,"Paid"))</f>
        <v/>
      </c>
      <c r="H1800" s="59" t="str">
        <f>IF($A1800="","",
   SUMIFS(Transactions!$P:$P,
          Transactions!$G:$G,$A1800,
          Transactions!$C:$C,"OUT"))</f>
        <v/>
      </c>
      <c r="I1800" s="65" t="str">
        <f t="shared" si="142"/>
        <v/>
      </c>
      <c r="J1800" s="59" t="str">
        <f t="shared" si="145"/>
        <v/>
      </c>
    </row>
    <row r="1801" spans="4:10" ht="22.5" customHeight="1" x14ac:dyDescent="0.25">
      <c r="D1801" s="59" t="str">
        <f t="shared" si="141"/>
        <v/>
      </c>
      <c r="E1801" s="59" t="str">
        <f t="shared" si="143"/>
        <v/>
      </c>
      <c r="F1801" s="59" t="str">
        <f t="shared" si="144"/>
        <v/>
      </c>
      <c r="G1801" s="59" t="str">
        <f>IF($A1801="","",
   SUMIFS(Transactions!$P:$P,
          Transactions!$G:$G,$A1801,
          Transactions!$C:$C,"IN",
          Transactions!$Q:$Q,"Paid"))</f>
        <v/>
      </c>
      <c r="H1801" s="59" t="str">
        <f>IF($A1801="","",
   SUMIFS(Transactions!$P:$P,
          Transactions!$G:$G,$A1801,
          Transactions!$C:$C,"OUT"))</f>
        <v/>
      </c>
      <c r="I1801" s="65" t="str">
        <f t="shared" si="142"/>
        <v/>
      </c>
      <c r="J1801" s="59" t="str">
        <f t="shared" si="145"/>
        <v/>
      </c>
    </row>
    <row r="1802" spans="4:10" ht="22.5" customHeight="1" x14ac:dyDescent="0.25">
      <c r="D1802" s="59" t="str">
        <f t="shared" si="141"/>
        <v/>
      </c>
      <c r="E1802" s="59" t="str">
        <f t="shared" si="143"/>
        <v/>
      </c>
      <c r="F1802" s="59" t="str">
        <f t="shared" si="144"/>
        <v/>
      </c>
      <c r="G1802" s="59" t="str">
        <f>IF($A1802="","",
   SUMIFS(Transactions!$P:$P,
          Transactions!$G:$G,$A1802,
          Transactions!$C:$C,"IN",
          Transactions!$Q:$Q,"Paid"))</f>
        <v/>
      </c>
      <c r="H1802" s="59" t="str">
        <f>IF($A1802="","",
   SUMIFS(Transactions!$P:$P,
          Transactions!$G:$G,$A1802,
          Transactions!$C:$C,"OUT"))</f>
        <v/>
      </c>
      <c r="I1802" s="65" t="str">
        <f t="shared" si="142"/>
        <v/>
      </c>
      <c r="J1802" s="59" t="str">
        <f t="shared" si="145"/>
        <v/>
      </c>
    </row>
    <row r="1803" spans="4:10" ht="22.5" customHeight="1" x14ac:dyDescent="0.25">
      <c r="D1803" s="59" t="str">
        <f t="shared" si="141"/>
        <v/>
      </c>
      <c r="E1803" s="59" t="str">
        <f t="shared" si="143"/>
        <v/>
      </c>
      <c r="F1803" s="59" t="str">
        <f t="shared" si="144"/>
        <v/>
      </c>
      <c r="G1803" s="59" t="str">
        <f>IF($A1803="","",
   SUMIFS(Transactions!$P:$P,
          Transactions!$G:$G,$A1803,
          Transactions!$C:$C,"IN",
          Transactions!$Q:$Q,"Paid"))</f>
        <v/>
      </c>
      <c r="H1803" s="59" t="str">
        <f>IF($A1803="","",
   SUMIFS(Transactions!$P:$P,
          Transactions!$G:$G,$A1803,
          Transactions!$C:$C,"OUT"))</f>
        <v/>
      </c>
      <c r="I1803" s="65" t="str">
        <f t="shared" si="142"/>
        <v/>
      </c>
      <c r="J1803" s="59" t="str">
        <f t="shared" si="145"/>
        <v/>
      </c>
    </row>
    <row r="1804" spans="4:10" ht="22.5" customHeight="1" x14ac:dyDescent="0.25">
      <c r="D1804" s="59" t="str">
        <f t="shared" si="141"/>
        <v/>
      </c>
      <c r="E1804" s="59" t="str">
        <f t="shared" si="143"/>
        <v/>
      </c>
      <c r="F1804" s="59" t="str">
        <f t="shared" si="144"/>
        <v/>
      </c>
      <c r="G1804" s="59" t="str">
        <f>IF($A1804="","",
   SUMIFS(Transactions!$P:$P,
          Transactions!$G:$G,$A1804,
          Transactions!$C:$C,"IN",
          Transactions!$Q:$Q,"Paid"))</f>
        <v/>
      </c>
      <c r="H1804" s="59" t="str">
        <f>IF($A1804="","",
   SUMIFS(Transactions!$P:$P,
          Transactions!$G:$G,$A1804,
          Transactions!$C:$C,"OUT"))</f>
        <v/>
      </c>
      <c r="I1804" s="65" t="str">
        <f t="shared" si="142"/>
        <v/>
      </c>
      <c r="J1804" s="59" t="str">
        <f t="shared" si="145"/>
        <v/>
      </c>
    </row>
    <row r="1805" spans="4:10" ht="22.5" customHeight="1" x14ac:dyDescent="0.25">
      <c r="D1805" s="59" t="str">
        <f t="shared" si="141"/>
        <v/>
      </c>
      <c r="E1805" s="59" t="str">
        <f t="shared" si="143"/>
        <v/>
      </c>
      <c r="F1805" s="59" t="str">
        <f t="shared" si="144"/>
        <v/>
      </c>
      <c r="G1805" s="59" t="str">
        <f>IF($A1805="","",
   SUMIFS(Transactions!$P:$P,
          Transactions!$G:$G,$A1805,
          Transactions!$C:$C,"IN",
          Transactions!$Q:$Q,"Paid"))</f>
        <v/>
      </c>
      <c r="H1805" s="59" t="str">
        <f>IF($A1805="","",
   SUMIFS(Transactions!$P:$P,
          Transactions!$G:$G,$A1805,
          Transactions!$C:$C,"OUT"))</f>
        <v/>
      </c>
      <c r="I1805" s="65" t="str">
        <f t="shared" si="142"/>
        <v/>
      </c>
      <c r="J1805" s="59" t="str">
        <f t="shared" si="145"/>
        <v/>
      </c>
    </row>
    <row r="1806" spans="4:10" ht="22.5" customHeight="1" x14ac:dyDescent="0.25">
      <c r="D1806" s="59" t="str">
        <f t="shared" si="141"/>
        <v/>
      </c>
      <c r="E1806" s="59" t="str">
        <f t="shared" si="143"/>
        <v/>
      </c>
      <c r="F1806" s="59" t="str">
        <f t="shared" si="144"/>
        <v/>
      </c>
      <c r="G1806" s="59" t="str">
        <f>IF($A1806="","",
   SUMIFS(Transactions!$P:$P,
          Transactions!$G:$G,$A1806,
          Transactions!$C:$C,"IN",
          Transactions!$Q:$Q,"Paid"))</f>
        <v/>
      </c>
      <c r="H1806" s="59" t="str">
        <f>IF($A1806="","",
   SUMIFS(Transactions!$P:$P,
          Transactions!$G:$G,$A1806,
          Transactions!$C:$C,"OUT"))</f>
        <v/>
      </c>
      <c r="I1806" s="65" t="str">
        <f t="shared" si="142"/>
        <v/>
      </c>
      <c r="J1806" s="59" t="str">
        <f t="shared" si="145"/>
        <v/>
      </c>
    </row>
    <row r="1807" spans="4:10" ht="22.5" customHeight="1" x14ac:dyDescent="0.25">
      <c r="D1807" s="59" t="str">
        <f t="shared" si="141"/>
        <v/>
      </c>
      <c r="E1807" s="59" t="str">
        <f t="shared" si="143"/>
        <v/>
      </c>
      <c r="F1807" s="59" t="str">
        <f t="shared" si="144"/>
        <v/>
      </c>
      <c r="G1807" s="59" t="str">
        <f>IF($A1807="","",
   SUMIFS(Transactions!$P:$P,
          Transactions!$G:$G,$A1807,
          Transactions!$C:$C,"IN",
          Transactions!$Q:$Q,"Paid"))</f>
        <v/>
      </c>
      <c r="H1807" s="59" t="str">
        <f>IF($A1807="","",
   SUMIFS(Transactions!$P:$P,
          Transactions!$G:$G,$A1807,
          Transactions!$C:$C,"OUT"))</f>
        <v/>
      </c>
      <c r="I1807" s="65" t="str">
        <f t="shared" si="142"/>
        <v/>
      </c>
      <c r="J1807" s="59" t="str">
        <f t="shared" si="145"/>
        <v/>
      </c>
    </row>
    <row r="1808" spans="4:10" ht="22.5" customHeight="1" x14ac:dyDescent="0.25">
      <c r="D1808" s="59" t="str">
        <f t="shared" si="141"/>
        <v/>
      </c>
      <c r="E1808" s="59" t="str">
        <f t="shared" si="143"/>
        <v/>
      </c>
      <c r="F1808" s="59" t="str">
        <f t="shared" si="144"/>
        <v/>
      </c>
      <c r="G1808" s="59" t="str">
        <f>IF($A1808="","",
   SUMIFS(Transactions!$P:$P,
          Transactions!$G:$G,$A1808,
          Transactions!$C:$C,"IN",
          Transactions!$Q:$Q,"Paid"))</f>
        <v/>
      </c>
      <c r="H1808" s="59" t="str">
        <f>IF($A1808="","",
   SUMIFS(Transactions!$P:$P,
          Transactions!$G:$G,$A1808,
          Transactions!$C:$C,"OUT"))</f>
        <v/>
      </c>
      <c r="I1808" s="65" t="str">
        <f t="shared" si="142"/>
        <v/>
      </c>
      <c r="J1808" s="59" t="str">
        <f t="shared" si="145"/>
        <v/>
      </c>
    </row>
    <row r="1809" spans="4:10" ht="22.5" customHeight="1" x14ac:dyDescent="0.25">
      <c r="D1809" s="59" t="str">
        <f t="shared" si="141"/>
        <v/>
      </c>
      <c r="E1809" s="59" t="str">
        <f t="shared" si="143"/>
        <v/>
      </c>
      <c r="F1809" s="59" t="str">
        <f t="shared" si="144"/>
        <v/>
      </c>
      <c r="G1809" s="59" t="str">
        <f>IF($A1809="","",
   SUMIFS(Transactions!$P:$P,
          Transactions!$G:$G,$A1809,
          Transactions!$C:$C,"IN",
          Transactions!$Q:$Q,"Paid"))</f>
        <v/>
      </c>
      <c r="H1809" s="59" t="str">
        <f>IF($A1809="","",
   SUMIFS(Transactions!$P:$P,
          Transactions!$G:$G,$A1809,
          Transactions!$C:$C,"OUT"))</f>
        <v/>
      </c>
      <c r="I1809" s="65" t="str">
        <f t="shared" si="142"/>
        <v/>
      </c>
      <c r="J1809" s="59" t="str">
        <f t="shared" si="145"/>
        <v/>
      </c>
    </row>
    <row r="1810" spans="4:10" ht="22.5" customHeight="1" x14ac:dyDescent="0.25">
      <c r="D1810" s="59" t="str">
        <f t="shared" si="141"/>
        <v/>
      </c>
      <c r="E1810" s="59" t="str">
        <f t="shared" si="143"/>
        <v/>
      </c>
      <c r="F1810" s="59" t="str">
        <f t="shared" si="144"/>
        <v/>
      </c>
      <c r="G1810" s="59" t="str">
        <f>IF($A1810="","",
   SUMIFS(Transactions!$P:$P,
          Transactions!$G:$G,$A1810,
          Transactions!$C:$C,"IN",
          Transactions!$Q:$Q,"Paid"))</f>
        <v/>
      </c>
      <c r="H1810" s="59" t="str">
        <f>IF($A1810="","",
   SUMIFS(Transactions!$P:$P,
          Transactions!$G:$G,$A1810,
          Transactions!$C:$C,"OUT"))</f>
        <v/>
      </c>
      <c r="I1810" s="65" t="str">
        <f t="shared" si="142"/>
        <v/>
      </c>
      <c r="J1810" s="59" t="str">
        <f t="shared" si="145"/>
        <v/>
      </c>
    </row>
    <row r="1811" spans="4:10" ht="22.5" customHeight="1" x14ac:dyDescent="0.25">
      <c r="D1811" s="59" t="str">
        <f t="shared" si="141"/>
        <v/>
      </c>
      <c r="E1811" s="59" t="str">
        <f t="shared" si="143"/>
        <v/>
      </c>
      <c r="F1811" s="59" t="str">
        <f t="shared" si="144"/>
        <v/>
      </c>
      <c r="G1811" s="59" t="str">
        <f>IF($A1811="","",
   SUMIFS(Transactions!$P:$P,
          Transactions!$G:$G,$A1811,
          Transactions!$C:$C,"IN",
          Transactions!$Q:$Q,"Paid"))</f>
        <v/>
      </c>
      <c r="H1811" s="59" t="str">
        <f>IF($A1811="","",
   SUMIFS(Transactions!$P:$P,
          Transactions!$G:$G,$A1811,
          Transactions!$C:$C,"OUT"))</f>
        <v/>
      </c>
      <c r="I1811" s="65" t="str">
        <f t="shared" si="142"/>
        <v/>
      </c>
      <c r="J1811" s="59" t="str">
        <f t="shared" si="145"/>
        <v/>
      </c>
    </row>
    <row r="1812" spans="4:10" ht="22.5" customHeight="1" x14ac:dyDescent="0.25">
      <c r="D1812" s="59" t="str">
        <f t="shared" si="141"/>
        <v/>
      </c>
      <c r="E1812" s="59" t="str">
        <f t="shared" si="143"/>
        <v/>
      </c>
      <c r="F1812" s="59" t="str">
        <f t="shared" si="144"/>
        <v/>
      </c>
      <c r="G1812" s="59" t="str">
        <f>IF($A1812="","",
   SUMIFS(Transactions!$P:$P,
          Transactions!$G:$G,$A1812,
          Transactions!$C:$C,"IN",
          Transactions!$Q:$Q,"Paid"))</f>
        <v/>
      </c>
      <c r="H1812" s="59" t="str">
        <f>IF($A1812="","",
   SUMIFS(Transactions!$P:$P,
          Transactions!$G:$G,$A1812,
          Transactions!$C:$C,"OUT"))</f>
        <v/>
      </c>
      <c r="I1812" s="65" t="str">
        <f t="shared" si="142"/>
        <v/>
      </c>
      <c r="J1812" s="59" t="str">
        <f t="shared" si="145"/>
        <v/>
      </c>
    </row>
    <row r="1813" spans="4:10" ht="22.5" customHeight="1" x14ac:dyDescent="0.25">
      <c r="D1813" s="59" t="str">
        <f t="shared" si="141"/>
        <v/>
      </c>
      <c r="E1813" s="59" t="str">
        <f t="shared" si="143"/>
        <v/>
      </c>
      <c r="F1813" s="59" t="str">
        <f t="shared" si="144"/>
        <v/>
      </c>
      <c r="G1813" s="59" t="str">
        <f>IF($A1813="","",
   SUMIFS(Transactions!$P:$P,
          Transactions!$G:$G,$A1813,
          Transactions!$C:$C,"IN",
          Transactions!$Q:$Q,"Paid"))</f>
        <v/>
      </c>
      <c r="H1813" s="59" t="str">
        <f>IF($A1813="","",
   SUMIFS(Transactions!$P:$P,
          Transactions!$G:$G,$A1813,
          Transactions!$C:$C,"OUT"))</f>
        <v/>
      </c>
      <c r="I1813" s="65" t="str">
        <f t="shared" si="142"/>
        <v/>
      </c>
      <c r="J1813" s="59" t="str">
        <f t="shared" si="145"/>
        <v/>
      </c>
    </row>
    <row r="1814" spans="4:10" ht="22.5" customHeight="1" x14ac:dyDescent="0.25">
      <c r="D1814" s="59" t="str">
        <f t="shared" si="141"/>
        <v/>
      </c>
      <c r="E1814" s="59" t="str">
        <f t="shared" si="143"/>
        <v/>
      </c>
      <c r="F1814" s="59" t="str">
        <f t="shared" si="144"/>
        <v/>
      </c>
      <c r="G1814" s="59" t="str">
        <f>IF($A1814="","",
   SUMIFS(Transactions!$P:$P,
          Transactions!$G:$G,$A1814,
          Transactions!$C:$C,"IN",
          Transactions!$Q:$Q,"Paid"))</f>
        <v/>
      </c>
      <c r="H1814" s="59" t="str">
        <f>IF($A1814="","",
   SUMIFS(Transactions!$P:$P,
          Transactions!$G:$G,$A1814,
          Transactions!$C:$C,"OUT"))</f>
        <v/>
      </c>
      <c r="I1814" s="65" t="str">
        <f t="shared" si="142"/>
        <v/>
      </c>
      <c r="J1814" s="59" t="str">
        <f t="shared" si="145"/>
        <v/>
      </c>
    </row>
    <row r="1815" spans="4:10" ht="22.5" customHeight="1" x14ac:dyDescent="0.25">
      <c r="D1815" s="59" t="str">
        <f t="shared" si="141"/>
        <v/>
      </c>
      <c r="E1815" s="59" t="str">
        <f t="shared" si="143"/>
        <v/>
      </c>
      <c r="F1815" s="59" t="str">
        <f t="shared" si="144"/>
        <v/>
      </c>
      <c r="G1815" s="59" t="str">
        <f>IF($A1815="","",
   SUMIFS(Transactions!$P:$P,
          Transactions!$G:$G,$A1815,
          Transactions!$C:$C,"IN",
          Transactions!$Q:$Q,"Paid"))</f>
        <v/>
      </c>
      <c r="H1815" s="59" t="str">
        <f>IF($A1815="","",
   SUMIFS(Transactions!$P:$P,
          Transactions!$G:$G,$A1815,
          Transactions!$C:$C,"OUT"))</f>
        <v/>
      </c>
      <c r="I1815" s="65" t="str">
        <f t="shared" si="142"/>
        <v/>
      </c>
      <c r="J1815" s="59" t="str">
        <f t="shared" si="145"/>
        <v/>
      </c>
    </row>
    <row r="1816" spans="4:10" ht="22.5" customHeight="1" x14ac:dyDescent="0.25">
      <c r="D1816" s="59" t="str">
        <f t="shared" si="141"/>
        <v/>
      </c>
      <c r="E1816" s="59" t="str">
        <f t="shared" si="143"/>
        <v/>
      </c>
      <c r="F1816" s="59" t="str">
        <f t="shared" si="144"/>
        <v/>
      </c>
      <c r="G1816" s="59" t="str">
        <f>IF($A1816="","",
   SUMIFS(Transactions!$P:$P,
          Transactions!$G:$G,$A1816,
          Transactions!$C:$C,"IN",
          Transactions!$Q:$Q,"Paid"))</f>
        <v/>
      </c>
      <c r="H1816" s="59" t="str">
        <f>IF($A1816="","",
   SUMIFS(Transactions!$P:$P,
          Transactions!$G:$G,$A1816,
          Transactions!$C:$C,"OUT"))</f>
        <v/>
      </c>
      <c r="I1816" s="65" t="str">
        <f t="shared" si="142"/>
        <v/>
      </c>
      <c r="J1816" s="59" t="str">
        <f t="shared" si="145"/>
        <v/>
      </c>
    </row>
    <row r="1817" spans="4:10" ht="22.5" customHeight="1" x14ac:dyDescent="0.25">
      <c r="D1817" s="59" t="str">
        <f t="shared" si="141"/>
        <v/>
      </c>
      <c r="E1817" s="59" t="str">
        <f t="shared" si="143"/>
        <v/>
      </c>
      <c r="F1817" s="59" t="str">
        <f t="shared" si="144"/>
        <v/>
      </c>
      <c r="G1817" s="59" t="str">
        <f>IF($A1817="","",
   SUMIFS(Transactions!$P:$P,
          Transactions!$G:$G,$A1817,
          Transactions!$C:$C,"IN",
          Transactions!$Q:$Q,"Paid"))</f>
        <v/>
      </c>
      <c r="H1817" s="59" t="str">
        <f>IF($A1817="","",
   SUMIFS(Transactions!$P:$P,
          Transactions!$G:$G,$A1817,
          Transactions!$C:$C,"OUT"))</f>
        <v/>
      </c>
      <c r="I1817" s="65" t="str">
        <f t="shared" si="142"/>
        <v/>
      </c>
      <c r="J1817" s="59" t="str">
        <f t="shared" si="145"/>
        <v/>
      </c>
    </row>
    <row r="1818" spans="4:10" ht="22.5" customHeight="1" x14ac:dyDescent="0.25">
      <c r="D1818" s="59" t="str">
        <f t="shared" si="141"/>
        <v/>
      </c>
      <c r="E1818" s="59" t="str">
        <f t="shared" si="143"/>
        <v/>
      </c>
      <c r="F1818" s="59" t="str">
        <f t="shared" si="144"/>
        <v/>
      </c>
      <c r="G1818" s="59" t="str">
        <f>IF($A1818="","",
   SUMIFS(Transactions!$P:$P,
          Transactions!$G:$G,$A1818,
          Transactions!$C:$C,"IN",
          Transactions!$Q:$Q,"Paid"))</f>
        <v/>
      </c>
      <c r="H1818" s="59" t="str">
        <f>IF($A1818="","",
   SUMIFS(Transactions!$P:$P,
          Transactions!$G:$G,$A1818,
          Transactions!$C:$C,"OUT"))</f>
        <v/>
      </c>
      <c r="I1818" s="65" t="str">
        <f t="shared" si="142"/>
        <v/>
      </c>
      <c r="J1818" s="59" t="str">
        <f t="shared" si="145"/>
        <v/>
      </c>
    </row>
    <row r="1819" spans="4:10" ht="22.5" customHeight="1" x14ac:dyDescent="0.25">
      <c r="D1819" s="59" t="str">
        <f t="shared" si="141"/>
        <v/>
      </c>
      <c r="E1819" s="59" t="str">
        <f t="shared" si="143"/>
        <v/>
      </c>
      <c r="F1819" s="59" t="str">
        <f t="shared" si="144"/>
        <v/>
      </c>
      <c r="G1819" s="59" t="str">
        <f>IF($A1819="","",
   SUMIFS(Transactions!$P:$P,
          Transactions!$G:$G,$A1819,
          Transactions!$C:$C,"IN",
          Transactions!$Q:$Q,"Paid"))</f>
        <v/>
      </c>
      <c r="H1819" s="59" t="str">
        <f>IF($A1819="","",
   SUMIFS(Transactions!$P:$P,
          Transactions!$G:$G,$A1819,
          Transactions!$C:$C,"OUT"))</f>
        <v/>
      </c>
      <c r="I1819" s="65" t="str">
        <f t="shared" si="142"/>
        <v/>
      </c>
      <c r="J1819" s="59" t="str">
        <f t="shared" si="145"/>
        <v/>
      </c>
    </row>
    <row r="1820" spans="4:10" ht="22.5" customHeight="1" x14ac:dyDescent="0.25">
      <c r="D1820" s="59" t="str">
        <f t="shared" si="141"/>
        <v/>
      </c>
      <c r="E1820" s="59" t="str">
        <f t="shared" si="143"/>
        <v/>
      </c>
      <c r="F1820" s="59" t="str">
        <f t="shared" si="144"/>
        <v/>
      </c>
      <c r="G1820" s="59" t="str">
        <f>IF($A1820="","",
   SUMIFS(Transactions!$P:$P,
          Transactions!$G:$G,$A1820,
          Transactions!$C:$C,"IN",
          Transactions!$Q:$Q,"Paid"))</f>
        <v/>
      </c>
      <c r="H1820" s="59" t="str">
        <f>IF($A1820="","",
   SUMIFS(Transactions!$P:$P,
          Transactions!$G:$G,$A1820,
          Transactions!$C:$C,"OUT"))</f>
        <v/>
      </c>
      <c r="I1820" s="65" t="str">
        <f t="shared" si="142"/>
        <v/>
      </c>
      <c r="J1820" s="59" t="str">
        <f t="shared" si="145"/>
        <v/>
      </c>
    </row>
    <row r="1821" spans="4:10" ht="22.5" customHeight="1" x14ac:dyDescent="0.25">
      <c r="D1821" s="59" t="str">
        <f t="shared" si="141"/>
        <v/>
      </c>
      <c r="E1821" s="59" t="str">
        <f t="shared" si="143"/>
        <v/>
      </c>
      <c r="F1821" s="59" t="str">
        <f t="shared" si="144"/>
        <v/>
      </c>
      <c r="G1821" s="59" t="str">
        <f>IF($A1821="","",
   SUMIFS(Transactions!$P:$P,
          Transactions!$G:$G,$A1821,
          Transactions!$C:$C,"IN",
          Transactions!$Q:$Q,"Paid"))</f>
        <v/>
      </c>
      <c r="H1821" s="59" t="str">
        <f>IF($A1821="","",
   SUMIFS(Transactions!$P:$P,
          Transactions!$G:$G,$A1821,
          Transactions!$C:$C,"OUT"))</f>
        <v/>
      </c>
      <c r="I1821" s="65" t="str">
        <f t="shared" si="142"/>
        <v/>
      </c>
      <c r="J1821" s="59" t="str">
        <f t="shared" si="145"/>
        <v/>
      </c>
    </row>
    <row r="1822" spans="4:10" ht="22.5" customHeight="1" x14ac:dyDescent="0.25">
      <c r="D1822" s="59" t="str">
        <f t="shared" si="141"/>
        <v/>
      </c>
      <c r="E1822" s="59" t="str">
        <f t="shared" si="143"/>
        <v/>
      </c>
      <c r="F1822" s="59" t="str">
        <f t="shared" si="144"/>
        <v/>
      </c>
      <c r="G1822" s="59" t="str">
        <f>IF($A1822="","",
   SUMIFS(Transactions!$P:$P,
          Transactions!$G:$G,$A1822,
          Transactions!$C:$C,"IN",
          Transactions!$Q:$Q,"Paid"))</f>
        <v/>
      </c>
      <c r="H1822" s="59" t="str">
        <f>IF($A1822="","",
   SUMIFS(Transactions!$P:$P,
          Transactions!$G:$G,$A1822,
          Transactions!$C:$C,"OUT"))</f>
        <v/>
      </c>
      <c r="I1822" s="65" t="str">
        <f t="shared" si="142"/>
        <v/>
      </c>
      <c r="J1822" s="59" t="str">
        <f t="shared" si="145"/>
        <v/>
      </c>
    </row>
    <row r="1823" spans="4:10" ht="22.5" customHeight="1" x14ac:dyDescent="0.25">
      <c r="D1823" s="59" t="str">
        <f t="shared" si="141"/>
        <v/>
      </c>
      <c r="E1823" s="59" t="str">
        <f t="shared" si="143"/>
        <v/>
      </c>
      <c r="F1823" s="59" t="str">
        <f t="shared" si="144"/>
        <v/>
      </c>
      <c r="G1823" s="59" t="str">
        <f>IF($A1823="","",
   SUMIFS(Transactions!$P:$P,
          Transactions!$G:$G,$A1823,
          Transactions!$C:$C,"IN",
          Transactions!$Q:$Q,"Paid"))</f>
        <v/>
      </c>
      <c r="H1823" s="59" t="str">
        <f>IF($A1823="","",
   SUMIFS(Transactions!$P:$P,
          Transactions!$G:$G,$A1823,
          Transactions!$C:$C,"OUT"))</f>
        <v/>
      </c>
      <c r="I1823" s="65" t="str">
        <f t="shared" si="142"/>
        <v/>
      </c>
      <c r="J1823" s="59" t="str">
        <f t="shared" si="145"/>
        <v/>
      </c>
    </row>
    <row r="1824" spans="4:10" ht="22.5" customHeight="1" x14ac:dyDescent="0.25">
      <c r="D1824" s="59" t="str">
        <f t="shared" si="141"/>
        <v/>
      </c>
      <c r="E1824" s="59" t="str">
        <f t="shared" si="143"/>
        <v/>
      </c>
      <c r="F1824" s="59" t="str">
        <f t="shared" si="144"/>
        <v/>
      </c>
      <c r="G1824" s="59" t="str">
        <f>IF($A1824="","",
   SUMIFS(Transactions!$P:$P,
          Transactions!$G:$G,$A1824,
          Transactions!$C:$C,"IN",
          Transactions!$Q:$Q,"Paid"))</f>
        <v/>
      </c>
      <c r="H1824" s="59" t="str">
        <f>IF($A1824="","",
   SUMIFS(Transactions!$P:$P,
          Transactions!$G:$G,$A1824,
          Transactions!$C:$C,"OUT"))</f>
        <v/>
      </c>
      <c r="I1824" s="65" t="str">
        <f t="shared" si="142"/>
        <v/>
      </c>
      <c r="J1824" s="59" t="str">
        <f t="shared" si="145"/>
        <v/>
      </c>
    </row>
    <row r="1825" spans="4:10" ht="22.5" customHeight="1" x14ac:dyDescent="0.25">
      <c r="D1825" s="59" t="str">
        <f t="shared" si="141"/>
        <v/>
      </c>
      <c r="E1825" s="59" t="str">
        <f t="shared" si="143"/>
        <v/>
      </c>
      <c r="F1825" s="59" t="str">
        <f t="shared" si="144"/>
        <v/>
      </c>
      <c r="G1825" s="59" t="str">
        <f>IF($A1825="","",
   SUMIFS(Transactions!$P:$P,
          Transactions!$G:$G,$A1825,
          Transactions!$C:$C,"IN",
          Transactions!$Q:$Q,"Paid"))</f>
        <v/>
      </c>
      <c r="H1825" s="59" t="str">
        <f>IF($A1825="","",
   SUMIFS(Transactions!$P:$P,
          Transactions!$G:$G,$A1825,
          Transactions!$C:$C,"OUT"))</f>
        <v/>
      </c>
      <c r="I1825" s="65" t="str">
        <f t="shared" si="142"/>
        <v/>
      </c>
      <c r="J1825" s="59" t="str">
        <f t="shared" si="145"/>
        <v/>
      </c>
    </row>
    <row r="1826" spans="4:10" ht="22.5" customHeight="1" x14ac:dyDescent="0.25">
      <c r="D1826" s="59" t="str">
        <f t="shared" si="141"/>
        <v/>
      </c>
      <c r="E1826" s="59" t="str">
        <f t="shared" si="143"/>
        <v/>
      </c>
      <c r="F1826" s="59" t="str">
        <f t="shared" si="144"/>
        <v/>
      </c>
      <c r="G1826" s="59" t="str">
        <f>IF($A1826="","",
   SUMIFS(Transactions!$P:$P,
          Transactions!$G:$G,$A1826,
          Transactions!$C:$C,"IN",
          Transactions!$Q:$Q,"Paid"))</f>
        <v/>
      </c>
      <c r="H1826" s="59" t="str">
        <f>IF($A1826="","",
   SUMIFS(Transactions!$P:$P,
          Transactions!$G:$G,$A1826,
          Transactions!$C:$C,"OUT"))</f>
        <v/>
      </c>
      <c r="I1826" s="65" t="str">
        <f t="shared" si="142"/>
        <v/>
      </c>
      <c r="J1826" s="59" t="str">
        <f t="shared" si="145"/>
        <v/>
      </c>
    </row>
    <row r="1827" spans="4:10" ht="22.5" customHeight="1" x14ac:dyDescent="0.25">
      <c r="D1827" s="59" t="str">
        <f t="shared" si="141"/>
        <v/>
      </c>
      <c r="E1827" s="59" t="str">
        <f t="shared" si="143"/>
        <v/>
      </c>
      <c r="F1827" s="59" t="str">
        <f t="shared" si="144"/>
        <v/>
      </c>
      <c r="G1827" s="59" t="str">
        <f>IF($A1827="","",
   SUMIFS(Transactions!$P:$P,
          Transactions!$G:$G,$A1827,
          Transactions!$C:$C,"IN",
          Transactions!$Q:$Q,"Paid"))</f>
        <v/>
      </c>
      <c r="H1827" s="59" t="str">
        <f>IF($A1827="","",
   SUMIFS(Transactions!$P:$P,
          Transactions!$G:$G,$A1827,
          Transactions!$C:$C,"OUT"))</f>
        <v/>
      </c>
      <c r="I1827" s="65" t="str">
        <f t="shared" si="142"/>
        <v/>
      </c>
      <c r="J1827" s="59" t="str">
        <f t="shared" si="145"/>
        <v/>
      </c>
    </row>
    <row r="1828" spans="4:10" ht="22.5" customHeight="1" x14ac:dyDescent="0.25">
      <c r="D1828" s="59" t="str">
        <f t="shared" si="141"/>
        <v/>
      </c>
      <c r="E1828" s="59" t="str">
        <f t="shared" si="143"/>
        <v/>
      </c>
      <c r="F1828" s="59" t="str">
        <f t="shared" si="144"/>
        <v/>
      </c>
      <c r="G1828" s="59" t="str">
        <f>IF($A1828="","",
   SUMIFS(Transactions!$P:$P,
          Transactions!$G:$G,$A1828,
          Transactions!$C:$C,"IN",
          Transactions!$Q:$Q,"Paid"))</f>
        <v/>
      </c>
      <c r="H1828" s="59" t="str">
        <f>IF($A1828="","",
   SUMIFS(Transactions!$P:$P,
          Transactions!$G:$G,$A1828,
          Transactions!$C:$C,"OUT"))</f>
        <v/>
      </c>
      <c r="I1828" s="65" t="str">
        <f t="shared" si="142"/>
        <v/>
      </c>
      <c r="J1828" s="59" t="str">
        <f t="shared" si="145"/>
        <v/>
      </c>
    </row>
    <row r="1829" spans="4:10" ht="22.5" customHeight="1" x14ac:dyDescent="0.25">
      <c r="D1829" s="59" t="str">
        <f t="shared" si="141"/>
        <v/>
      </c>
      <c r="E1829" s="59" t="str">
        <f t="shared" si="143"/>
        <v/>
      </c>
      <c r="F1829" s="59" t="str">
        <f t="shared" si="144"/>
        <v/>
      </c>
      <c r="G1829" s="59" t="str">
        <f>IF($A1829="","",
   SUMIFS(Transactions!$P:$P,
          Transactions!$G:$G,$A1829,
          Transactions!$C:$C,"IN",
          Transactions!$Q:$Q,"Paid"))</f>
        <v/>
      </c>
      <c r="H1829" s="59" t="str">
        <f>IF($A1829="","",
   SUMIFS(Transactions!$P:$P,
          Transactions!$G:$G,$A1829,
          Transactions!$C:$C,"OUT"))</f>
        <v/>
      </c>
      <c r="I1829" s="65" t="str">
        <f t="shared" si="142"/>
        <v/>
      </c>
      <c r="J1829" s="59" t="str">
        <f t="shared" si="145"/>
        <v/>
      </c>
    </row>
    <row r="1830" spans="4:10" ht="22.5" customHeight="1" x14ac:dyDescent="0.25">
      <c r="D1830" s="59" t="str">
        <f t="shared" si="141"/>
        <v/>
      </c>
      <c r="E1830" s="59" t="str">
        <f t="shared" si="143"/>
        <v/>
      </c>
      <c r="F1830" s="59" t="str">
        <f t="shared" si="144"/>
        <v/>
      </c>
      <c r="G1830" s="59" t="str">
        <f>IF($A1830="","",
   SUMIFS(Transactions!$P:$P,
          Transactions!$G:$G,$A1830,
          Transactions!$C:$C,"IN",
          Transactions!$Q:$Q,"Paid"))</f>
        <v/>
      </c>
      <c r="H1830" s="59" t="str">
        <f>IF($A1830="","",
   SUMIFS(Transactions!$P:$P,
          Transactions!$G:$G,$A1830,
          Transactions!$C:$C,"OUT"))</f>
        <v/>
      </c>
      <c r="I1830" s="65" t="str">
        <f t="shared" si="142"/>
        <v/>
      </c>
      <c r="J1830" s="59" t="str">
        <f t="shared" si="145"/>
        <v/>
      </c>
    </row>
    <row r="1831" spans="4:10" ht="22.5" customHeight="1" x14ac:dyDescent="0.25">
      <c r="D1831" s="59" t="str">
        <f t="shared" si="141"/>
        <v/>
      </c>
      <c r="E1831" s="59" t="str">
        <f t="shared" si="143"/>
        <v/>
      </c>
      <c r="F1831" s="59" t="str">
        <f t="shared" si="144"/>
        <v/>
      </c>
      <c r="G1831" s="59" t="str">
        <f>IF($A1831="","",
   SUMIFS(Transactions!$P:$P,
          Transactions!$G:$G,$A1831,
          Transactions!$C:$C,"IN",
          Transactions!$Q:$Q,"Paid"))</f>
        <v/>
      </c>
      <c r="H1831" s="59" t="str">
        <f>IF($A1831="","",
   SUMIFS(Transactions!$P:$P,
          Transactions!$G:$G,$A1831,
          Transactions!$C:$C,"OUT"))</f>
        <v/>
      </c>
      <c r="I1831" s="65" t="str">
        <f t="shared" si="142"/>
        <v/>
      </c>
      <c r="J1831" s="59" t="str">
        <f t="shared" si="145"/>
        <v/>
      </c>
    </row>
    <row r="1832" spans="4:10" ht="22.5" customHeight="1" x14ac:dyDescent="0.25">
      <c r="D1832" s="59" t="str">
        <f t="shared" si="141"/>
        <v/>
      </c>
      <c r="E1832" s="59" t="str">
        <f t="shared" si="143"/>
        <v/>
      </c>
      <c r="F1832" s="59" t="str">
        <f t="shared" si="144"/>
        <v/>
      </c>
      <c r="G1832" s="59" t="str">
        <f>IF($A1832="","",
   SUMIFS(Transactions!$P:$P,
          Transactions!$G:$G,$A1832,
          Transactions!$C:$C,"IN",
          Transactions!$Q:$Q,"Paid"))</f>
        <v/>
      </c>
      <c r="H1832" s="59" t="str">
        <f>IF($A1832="","",
   SUMIFS(Transactions!$P:$P,
          Transactions!$G:$G,$A1832,
          Transactions!$C:$C,"OUT"))</f>
        <v/>
      </c>
      <c r="I1832" s="65" t="str">
        <f t="shared" si="142"/>
        <v/>
      </c>
      <c r="J1832" s="59" t="str">
        <f t="shared" si="145"/>
        <v/>
      </c>
    </row>
    <row r="1833" spans="4:10" ht="22.5" customHeight="1" x14ac:dyDescent="0.25">
      <c r="D1833" s="59" t="str">
        <f t="shared" si="141"/>
        <v/>
      </c>
      <c r="E1833" s="59" t="str">
        <f t="shared" si="143"/>
        <v/>
      </c>
      <c r="F1833" s="59" t="str">
        <f t="shared" si="144"/>
        <v/>
      </c>
      <c r="G1833" s="59" t="str">
        <f>IF($A1833="","",
   SUMIFS(Transactions!$P:$P,
          Transactions!$G:$G,$A1833,
          Transactions!$C:$C,"IN",
          Transactions!$Q:$Q,"Paid"))</f>
        <v/>
      </c>
      <c r="H1833" s="59" t="str">
        <f>IF($A1833="","",
   SUMIFS(Transactions!$P:$P,
          Transactions!$G:$G,$A1833,
          Transactions!$C:$C,"OUT"))</f>
        <v/>
      </c>
      <c r="I1833" s="65" t="str">
        <f t="shared" si="142"/>
        <v/>
      </c>
      <c r="J1833" s="59" t="str">
        <f t="shared" si="145"/>
        <v/>
      </c>
    </row>
    <row r="1834" spans="4:10" ht="22.5" customHeight="1" x14ac:dyDescent="0.25">
      <c r="D1834" s="59" t="str">
        <f t="shared" si="141"/>
        <v/>
      </c>
      <c r="E1834" s="59" t="str">
        <f t="shared" si="143"/>
        <v/>
      </c>
      <c r="F1834" s="59" t="str">
        <f t="shared" si="144"/>
        <v/>
      </c>
      <c r="G1834" s="59" t="str">
        <f>IF($A1834="","",
   SUMIFS(Transactions!$P:$P,
          Transactions!$G:$G,$A1834,
          Transactions!$C:$C,"IN",
          Transactions!$Q:$Q,"Paid"))</f>
        <v/>
      </c>
      <c r="H1834" s="59" t="str">
        <f>IF($A1834="","",
   SUMIFS(Transactions!$P:$P,
          Transactions!$G:$G,$A1834,
          Transactions!$C:$C,"OUT"))</f>
        <v/>
      </c>
      <c r="I1834" s="65" t="str">
        <f t="shared" si="142"/>
        <v/>
      </c>
      <c r="J1834" s="59" t="str">
        <f t="shared" si="145"/>
        <v/>
      </c>
    </row>
    <row r="1835" spans="4:10" ht="22.5" customHeight="1" x14ac:dyDescent="0.25">
      <c r="D1835" s="59" t="str">
        <f t="shared" si="141"/>
        <v/>
      </c>
      <c r="E1835" s="59" t="str">
        <f t="shared" si="143"/>
        <v/>
      </c>
      <c r="F1835" s="59" t="str">
        <f t="shared" si="144"/>
        <v/>
      </c>
      <c r="G1835" s="59" t="str">
        <f>IF($A1835="","",
   SUMIFS(Transactions!$P:$P,
          Transactions!$G:$G,$A1835,
          Transactions!$C:$C,"IN",
          Transactions!$Q:$Q,"Paid"))</f>
        <v/>
      </c>
      <c r="H1835" s="59" t="str">
        <f>IF($A1835="","",
   SUMIFS(Transactions!$P:$P,
          Transactions!$G:$G,$A1835,
          Transactions!$C:$C,"OUT"))</f>
        <v/>
      </c>
      <c r="I1835" s="65" t="str">
        <f t="shared" si="142"/>
        <v/>
      </c>
      <c r="J1835" s="59" t="str">
        <f t="shared" si="145"/>
        <v/>
      </c>
    </row>
    <row r="1836" spans="4:10" ht="22.5" customHeight="1" x14ac:dyDescent="0.25">
      <c r="D1836" s="59" t="str">
        <f t="shared" si="141"/>
        <v/>
      </c>
      <c r="E1836" s="59" t="str">
        <f t="shared" si="143"/>
        <v/>
      </c>
      <c r="F1836" s="59" t="str">
        <f t="shared" si="144"/>
        <v/>
      </c>
      <c r="G1836" s="59" t="str">
        <f>IF($A1836="","",
   SUMIFS(Transactions!$P:$P,
          Transactions!$G:$G,$A1836,
          Transactions!$C:$C,"IN",
          Transactions!$Q:$Q,"Paid"))</f>
        <v/>
      </c>
      <c r="H1836" s="59" t="str">
        <f>IF($A1836="","",
   SUMIFS(Transactions!$P:$P,
          Transactions!$G:$G,$A1836,
          Transactions!$C:$C,"OUT"))</f>
        <v/>
      </c>
      <c r="I1836" s="65" t="str">
        <f t="shared" si="142"/>
        <v/>
      </c>
      <c r="J1836" s="59" t="str">
        <f t="shared" si="145"/>
        <v/>
      </c>
    </row>
    <row r="1837" spans="4:10" ht="22.5" customHeight="1" x14ac:dyDescent="0.25">
      <c r="D1837" s="59" t="str">
        <f t="shared" si="141"/>
        <v/>
      </c>
      <c r="E1837" s="59" t="str">
        <f t="shared" si="143"/>
        <v/>
      </c>
      <c r="F1837" s="59" t="str">
        <f t="shared" si="144"/>
        <v/>
      </c>
      <c r="G1837" s="59" t="str">
        <f>IF($A1837="","",
   SUMIFS(Transactions!$P:$P,
          Transactions!$G:$G,$A1837,
          Transactions!$C:$C,"IN",
          Transactions!$Q:$Q,"Paid"))</f>
        <v/>
      </c>
      <c r="H1837" s="59" t="str">
        <f>IF($A1837="","",
   SUMIFS(Transactions!$P:$P,
          Transactions!$G:$G,$A1837,
          Transactions!$C:$C,"OUT"))</f>
        <v/>
      </c>
      <c r="I1837" s="65" t="str">
        <f t="shared" si="142"/>
        <v/>
      </c>
      <c r="J1837" s="59" t="str">
        <f t="shared" si="145"/>
        <v/>
      </c>
    </row>
    <row r="1838" spans="4:10" ht="22.5" customHeight="1" x14ac:dyDescent="0.25">
      <c r="D1838" s="59" t="str">
        <f t="shared" si="141"/>
        <v/>
      </c>
      <c r="E1838" s="59" t="str">
        <f t="shared" si="143"/>
        <v/>
      </c>
      <c r="F1838" s="59" t="str">
        <f t="shared" si="144"/>
        <v/>
      </c>
      <c r="G1838" s="59" t="str">
        <f>IF($A1838="","",
   SUMIFS(Transactions!$P:$P,
          Transactions!$G:$G,$A1838,
          Transactions!$C:$C,"IN",
          Transactions!$Q:$Q,"Paid"))</f>
        <v/>
      </c>
      <c r="H1838" s="59" t="str">
        <f>IF($A1838="","",
   SUMIFS(Transactions!$P:$P,
          Transactions!$G:$G,$A1838,
          Transactions!$C:$C,"OUT"))</f>
        <v/>
      </c>
      <c r="I1838" s="65" t="str">
        <f t="shared" si="142"/>
        <v/>
      </c>
      <c r="J1838" s="59" t="str">
        <f t="shared" si="145"/>
        <v/>
      </c>
    </row>
    <row r="1839" spans="4:10" ht="22.5" customHeight="1" x14ac:dyDescent="0.25">
      <c r="D1839" s="59" t="str">
        <f t="shared" si="141"/>
        <v/>
      </c>
      <c r="E1839" s="59" t="str">
        <f t="shared" si="143"/>
        <v/>
      </c>
      <c r="F1839" s="59" t="str">
        <f t="shared" si="144"/>
        <v/>
      </c>
      <c r="G1839" s="59" t="str">
        <f>IF($A1839="","",
   SUMIFS(Transactions!$P:$P,
          Transactions!$G:$G,$A1839,
          Transactions!$C:$C,"IN",
          Transactions!$Q:$Q,"Paid"))</f>
        <v/>
      </c>
      <c r="H1839" s="59" t="str">
        <f>IF($A1839="","",
   SUMIFS(Transactions!$P:$P,
          Transactions!$G:$G,$A1839,
          Transactions!$C:$C,"OUT"))</f>
        <v/>
      </c>
      <c r="I1839" s="65" t="str">
        <f t="shared" si="142"/>
        <v/>
      </c>
      <c r="J1839" s="59" t="str">
        <f t="shared" si="145"/>
        <v/>
      </c>
    </row>
    <row r="1840" spans="4:10" ht="22.5" customHeight="1" x14ac:dyDescent="0.25">
      <c r="D1840" s="59" t="str">
        <f t="shared" si="141"/>
        <v/>
      </c>
      <c r="E1840" s="59" t="str">
        <f t="shared" si="143"/>
        <v/>
      </c>
      <c r="F1840" s="59" t="str">
        <f t="shared" si="144"/>
        <v/>
      </c>
      <c r="G1840" s="59" t="str">
        <f>IF($A1840="","",
   SUMIFS(Transactions!$P:$P,
          Transactions!$G:$G,$A1840,
          Transactions!$C:$C,"IN",
          Transactions!$Q:$Q,"Paid"))</f>
        <v/>
      </c>
      <c r="H1840" s="59" t="str">
        <f>IF($A1840="","",
   SUMIFS(Transactions!$P:$P,
          Transactions!$G:$G,$A1840,
          Transactions!$C:$C,"OUT"))</f>
        <v/>
      </c>
      <c r="I1840" s="65" t="str">
        <f t="shared" si="142"/>
        <v/>
      </c>
      <c r="J1840" s="59" t="str">
        <f t="shared" si="145"/>
        <v/>
      </c>
    </row>
    <row r="1841" spans="4:10" ht="22.5" customHeight="1" x14ac:dyDescent="0.25">
      <c r="D1841" s="59" t="str">
        <f t="shared" si="141"/>
        <v/>
      </c>
      <c r="E1841" s="59" t="str">
        <f t="shared" si="143"/>
        <v/>
      </c>
      <c r="F1841" s="59" t="str">
        <f t="shared" si="144"/>
        <v/>
      </c>
      <c r="G1841" s="59" t="str">
        <f>IF($A1841="","",
   SUMIFS(Transactions!$P:$P,
          Transactions!$G:$G,$A1841,
          Transactions!$C:$C,"IN",
          Transactions!$Q:$Q,"Paid"))</f>
        <v/>
      </c>
      <c r="H1841" s="59" t="str">
        <f>IF($A1841="","",
   SUMIFS(Transactions!$P:$P,
          Transactions!$G:$G,$A1841,
          Transactions!$C:$C,"OUT"))</f>
        <v/>
      </c>
      <c r="I1841" s="65" t="str">
        <f t="shared" si="142"/>
        <v/>
      </c>
      <c r="J1841" s="59" t="str">
        <f t="shared" si="145"/>
        <v/>
      </c>
    </row>
    <row r="1842" spans="4:10" ht="22.5" customHeight="1" x14ac:dyDescent="0.25">
      <c r="D1842" s="59" t="str">
        <f t="shared" si="141"/>
        <v/>
      </c>
      <c r="E1842" s="59" t="str">
        <f t="shared" si="143"/>
        <v/>
      </c>
      <c r="F1842" s="59" t="str">
        <f t="shared" si="144"/>
        <v/>
      </c>
      <c r="G1842" s="59" t="str">
        <f>IF($A1842="","",
   SUMIFS(Transactions!$P:$P,
          Transactions!$G:$G,$A1842,
          Transactions!$C:$C,"IN",
          Transactions!$Q:$Q,"Paid"))</f>
        <v/>
      </c>
      <c r="H1842" s="59" t="str">
        <f>IF($A1842="","",
   SUMIFS(Transactions!$P:$P,
          Transactions!$G:$G,$A1842,
          Transactions!$C:$C,"OUT"))</f>
        <v/>
      </c>
      <c r="I1842" s="65" t="str">
        <f t="shared" si="142"/>
        <v/>
      </c>
      <c r="J1842" s="59" t="str">
        <f t="shared" si="145"/>
        <v/>
      </c>
    </row>
    <row r="1843" spans="4:10" ht="22.5" customHeight="1" x14ac:dyDescent="0.25">
      <c r="D1843" s="59" t="str">
        <f t="shared" si="141"/>
        <v/>
      </c>
      <c r="E1843" s="59" t="str">
        <f t="shared" si="143"/>
        <v/>
      </c>
      <c r="F1843" s="59" t="str">
        <f t="shared" si="144"/>
        <v/>
      </c>
      <c r="G1843" s="59" t="str">
        <f>IF($A1843="","",
   SUMIFS(Transactions!$P:$P,
          Transactions!$G:$G,$A1843,
          Transactions!$C:$C,"IN",
          Transactions!$Q:$Q,"Paid"))</f>
        <v/>
      </c>
      <c r="H1843" s="59" t="str">
        <f>IF($A1843="","",
   SUMIFS(Transactions!$P:$P,
          Transactions!$G:$G,$A1843,
          Transactions!$C:$C,"OUT"))</f>
        <v/>
      </c>
      <c r="I1843" s="65" t="str">
        <f t="shared" si="142"/>
        <v/>
      </c>
      <c r="J1843" s="59" t="str">
        <f t="shared" si="145"/>
        <v/>
      </c>
    </row>
    <row r="1844" spans="4:10" ht="22.5" customHeight="1" x14ac:dyDescent="0.25">
      <c r="D1844" s="59" t="str">
        <f t="shared" si="141"/>
        <v/>
      </c>
      <c r="E1844" s="59" t="str">
        <f t="shared" si="143"/>
        <v/>
      </c>
      <c r="F1844" s="59" t="str">
        <f t="shared" si="144"/>
        <v/>
      </c>
      <c r="G1844" s="59" t="str">
        <f>IF($A1844="","",
   SUMIFS(Transactions!$P:$P,
          Transactions!$G:$G,$A1844,
          Transactions!$C:$C,"IN",
          Transactions!$Q:$Q,"Paid"))</f>
        <v/>
      </c>
      <c r="H1844" s="59" t="str">
        <f>IF($A1844="","",
   SUMIFS(Transactions!$P:$P,
          Transactions!$G:$G,$A1844,
          Transactions!$C:$C,"OUT"))</f>
        <v/>
      </c>
      <c r="I1844" s="65" t="str">
        <f t="shared" si="142"/>
        <v/>
      </c>
      <c r="J1844" s="59" t="str">
        <f t="shared" si="145"/>
        <v/>
      </c>
    </row>
    <row r="1845" spans="4:10" ht="22.5" customHeight="1" x14ac:dyDescent="0.25">
      <c r="D1845" s="59" t="str">
        <f t="shared" si="141"/>
        <v/>
      </c>
      <c r="E1845" s="59" t="str">
        <f t="shared" si="143"/>
        <v/>
      </c>
      <c r="F1845" s="59" t="str">
        <f t="shared" si="144"/>
        <v/>
      </c>
      <c r="G1845" s="59" t="str">
        <f>IF($A1845="","",
   SUMIFS(Transactions!$P:$P,
          Transactions!$G:$G,$A1845,
          Transactions!$C:$C,"IN",
          Transactions!$Q:$Q,"Paid"))</f>
        <v/>
      </c>
      <c r="H1845" s="59" t="str">
        <f>IF($A1845="","",
   SUMIFS(Transactions!$P:$P,
          Transactions!$G:$G,$A1845,
          Transactions!$C:$C,"OUT"))</f>
        <v/>
      </c>
      <c r="I1845" s="65" t="str">
        <f t="shared" si="142"/>
        <v/>
      </c>
      <c r="J1845" s="59" t="str">
        <f t="shared" si="145"/>
        <v/>
      </c>
    </row>
    <row r="1846" spans="4:10" ht="22.5" customHeight="1" x14ac:dyDescent="0.25">
      <c r="D1846" s="59" t="str">
        <f t="shared" si="141"/>
        <v/>
      </c>
      <c r="E1846" s="59" t="str">
        <f t="shared" si="143"/>
        <v/>
      </c>
      <c r="F1846" s="59" t="str">
        <f t="shared" si="144"/>
        <v/>
      </c>
      <c r="G1846" s="59" t="str">
        <f>IF($A1846="","",
   SUMIFS(Transactions!$P:$P,
          Transactions!$G:$G,$A1846,
          Transactions!$C:$C,"IN",
          Transactions!$Q:$Q,"Paid"))</f>
        <v/>
      </c>
      <c r="H1846" s="59" t="str">
        <f>IF($A1846="","",
   SUMIFS(Transactions!$P:$P,
          Transactions!$G:$G,$A1846,
          Transactions!$C:$C,"OUT"))</f>
        <v/>
      </c>
      <c r="I1846" s="65" t="str">
        <f t="shared" si="142"/>
        <v/>
      </c>
      <c r="J1846" s="59" t="str">
        <f t="shared" si="145"/>
        <v/>
      </c>
    </row>
    <row r="1847" spans="4:10" ht="22.5" customHeight="1" x14ac:dyDescent="0.25">
      <c r="D1847" s="59" t="str">
        <f t="shared" si="141"/>
        <v/>
      </c>
      <c r="E1847" s="59" t="str">
        <f t="shared" si="143"/>
        <v/>
      </c>
      <c r="F1847" s="59" t="str">
        <f t="shared" si="144"/>
        <v/>
      </c>
      <c r="G1847" s="59" t="str">
        <f>IF($A1847="","",
   SUMIFS(Transactions!$P:$P,
          Transactions!$G:$G,$A1847,
          Transactions!$C:$C,"IN",
          Transactions!$Q:$Q,"Paid"))</f>
        <v/>
      </c>
      <c r="H1847" s="59" t="str">
        <f>IF($A1847="","",
   SUMIFS(Transactions!$P:$P,
          Transactions!$G:$G,$A1847,
          Transactions!$C:$C,"OUT"))</f>
        <v/>
      </c>
      <c r="I1847" s="65" t="str">
        <f t="shared" si="142"/>
        <v/>
      </c>
      <c r="J1847" s="59" t="str">
        <f t="shared" si="145"/>
        <v/>
      </c>
    </row>
    <row r="1848" spans="4:10" ht="22.5" customHeight="1" x14ac:dyDescent="0.25">
      <c r="D1848" s="59" t="str">
        <f t="shared" si="141"/>
        <v/>
      </c>
      <c r="E1848" s="59" t="str">
        <f t="shared" si="143"/>
        <v/>
      </c>
      <c r="F1848" s="59" t="str">
        <f t="shared" si="144"/>
        <v/>
      </c>
      <c r="G1848" s="59" t="str">
        <f>IF($A1848="","",
   SUMIFS(Transactions!$P:$P,
          Transactions!$G:$G,$A1848,
          Transactions!$C:$C,"IN",
          Transactions!$Q:$Q,"Paid"))</f>
        <v/>
      </c>
      <c r="H1848" s="59" t="str">
        <f>IF($A1848="","",
   SUMIFS(Transactions!$P:$P,
          Transactions!$G:$G,$A1848,
          Transactions!$C:$C,"OUT"))</f>
        <v/>
      </c>
      <c r="I1848" s="65" t="str">
        <f t="shared" si="142"/>
        <v/>
      </c>
      <c r="J1848" s="59" t="str">
        <f t="shared" si="145"/>
        <v/>
      </c>
    </row>
    <row r="1849" spans="4:10" ht="22.5" customHeight="1" x14ac:dyDescent="0.25">
      <c r="D1849" s="59" t="str">
        <f t="shared" si="141"/>
        <v/>
      </c>
      <c r="E1849" s="59" t="str">
        <f t="shared" si="143"/>
        <v/>
      </c>
      <c r="F1849" s="59" t="str">
        <f t="shared" si="144"/>
        <v/>
      </c>
      <c r="G1849" s="59" t="str">
        <f>IF($A1849="","",
   SUMIFS(Transactions!$P:$P,
          Transactions!$G:$G,$A1849,
          Transactions!$C:$C,"IN",
          Transactions!$Q:$Q,"Paid"))</f>
        <v/>
      </c>
      <c r="H1849" s="59" t="str">
        <f>IF($A1849="","",
   SUMIFS(Transactions!$P:$P,
          Transactions!$G:$G,$A1849,
          Transactions!$C:$C,"OUT"))</f>
        <v/>
      </c>
      <c r="I1849" s="65" t="str">
        <f t="shared" si="142"/>
        <v/>
      </c>
      <c r="J1849" s="59" t="str">
        <f t="shared" si="145"/>
        <v/>
      </c>
    </row>
    <row r="1850" spans="4:10" ht="22.5" customHeight="1" x14ac:dyDescent="0.25">
      <c r="D1850" s="59" t="str">
        <f t="shared" si="141"/>
        <v/>
      </c>
      <c r="E1850" s="59" t="str">
        <f t="shared" si="143"/>
        <v/>
      </c>
      <c r="F1850" s="59" t="str">
        <f t="shared" si="144"/>
        <v/>
      </c>
      <c r="G1850" s="59" t="str">
        <f>IF($A1850="","",
   SUMIFS(Transactions!$P:$P,
          Transactions!$G:$G,$A1850,
          Transactions!$C:$C,"IN",
          Transactions!$Q:$Q,"Paid"))</f>
        <v/>
      </c>
      <c r="H1850" s="59" t="str">
        <f>IF($A1850="","",
   SUMIFS(Transactions!$P:$P,
          Transactions!$G:$G,$A1850,
          Transactions!$C:$C,"OUT"))</f>
        <v/>
      </c>
      <c r="I1850" s="65" t="str">
        <f t="shared" si="142"/>
        <v/>
      </c>
      <c r="J1850" s="59" t="str">
        <f t="shared" si="145"/>
        <v/>
      </c>
    </row>
    <row r="1851" spans="4:10" ht="22.5" customHeight="1" x14ac:dyDescent="0.25">
      <c r="D1851" s="59" t="str">
        <f t="shared" si="141"/>
        <v/>
      </c>
      <c r="E1851" s="59" t="str">
        <f t="shared" si="143"/>
        <v/>
      </c>
      <c r="F1851" s="59" t="str">
        <f t="shared" si="144"/>
        <v/>
      </c>
      <c r="G1851" s="59" t="str">
        <f>IF($A1851="","",
   SUMIFS(Transactions!$P:$P,
          Transactions!$G:$G,$A1851,
          Transactions!$C:$C,"IN",
          Transactions!$Q:$Q,"Paid"))</f>
        <v/>
      </c>
      <c r="H1851" s="59" t="str">
        <f>IF($A1851="","",
   SUMIFS(Transactions!$P:$P,
          Transactions!$G:$G,$A1851,
          Transactions!$C:$C,"OUT"))</f>
        <v/>
      </c>
      <c r="I1851" s="65" t="str">
        <f t="shared" si="142"/>
        <v/>
      </c>
      <c r="J1851" s="59" t="str">
        <f t="shared" si="145"/>
        <v/>
      </c>
    </row>
    <row r="1852" spans="4:10" ht="22.5" customHeight="1" x14ac:dyDescent="0.25">
      <c r="D1852" s="59" t="str">
        <f t="shared" si="141"/>
        <v/>
      </c>
      <c r="E1852" s="59" t="str">
        <f t="shared" si="143"/>
        <v/>
      </c>
      <c r="F1852" s="59" t="str">
        <f t="shared" si="144"/>
        <v/>
      </c>
      <c r="G1852" s="59" t="str">
        <f>IF($A1852="","",
   SUMIFS(Transactions!$P:$P,
          Transactions!$G:$G,$A1852,
          Transactions!$C:$C,"IN",
          Transactions!$Q:$Q,"Paid"))</f>
        <v/>
      </c>
      <c r="H1852" s="59" t="str">
        <f>IF($A1852="","",
   SUMIFS(Transactions!$P:$P,
          Transactions!$G:$G,$A1852,
          Transactions!$C:$C,"OUT"))</f>
        <v/>
      </c>
      <c r="I1852" s="65" t="str">
        <f t="shared" si="142"/>
        <v/>
      </c>
      <c r="J1852" s="59" t="str">
        <f t="shared" si="145"/>
        <v/>
      </c>
    </row>
    <row r="1853" spans="4:10" ht="22.5" customHeight="1" x14ac:dyDescent="0.25">
      <c r="D1853" s="59" t="str">
        <f t="shared" si="141"/>
        <v/>
      </c>
      <c r="E1853" s="59" t="str">
        <f t="shared" si="143"/>
        <v/>
      </c>
      <c r="F1853" s="59" t="str">
        <f t="shared" si="144"/>
        <v/>
      </c>
      <c r="G1853" s="59" t="str">
        <f>IF($A1853="","",
   SUMIFS(Transactions!$P:$P,
          Transactions!$G:$G,$A1853,
          Transactions!$C:$C,"IN",
          Transactions!$Q:$Q,"Paid"))</f>
        <v/>
      </c>
      <c r="H1853" s="59" t="str">
        <f>IF($A1853="","",
   SUMIFS(Transactions!$P:$P,
          Transactions!$G:$G,$A1853,
          Transactions!$C:$C,"OUT"))</f>
        <v/>
      </c>
      <c r="I1853" s="65" t="str">
        <f t="shared" si="142"/>
        <v/>
      </c>
      <c r="J1853" s="59" t="str">
        <f t="shared" si="145"/>
        <v/>
      </c>
    </row>
    <row r="1854" spans="4:10" ht="22.5" customHeight="1" x14ac:dyDescent="0.25">
      <c r="D1854" s="59" t="str">
        <f t="shared" si="141"/>
        <v/>
      </c>
      <c r="E1854" s="59" t="str">
        <f t="shared" si="143"/>
        <v/>
      </c>
      <c r="F1854" s="59" t="str">
        <f t="shared" si="144"/>
        <v/>
      </c>
      <c r="G1854" s="59" t="str">
        <f>IF($A1854="","",
   SUMIFS(Transactions!$P:$P,
          Transactions!$G:$G,$A1854,
          Transactions!$C:$C,"IN",
          Transactions!$Q:$Q,"Paid"))</f>
        <v/>
      </c>
      <c r="H1854" s="59" t="str">
        <f>IF($A1854="","",
   SUMIFS(Transactions!$P:$P,
          Transactions!$G:$G,$A1854,
          Transactions!$C:$C,"OUT"))</f>
        <v/>
      </c>
      <c r="I1854" s="65" t="str">
        <f t="shared" si="142"/>
        <v/>
      </c>
      <c r="J1854" s="59" t="str">
        <f t="shared" si="145"/>
        <v/>
      </c>
    </row>
    <row r="1855" spans="4:10" ht="22.5" customHeight="1" x14ac:dyDescent="0.25">
      <c r="D1855" s="59" t="str">
        <f t="shared" si="141"/>
        <v/>
      </c>
      <c r="E1855" s="59" t="str">
        <f t="shared" si="143"/>
        <v/>
      </c>
      <c r="F1855" s="59" t="str">
        <f t="shared" si="144"/>
        <v/>
      </c>
      <c r="G1855" s="59" t="str">
        <f>IF($A1855="","",
   SUMIFS(Transactions!$P:$P,
          Transactions!$G:$G,$A1855,
          Transactions!$C:$C,"IN",
          Transactions!$Q:$Q,"Paid"))</f>
        <v/>
      </c>
      <c r="H1855" s="59" t="str">
        <f>IF($A1855="","",
   SUMIFS(Transactions!$P:$P,
          Transactions!$G:$G,$A1855,
          Transactions!$C:$C,"OUT"))</f>
        <v/>
      </c>
      <c r="I1855" s="65" t="str">
        <f t="shared" si="142"/>
        <v/>
      </c>
      <c r="J1855" s="59" t="str">
        <f t="shared" si="145"/>
        <v/>
      </c>
    </row>
    <row r="1856" spans="4:10" ht="22.5" customHeight="1" x14ac:dyDescent="0.25">
      <c r="D1856" s="59" t="str">
        <f t="shared" si="141"/>
        <v/>
      </c>
      <c r="E1856" s="59" t="str">
        <f t="shared" si="143"/>
        <v/>
      </c>
      <c r="F1856" s="59" t="str">
        <f t="shared" si="144"/>
        <v/>
      </c>
      <c r="G1856" s="59" t="str">
        <f>IF($A1856="","",
   SUMIFS(Transactions!$P:$P,
          Transactions!$G:$G,$A1856,
          Transactions!$C:$C,"IN",
          Transactions!$Q:$Q,"Paid"))</f>
        <v/>
      </c>
      <c r="H1856" s="59" t="str">
        <f>IF($A1856="","",
   SUMIFS(Transactions!$P:$P,
          Transactions!$G:$G,$A1856,
          Transactions!$C:$C,"OUT"))</f>
        <v/>
      </c>
      <c r="I1856" s="65" t="str">
        <f t="shared" si="142"/>
        <v/>
      </c>
      <c r="J1856" s="59" t="str">
        <f t="shared" si="145"/>
        <v/>
      </c>
    </row>
    <row r="1857" spans="4:10" ht="22.5" customHeight="1" x14ac:dyDescent="0.25">
      <c r="D1857" s="59" t="str">
        <f t="shared" si="141"/>
        <v/>
      </c>
      <c r="E1857" s="59" t="str">
        <f t="shared" si="143"/>
        <v/>
      </c>
      <c r="F1857" s="59" t="str">
        <f t="shared" si="144"/>
        <v/>
      </c>
      <c r="G1857" s="59" t="str">
        <f>IF($A1857="","",
   SUMIFS(Transactions!$P:$P,
          Transactions!$G:$G,$A1857,
          Transactions!$C:$C,"IN",
          Transactions!$Q:$Q,"Paid"))</f>
        <v/>
      </c>
      <c r="H1857" s="59" t="str">
        <f>IF($A1857="","",
   SUMIFS(Transactions!$P:$P,
          Transactions!$G:$G,$A1857,
          Transactions!$C:$C,"OUT"))</f>
        <v/>
      </c>
      <c r="I1857" s="65" t="str">
        <f t="shared" si="142"/>
        <v/>
      </c>
      <c r="J1857" s="59" t="str">
        <f t="shared" si="145"/>
        <v/>
      </c>
    </row>
    <row r="1858" spans="4:10" ht="22.5" customHeight="1" x14ac:dyDescent="0.25">
      <c r="D1858" s="59" t="str">
        <f t="shared" si="141"/>
        <v/>
      </c>
      <c r="E1858" s="59" t="str">
        <f t="shared" si="143"/>
        <v/>
      </c>
      <c r="F1858" s="59" t="str">
        <f t="shared" si="144"/>
        <v/>
      </c>
      <c r="G1858" s="59" t="str">
        <f>IF($A1858="","",
   SUMIFS(Transactions!$P:$P,
          Transactions!$G:$G,$A1858,
          Transactions!$C:$C,"IN",
          Transactions!$Q:$Q,"Paid"))</f>
        <v/>
      </c>
      <c r="H1858" s="59" t="str">
        <f>IF($A1858="","",
   SUMIFS(Transactions!$P:$P,
          Transactions!$G:$G,$A1858,
          Transactions!$C:$C,"OUT"))</f>
        <v/>
      </c>
      <c r="I1858" s="65" t="str">
        <f t="shared" si="142"/>
        <v/>
      </c>
      <c r="J1858" s="59" t="str">
        <f t="shared" si="145"/>
        <v/>
      </c>
    </row>
    <row r="1859" spans="4:10" ht="22.5" customHeight="1" x14ac:dyDescent="0.25">
      <c r="D1859" s="59" t="str">
        <f t="shared" ref="D1859:D1922" si="146">IF(C1859="","",ROUND(C1859*0.15,2))</f>
        <v/>
      </c>
      <c r="E1859" s="59" t="str">
        <f t="shared" si="143"/>
        <v/>
      </c>
      <c r="F1859" s="59" t="str">
        <f t="shared" si="144"/>
        <v/>
      </c>
      <c r="G1859" s="59" t="str">
        <f>IF($A1859="","",
   SUMIFS(Transactions!$P:$P,
          Transactions!$G:$G,$A1859,
          Transactions!$C:$C,"IN",
          Transactions!$Q:$Q,"Paid"))</f>
        <v/>
      </c>
      <c r="H1859" s="59" t="str">
        <f>IF($A1859="","",
   SUMIFS(Transactions!$P:$P,
          Transactions!$G:$G,$A1859,
          Transactions!$C:$C,"OUT"))</f>
        <v/>
      </c>
      <c r="I1859" s="65" t="str">
        <f t="shared" ref="I1859:I1922" si="147">IF(C1859="","",C1859-H1859)</f>
        <v/>
      </c>
      <c r="J1859" s="59" t="str">
        <f t="shared" si="145"/>
        <v/>
      </c>
    </row>
    <row r="1860" spans="4:10" ht="22.5" customHeight="1" x14ac:dyDescent="0.25">
      <c r="D1860" s="59" t="str">
        <f t="shared" si="146"/>
        <v/>
      </c>
      <c r="E1860" s="59" t="str">
        <f t="shared" ref="E1860:E1923" si="148">IF(C1860="","",C1860+D1860)</f>
        <v/>
      </c>
      <c r="F1860" s="59" t="str">
        <f t="shared" ref="F1860:F1923" si="149">IF(E1860="","",E1860*0.5)</f>
        <v/>
      </c>
      <c r="G1860" s="59" t="str">
        <f>IF($A1860="","",
   SUMIFS(Transactions!$P:$P,
          Transactions!$G:$G,$A1860,
          Transactions!$C:$C,"IN",
          Transactions!$Q:$Q,"Paid"))</f>
        <v/>
      </c>
      <c r="H1860" s="59" t="str">
        <f>IF($A1860="","",
   SUMIFS(Transactions!$P:$P,
          Transactions!$G:$G,$A1860,
          Transactions!$C:$C,"OUT"))</f>
        <v/>
      </c>
      <c r="I1860" s="65" t="str">
        <f t="shared" si="147"/>
        <v/>
      </c>
      <c r="J1860" s="59" t="str">
        <f t="shared" ref="J1860:J1923" si="150">IF(E1860="","",E1860-G1860)</f>
        <v/>
      </c>
    </row>
    <row r="1861" spans="4:10" ht="22.5" customHeight="1" x14ac:dyDescent="0.25">
      <c r="D1861" s="59" t="str">
        <f t="shared" si="146"/>
        <v/>
      </c>
      <c r="E1861" s="59" t="str">
        <f t="shared" si="148"/>
        <v/>
      </c>
      <c r="F1861" s="59" t="str">
        <f t="shared" si="149"/>
        <v/>
      </c>
      <c r="G1861" s="59" t="str">
        <f>IF($A1861="","",
   SUMIFS(Transactions!$P:$P,
          Transactions!$G:$G,$A1861,
          Transactions!$C:$C,"IN",
          Transactions!$Q:$Q,"Paid"))</f>
        <v/>
      </c>
      <c r="H1861" s="59" t="str">
        <f>IF($A1861="","",
   SUMIFS(Transactions!$P:$P,
          Transactions!$G:$G,$A1861,
          Transactions!$C:$C,"OUT"))</f>
        <v/>
      </c>
      <c r="I1861" s="65" t="str">
        <f t="shared" si="147"/>
        <v/>
      </c>
      <c r="J1861" s="59" t="str">
        <f t="shared" si="150"/>
        <v/>
      </c>
    </row>
    <row r="1862" spans="4:10" ht="22.5" customHeight="1" x14ac:dyDescent="0.25">
      <c r="D1862" s="59" t="str">
        <f t="shared" si="146"/>
        <v/>
      </c>
      <c r="E1862" s="59" t="str">
        <f t="shared" si="148"/>
        <v/>
      </c>
      <c r="F1862" s="59" t="str">
        <f t="shared" si="149"/>
        <v/>
      </c>
      <c r="G1862" s="59" t="str">
        <f>IF($A1862="","",
   SUMIFS(Transactions!$P:$P,
          Transactions!$G:$G,$A1862,
          Transactions!$C:$C,"IN",
          Transactions!$Q:$Q,"Paid"))</f>
        <v/>
      </c>
      <c r="H1862" s="59" t="str">
        <f>IF($A1862="","",
   SUMIFS(Transactions!$P:$P,
          Transactions!$G:$G,$A1862,
          Transactions!$C:$C,"OUT"))</f>
        <v/>
      </c>
      <c r="I1862" s="65" t="str">
        <f t="shared" si="147"/>
        <v/>
      </c>
      <c r="J1862" s="59" t="str">
        <f t="shared" si="150"/>
        <v/>
      </c>
    </row>
    <row r="1863" spans="4:10" ht="22.5" customHeight="1" x14ac:dyDescent="0.25">
      <c r="D1863" s="59" t="str">
        <f t="shared" si="146"/>
        <v/>
      </c>
      <c r="E1863" s="59" t="str">
        <f t="shared" si="148"/>
        <v/>
      </c>
      <c r="F1863" s="59" t="str">
        <f t="shared" si="149"/>
        <v/>
      </c>
      <c r="G1863" s="59" t="str">
        <f>IF($A1863="","",
   SUMIFS(Transactions!$P:$P,
          Transactions!$G:$G,$A1863,
          Transactions!$C:$C,"IN",
          Transactions!$Q:$Q,"Paid"))</f>
        <v/>
      </c>
      <c r="H1863" s="59" t="str">
        <f>IF($A1863="","",
   SUMIFS(Transactions!$P:$P,
          Transactions!$G:$G,$A1863,
          Transactions!$C:$C,"OUT"))</f>
        <v/>
      </c>
      <c r="I1863" s="65" t="str">
        <f t="shared" si="147"/>
        <v/>
      </c>
      <c r="J1863" s="59" t="str">
        <f t="shared" si="150"/>
        <v/>
      </c>
    </row>
    <row r="1864" spans="4:10" ht="22.5" customHeight="1" x14ac:dyDescent="0.25">
      <c r="D1864" s="59" t="str">
        <f t="shared" si="146"/>
        <v/>
      </c>
      <c r="E1864" s="59" t="str">
        <f t="shared" si="148"/>
        <v/>
      </c>
      <c r="F1864" s="59" t="str">
        <f t="shared" si="149"/>
        <v/>
      </c>
      <c r="G1864" s="59" t="str">
        <f>IF($A1864="","",
   SUMIFS(Transactions!$P:$P,
          Transactions!$G:$G,$A1864,
          Transactions!$C:$C,"IN",
          Transactions!$Q:$Q,"Paid"))</f>
        <v/>
      </c>
      <c r="H1864" s="59" t="str">
        <f>IF($A1864="","",
   SUMIFS(Transactions!$P:$P,
          Transactions!$G:$G,$A1864,
          Transactions!$C:$C,"OUT"))</f>
        <v/>
      </c>
      <c r="I1864" s="65" t="str">
        <f t="shared" si="147"/>
        <v/>
      </c>
      <c r="J1864" s="59" t="str">
        <f t="shared" si="150"/>
        <v/>
      </c>
    </row>
    <row r="1865" spans="4:10" ht="22.5" customHeight="1" x14ac:dyDescent="0.25">
      <c r="D1865" s="59" t="str">
        <f t="shared" si="146"/>
        <v/>
      </c>
      <c r="E1865" s="59" t="str">
        <f t="shared" si="148"/>
        <v/>
      </c>
      <c r="F1865" s="59" t="str">
        <f t="shared" si="149"/>
        <v/>
      </c>
      <c r="G1865" s="59" t="str">
        <f>IF($A1865="","",
   SUMIFS(Transactions!$P:$P,
          Transactions!$G:$G,$A1865,
          Transactions!$C:$C,"IN",
          Transactions!$Q:$Q,"Paid"))</f>
        <v/>
      </c>
      <c r="H1865" s="59" t="str">
        <f>IF($A1865="","",
   SUMIFS(Transactions!$P:$P,
          Transactions!$G:$G,$A1865,
          Transactions!$C:$C,"OUT"))</f>
        <v/>
      </c>
      <c r="I1865" s="65" t="str">
        <f t="shared" si="147"/>
        <v/>
      </c>
      <c r="J1865" s="59" t="str">
        <f t="shared" si="150"/>
        <v/>
      </c>
    </row>
    <row r="1866" spans="4:10" ht="22.5" customHeight="1" x14ac:dyDescent="0.25">
      <c r="D1866" s="59" t="str">
        <f t="shared" si="146"/>
        <v/>
      </c>
      <c r="E1866" s="59" t="str">
        <f t="shared" si="148"/>
        <v/>
      </c>
      <c r="F1866" s="59" t="str">
        <f t="shared" si="149"/>
        <v/>
      </c>
      <c r="G1866" s="59" t="str">
        <f>IF($A1866="","",
   SUMIFS(Transactions!$P:$P,
          Transactions!$G:$G,$A1866,
          Transactions!$C:$C,"IN",
          Transactions!$Q:$Q,"Paid"))</f>
        <v/>
      </c>
      <c r="H1866" s="59" t="str">
        <f>IF($A1866="","",
   SUMIFS(Transactions!$P:$P,
          Transactions!$G:$G,$A1866,
          Transactions!$C:$C,"OUT"))</f>
        <v/>
      </c>
      <c r="I1866" s="65" t="str">
        <f t="shared" si="147"/>
        <v/>
      </c>
      <c r="J1866" s="59" t="str">
        <f t="shared" si="150"/>
        <v/>
      </c>
    </row>
    <row r="1867" spans="4:10" ht="22.5" customHeight="1" x14ac:dyDescent="0.25">
      <c r="D1867" s="59" t="str">
        <f t="shared" si="146"/>
        <v/>
      </c>
      <c r="E1867" s="59" t="str">
        <f t="shared" si="148"/>
        <v/>
      </c>
      <c r="F1867" s="59" t="str">
        <f t="shared" si="149"/>
        <v/>
      </c>
      <c r="G1867" s="59" t="str">
        <f>IF($A1867="","",
   SUMIFS(Transactions!$P:$P,
          Transactions!$G:$G,$A1867,
          Transactions!$C:$C,"IN",
          Transactions!$Q:$Q,"Paid"))</f>
        <v/>
      </c>
      <c r="H1867" s="59" t="str">
        <f>IF($A1867="","",
   SUMIFS(Transactions!$P:$P,
          Transactions!$G:$G,$A1867,
          Transactions!$C:$C,"OUT"))</f>
        <v/>
      </c>
      <c r="I1867" s="65" t="str">
        <f t="shared" si="147"/>
        <v/>
      </c>
      <c r="J1867" s="59" t="str">
        <f t="shared" si="150"/>
        <v/>
      </c>
    </row>
    <row r="1868" spans="4:10" ht="22.5" customHeight="1" x14ac:dyDescent="0.25">
      <c r="D1868" s="59" t="str">
        <f t="shared" si="146"/>
        <v/>
      </c>
      <c r="E1868" s="59" t="str">
        <f t="shared" si="148"/>
        <v/>
      </c>
      <c r="F1868" s="59" t="str">
        <f t="shared" si="149"/>
        <v/>
      </c>
      <c r="G1868" s="59" t="str">
        <f>IF($A1868="","",
   SUMIFS(Transactions!$P:$P,
          Transactions!$G:$G,$A1868,
          Transactions!$C:$C,"IN",
          Transactions!$Q:$Q,"Paid"))</f>
        <v/>
      </c>
      <c r="H1868" s="59" t="str">
        <f>IF($A1868="","",
   SUMIFS(Transactions!$P:$P,
          Transactions!$G:$G,$A1868,
          Transactions!$C:$C,"OUT"))</f>
        <v/>
      </c>
      <c r="I1868" s="65" t="str">
        <f t="shared" si="147"/>
        <v/>
      </c>
      <c r="J1868" s="59" t="str">
        <f t="shared" si="150"/>
        <v/>
      </c>
    </row>
    <row r="1869" spans="4:10" ht="22.5" customHeight="1" x14ac:dyDescent="0.25">
      <c r="D1869" s="59" t="str">
        <f t="shared" si="146"/>
        <v/>
      </c>
      <c r="E1869" s="59" t="str">
        <f t="shared" si="148"/>
        <v/>
      </c>
      <c r="F1869" s="59" t="str">
        <f t="shared" si="149"/>
        <v/>
      </c>
      <c r="G1869" s="59" t="str">
        <f>IF($A1869="","",
   SUMIFS(Transactions!$P:$P,
          Transactions!$G:$G,$A1869,
          Transactions!$C:$C,"IN",
          Transactions!$Q:$Q,"Paid"))</f>
        <v/>
      </c>
      <c r="H1869" s="59" t="str">
        <f>IF($A1869="","",
   SUMIFS(Transactions!$P:$P,
          Transactions!$G:$G,$A1869,
          Transactions!$C:$C,"OUT"))</f>
        <v/>
      </c>
      <c r="I1869" s="65" t="str">
        <f t="shared" si="147"/>
        <v/>
      </c>
      <c r="J1869" s="59" t="str">
        <f t="shared" si="150"/>
        <v/>
      </c>
    </row>
    <row r="1870" spans="4:10" ht="22.5" customHeight="1" x14ac:dyDescent="0.25">
      <c r="D1870" s="59" t="str">
        <f t="shared" si="146"/>
        <v/>
      </c>
      <c r="E1870" s="59" t="str">
        <f t="shared" si="148"/>
        <v/>
      </c>
      <c r="F1870" s="59" t="str">
        <f t="shared" si="149"/>
        <v/>
      </c>
      <c r="G1870" s="59" t="str">
        <f>IF($A1870="","",
   SUMIFS(Transactions!$P:$P,
          Transactions!$G:$G,$A1870,
          Transactions!$C:$C,"IN",
          Transactions!$Q:$Q,"Paid"))</f>
        <v/>
      </c>
      <c r="H1870" s="59" t="str">
        <f>IF($A1870="","",
   SUMIFS(Transactions!$P:$P,
          Transactions!$G:$G,$A1870,
          Transactions!$C:$C,"OUT"))</f>
        <v/>
      </c>
      <c r="I1870" s="65" t="str">
        <f t="shared" si="147"/>
        <v/>
      </c>
      <c r="J1870" s="59" t="str">
        <f t="shared" si="150"/>
        <v/>
      </c>
    </row>
    <row r="1871" spans="4:10" ht="22.5" customHeight="1" x14ac:dyDescent="0.25">
      <c r="D1871" s="59" t="str">
        <f t="shared" si="146"/>
        <v/>
      </c>
      <c r="E1871" s="59" t="str">
        <f t="shared" si="148"/>
        <v/>
      </c>
      <c r="F1871" s="59" t="str">
        <f t="shared" si="149"/>
        <v/>
      </c>
      <c r="G1871" s="59" t="str">
        <f>IF($A1871="","",
   SUMIFS(Transactions!$P:$P,
          Transactions!$G:$G,$A1871,
          Transactions!$C:$C,"IN",
          Transactions!$Q:$Q,"Paid"))</f>
        <v/>
      </c>
      <c r="H1871" s="59" t="str">
        <f>IF($A1871="","",
   SUMIFS(Transactions!$P:$P,
          Transactions!$G:$G,$A1871,
          Transactions!$C:$C,"OUT"))</f>
        <v/>
      </c>
      <c r="I1871" s="65" t="str">
        <f t="shared" si="147"/>
        <v/>
      </c>
      <c r="J1871" s="59" t="str">
        <f t="shared" si="150"/>
        <v/>
      </c>
    </row>
    <row r="1872" spans="4:10" ht="22.5" customHeight="1" x14ac:dyDescent="0.25">
      <c r="D1872" s="59" t="str">
        <f t="shared" si="146"/>
        <v/>
      </c>
      <c r="E1872" s="59" t="str">
        <f t="shared" si="148"/>
        <v/>
      </c>
      <c r="F1872" s="59" t="str">
        <f t="shared" si="149"/>
        <v/>
      </c>
      <c r="G1872" s="59" t="str">
        <f>IF($A1872="","",
   SUMIFS(Transactions!$P:$P,
          Transactions!$G:$G,$A1872,
          Transactions!$C:$C,"IN",
          Transactions!$Q:$Q,"Paid"))</f>
        <v/>
      </c>
      <c r="H1872" s="59" t="str">
        <f>IF($A1872="","",
   SUMIFS(Transactions!$P:$P,
          Transactions!$G:$G,$A1872,
          Transactions!$C:$C,"OUT"))</f>
        <v/>
      </c>
      <c r="I1872" s="65" t="str">
        <f t="shared" si="147"/>
        <v/>
      </c>
      <c r="J1872" s="59" t="str">
        <f t="shared" si="150"/>
        <v/>
      </c>
    </row>
    <row r="1873" spans="4:10" ht="22.5" customHeight="1" x14ac:dyDescent="0.25">
      <c r="D1873" s="59" t="str">
        <f t="shared" si="146"/>
        <v/>
      </c>
      <c r="E1873" s="59" t="str">
        <f t="shared" si="148"/>
        <v/>
      </c>
      <c r="F1873" s="59" t="str">
        <f t="shared" si="149"/>
        <v/>
      </c>
      <c r="G1873" s="59" t="str">
        <f>IF($A1873="","",
   SUMIFS(Transactions!$P:$P,
          Transactions!$G:$G,$A1873,
          Transactions!$C:$C,"IN",
          Transactions!$Q:$Q,"Paid"))</f>
        <v/>
      </c>
      <c r="H1873" s="59" t="str">
        <f>IF($A1873="","",
   SUMIFS(Transactions!$P:$P,
          Transactions!$G:$G,$A1873,
          Transactions!$C:$C,"OUT"))</f>
        <v/>
      </c>
      <c r="I1873" s="65" t="str">
        <f t="shared" si="147"/>
        <v/>
      </c>
      <c r="J1873" s="59" t="str">
        <f t="shared" si="150"/>
        <v/>
      </c>
    </row>
    <row r="1874" spans="4:10" ht="22.5" customHeight="1" x14ac:dyDescent="0.25">
      <c r="D1874" s="59" t="str">
        <f t="shared" si="146"/>
        <v/>
      </c>
      <c r="E1874" s="59" t="str">
        <f t="shared" si="148"/>
        <v/>
      </c>
      <c r="F1874" s="59" t="str">
        <f t="shared" si="149"/>
        <v/>
      </c>
      <c r="G1874" s="59" t="str">
        <f>IF($A1874="","",
   SUMIFS(Transactions!$P:$P,
          Transactions!$G:$G,$A1874,
          Transactions!$C:$C,"IN",
          Transactions!$Q:$Q,"Paid"))</f>
        <v/>
      </c>
      <c r="H1874" s="59" t="str">
        <f>IF($A1874="","",
   SUMIFS(Transactions!$P:$P,
          Transactions!$G:$G,$A1874,
          Transactions!$C:$C,"OUT"))</f>
        <v/>
      </c>
      <c r="I1874" s="65" t="str">
        <f t="shared" si="147"/>
        <v/>
      </c>
      <c r="J1874" s="59" t="str">
        <f t="shared" si="150"/>
        <v/>
      </c>
    </row>
    <row r="1875" spans="4:10" ht="22.5" customHeight="1" x14ac:dyDescent="0.25">
      <c r="D1875" s="59" t="str">
        <f t="shared" si="146"/>
        <v/>
      </c>
      <c r="E1875" s="59" t="str">
        <f t="shared" si="148"/>
        <v/>
      </c>
      <c r="F1875" s="59" t="str">
        <f t="shared" si="149"/>
        <v/>
      </c>
      <c r="G1875" s="59" t="str">
        <f>IF($A1875="","",
   SUMIFS(Transactions!$P:$P,
          Transactions!$G:$G,$A1875,
          Transactions!$C:$C,"IN",
          Transactions!$Q:$Q,"Paid"))</f>
        <v/>
      </c>
      <c r="H1875" s="59" t="str">
        <f>IF($A1875="","",
   SUMIFS(Transactions!$P:$P,
          Transactions!$G:$G,$A1875,
          Transactions!$C:$C,"OUT"))</f>
        <v/>
      </c>
      <c r="I1875" s="65" t="str">
        <f t="shared" si="147"/>
        <v/>
      </c>
      <c r="J1875" s="59" t="str">
        <f t="shared" si="150"/>
        <v/>
      </c>
    </row>
    <row r="1876" spans="4:10" ht="22.5" customHeight="1" x14ac:dyDescent="0.25">
      <c r="D1876" s="59" t="str">
        <f t="shared" si="146"/>
        <v/>
      </c>
      <c r="E1876" s="59" t="str">
        <f t="shared" si="148"/>
        <v/>
      </c>
      <c r="F1876" s="59" t="str">
        <f t="shared" si="149"/>
        <v/>
      </c>
      <c r="G1876" s="59" t="str">
        <f>IF($A1876="","",
   SUMIFS(Transactions!$P:$P,
          Transactions!$G:$G,$A1876,
          Transactions!$C:$C,"IN",
          Transactions!$Q:$Q,"Paid"))</f>
        <v/>
      </c>
      <c r="H1876" s="59" t="str">
        <f>IF($A1876="","",
   SUMIFS(Transactions!$P:$P,
          Transactions!$G:$G,$A1876,
          Transactions!$C:$C,"OUT"))</f>
        <v/>
      </c>
      <c r="I1876" s="65" t="str">
        <f t="shared" si="147"/>
        <v/>
      </c>
      <c r="J1876" s="59" t="str">
        <f t="shared" si="150"/>
        <v/>
      </c>
    </row>
    <row r="1877" spans="4:10" ht="22.5" customHeight="1" x14ac:dyDescent="0.25">
      <c r="D1877" s="59" t="str">
        <f t="shared" si="146"/>
        <v/>
      </c>
      <c r="E1877" s="59" t="str">
        <f t="shared" si="148"/>
        <v/>
      </c>
      <c r="F1877" s="59" t="str">
        <f t="shared" si="149"/>
        <v/>
      </c>
      <c r="G1877" s="59" t="str">
        <f>IF($A1877="","",
   SUMIFS(Transactions!$P:$P,
          Transactions!$G:$G,$A1877,
          Transactions!$C:$C,"IN",
          Transactions!$Q:$Q,"Paid"))</f>
        <v/>
      </c>
      <c r="H1877" s="59" t="str">
        <f>IF($A1877="","",
   SUMIFS(Transactions!$P:$P,
          Transactions!$G:$G,$A1877,
          Transactions!$C:$C,"OUT"))</f>
        <v/>
      </c>
      <c r="I1877" s="65" t="str">
        <f t="shared" si="147"/>
        <v/>
      </c>
      <c r="J1877" s="59" t="str">
        <f t="shared" si="150"/>
        <v/>
      </c>
    </row>
    <row r="1878" spans="4:10" ht="22.5" customHeight="1" x14ac:dyDescent="0.25">
      <c r="D1878" s="59" t="str">
        <f t="shared" si="146"/>
        <v/>
      </c>
      <c r="E1878" s="59" t="str">
        <f t="shared" si="148"/>
        <v/>
      </c>
      <c r="F1878" s="59" t="str">
        <f t="shared" si="149"/>
        <v/>
      </c>
      <c r="G1878" s="59" t="str">
        <f>IF($A1878="","",
   SUMIFS(Transactions!$P:$P,
          Transactions!$G:$G,$A1878,
          Transactions!$C:$C,"IN",
          Transactions!$Q:$Q,"Paid"))</f>
        <v/>
      </c>
      <c r="H1878" s="59" t="str">
        <f>IF($A1878="","",
   SUMIFS(Transactions!$P:$P,
          Transactions!$G:$G,$A1878,
          Transactions!$C:$C,"OUT"))</f>
        <v/>
      </c>
      <c r="I1878" s="65" t="str">
        <f t="shared" si="147"/>
        <v/>
      </c>
      <c r="J1878" s="59" t="str">
        <f t="shared" si="150"/>
        <v/>
      </c>
    </row>
    <row r="1879" spans="4:10" ht="22.5" customHeight="1" x14ac:dyDescent="0.25">
      <c r="D1879" s="59" t="str">
        <f t="shared" si="146"/>
        <v/>
      </c>
      <c r="E1879" s="59" t="str">
        <f t="shared" si="148"/>
        <v/>
      </c>
      <c r="F1879" s="59" t="str">
        <f t="shared" si="149"/>
        <v/>
      </c>
      <c r="G1879" s="59" t="str">
        <f>IF($A1879="","",
   SUMIFS(Transactions!$P:$P,
          Transactions!$G:$G,$A1879,
          Transactions!$C:$C,"IN",
          Transactions!$Q:$Q,"Paid"))</f>
        <v/>
      </c>
      <c r="H1879" s="59" t="str">
        <f>IF($A1879="","",
   SUMIFS(Transactions!$P:$P,
          Transactions!$G:$G,$A1879,
          Transactions!$C:$C,"OUT"))</f>
        <v/>
      </c>
      <c r="I1879" s="65" t="str">
        <f t="shared" si="147"/>
        <v/>
      </c>
      <c r="J1879" s="59" t="str">
        <f t="shared" si="150"/>
        <v/>
      </c>
    </row>
    <row r="1880" spans="4:10" ht="22.5" customHeight="1" x14ac:dyDescent="0.25">
      <c r="D1880" s="59" t="str">
        <f t="shared" si="146"/>
        <v/>
      </c>
      <c r="E1880" s="59" t="str">
        <f t="shared" si="148"/>
        <v/>
      </c>
      <c r="F1880" s="59" t="str">
        <f t="shared" si="149"/>
        <v/>
      </c>
      <c r="G1880" s="59" t="str">
        <f>IF($A1880="","",
   SUMIFS(Transactions!$P:$P,
          Transactions!$G:$G,$A1880,
          Transactions!$C:$C,"IN",
          Transactions!$Q:$Q,"Paid"))</f>
        <v/>
      </c>
      <c r="H1880" s="59" t="str">
        <f>IF($A1880="","",
   SUMIFS(Transactions!$P:$P,
          Transactions!$G:$G,$A1880,
          Transactions!$C:$C,"OUT"))</f>
        <v/>
      </c>
      <c r="I1880" s="65" t="str">
        <f t="shared" si="147"/>
        <v/>
      </c>
      <c r="J1880" s="59" t="str">
        <f t="shared" si="150"/>
        <v/>
      </c>
    </row>
    <row r="1881" spans="4:10" ht="22.5" customHeight="1" x14ac:dyDescent="0.25">
      <c r="D1881" s="59" t="str">
        <f t="shared" si="146"/>
        <v/>
      </c>
      <c r="E1881" s="59" t="str">
        <f t="shared" si="148"/>
        <v/>
      </c>
      <c r="F1881" s="59" t="str">
        <f t="shared" si="149"/>
        <v/>
      </c>
      <c r="G1881" s="59" t="str">
        <f>IF($A1881="","",
   SUMIFS(Transactions!$P:$P,
          Transactions!$G:$G,$A1881,
          Transactions!$C:$C,"IN",
          Transactions!$Q:$Q,"Paid"))</f>
        <v/>
      </c>
      <c r="H1881" s="59" t="str">
        <f>IF($A1881="","",
   SUMIFS(Transactions!$P:$P,
          Transactions!$G:$G,$A1881,
          Transactions!$C:$C,"OUT"))</f>
        <v/>
      </c>
      <c r="I1881" s="65" t="str">
        <f t="shared" si="147"/>
        <v/>
      </c>
      <c r="J1881" s="59" t="str">
        <f t="shared" si="150"/>
        <v/>
      </c>
    </row>
    <row r="1882" spans="4:10" ht="22.5" customHeight="1" x14ac:dyDescent="0.25">
      <c r="D1882" s="59" t="str">
        <f t="shared" si="146"/>
        <v/>
      </c>
      <c r="E1882" s="59" t="str">
        <f t="shared" si="148"/>
        <v/>
      </c>
      <c r="F1882" s="59" t="str">
        <f t="shared" si="149"/>
        <v/>
      </c>
      <c r="G1882" s="59" t="str">
        <f>IF($A1882="","",
   SUMIFS(Transactions!$P:$P,
          Transactions!$G:$G,$A1882,
          Transactions!$C:$C,"IN",
          Transactions!$Q:$Q,"Paid"))</f>
        <v/>
      </c>
      <c r="H1882" s="59" t="str">
        <f>IF($A1882="","",
   SUMIFS(Transactions!$P:$P,
          Transactions!$G:$G,$A1882,
          Transactions!$C:$C,"OUT"))</f>
        <v/>
      </c>
      <c r="I1882" s="65" t="str">
        <f t="shared" si="147"/>
        <v/>
      </c>
      <c r="J1882" s="59" t="str">
        <f t="shared" si="150"/>
        <v/>
      </c>
    </row>
    <row r="1883" spans="4:10" ht="22.5" customHeight="1" x14ac:dyDescent="0.25">
      <c r="D1883" s="59" t="str">
        <f t="shared" si="146"/>
        <v/>
      </c>
      <c r="E1883" s="59" t="str">
        <f t="shared" si="148"/>
        <v/>
      </c>
      <c r="F1883" s="59" t="str">
        <f t="shared" si="149"/>
        <v/>
      </c>
      <c r="G1883" s="59" t="str">
        <f>IF($A1883="","",
   SUMIFS(Transactions!$P:$P,
          Transactions!$G:$G,$A1883,
          Transactions!$C:$C,"IN",
          Transactions!$Q:$Q,"Paid"))</f>
        <v/>
      </c>
      <c r="H1883" s="59" t="str">
        <f>IF($A1883="","",
   SUMIFS(Transactions!$P:$P,
          Transactions!$G:$G,$A1883,
          Transactions!$C:$C,"OUT"))</f>
        <v/>
      </c>
      <c r="I1883" s="65" t="str">
        <f t="shared" si="147"/>
        <v/>
      </c>
      <c r="J1883" s="59" t="str">
        <f t="shared" si="150"/>
        <v/>
      </c>
    </row>
    <row r="1884" spans="4:10" ht="22.5" customHeight="1" x14ac:dyDescent="0.25">
      <c r="D1884" s="59" t="str">
        <f t="shared" si="146"/>
        <v/>
      </c>
      <c r="E1884" s="59" t="str">
        <f t="shared" si="148"/>
        <v/>
      </c>
      <c r="F1884" s="59" t="str">
        <f t="shared" si="149"/>
        <v/>
      </c>
      <c r="G1884" s="59" t="str">
        <f>IF($A1884="","",
   SUMIFS(Transactions!$P:$P,
          Transactions!$G:$G,$A1884,
          Transactions!$C:$C,"IN",
          Transactions!$Q:$Q,"Paid"))</f>
        <v/>
      </c>
      <c r="H1884" s="59" t="str">
        <f>IF($A1884="","",
   SUMIFS(Transactions!$P:$P,
          Transactions!$G:$G,$A1884,
          Transactions!$C:$C,"OUT"))</f>
        <v/>
      </c>
      <c r="I1884" s="65" t="str">
        <f t="shared" si="147"/>
        <v/>
      </c>
      <c r="J1884" s="59" t="str">
        <f t="shared" si="150"/>
        <v/>
      </c>
    </row>
    <row r="1885" spans="4:10" ht="22.5" customHeight="1" x14ac:dyDescent="0.25">
      <c r="D1885" s="59" t="str">
        <f t="shared" si="146"/>
        <v/>
      </c>
      <c r="E1885" s="59" t="str">
        <f t="shared" si="148"/>
        <v/>
      </c>
      <c r="F1885" s="59" t="str">
        <f t="shared" si="149"/>
        <v/>
      </c>
      <c r="G1885" s="59" t="str">
        <f>IF($A1885="","",
   SUMIFS(Transactions!$P:$P,
          Transactions!$G:$G,$A1885,
          Transactions!$C:$C,"IN",
          Transactions!$Q:$Q,"Paid"))</f>
        <v/>
      </c>
      <c r="H1885" s="59" t="str">
        <f>IF($A1885="","",
   SUMIFS(Transactions!$P:$P,
          Transactions!$G:$G,$A1885,
          Transactions!$C:$C,"OUT"))</f>
        <v/>
      </c>
      <c r="I1885" s="65" t="str">
        <f t="shared" si="147"/>
        <v/>
      </c>
      <c r="J1885" s="59" t="str">
        <f t="shared" si="150"/>
        <v/>
      </c>
    </row>
    <row r="1886" spans="4:10" ht="22.5" customHeight="1" x14ac:dyDescent="0.25">
      <c r="D1886" s="59" t="str">
        <f t="shared" si="146"/>
        <v/>
      </c>
      <c r="E1886" s="59" t="str">
        <f t="shared" si="148"/>
        <v/>
      </c>
      <c r="F1886" s="59" t="str">
        <f t="shared" si="149"/>
        <v/>
      </c>
      <c r="G1886" s="59" t="str">
        <f>IF($A1886="","",
   SUMIFS(Transactions!$P:$P,
          Transactions!$G:$G,$A1886,
          Transactions!$C:$C,"IN",
          Transactions!$Q:$Q,"Paid"))</f>
        <v/>
      </c>
      <c r="H1886" s="59" t="str">
        <f>IF($A1886="","",
   SUMIFS(Transactions!$P:$P,
          Transactions!$G:$G,$A1886,
          Transactions!$C:$C,"OUT"))</f>
        <v/>
      </c>
      <c r="I1886" s="65" t="str">
        <f t="shared" si="147"/>
        <v/>
      </c>
      <c r="J1886" s="59" t="str">
        <f t="shared" si="150"/>
        <v/>
      </c>
    </row>
    <row r="1887" spans="4:10" ht="22.5" customHeight="1" x14ac:dyDescent="0.25">
      <c r="D1887" s="59" t="str">
        <f t="shared" si="146"/>
        <v/>
      </c>
      <c r="E1887" s="59" t="str">
        <f t="shared" si="148"/>
        <v/>
      </c>
      <c r="F1887" s="59" t="str">
        <f t="shared" si="149"/>
        <v/>
      </c>
      <c r="G1887" s="59" t="str">
        <f>IF($A1887="","",
   SUMIFS(Transactions!$P:$P,
          Transactions!$G:$G,$A1887,
          Transactions!$C:$C,"IN",
          Transactions!$Q:$Q,"Paid"))</f>
        <v/>
      </c>
      <c r="H1887" s="59" t="str">
        <f>IF($A1887="","",
   SUMIFS(Transactions!$P:$P,
          Transactions!$G:$G,$A1887,
          Transactions!$C:$C,"OUT"))</f>
        <v/>
      </c>
      <c r="I1887" s="65" t="str">
        <f t="shared" si="147"/>
        <v/>
      </c>
      <c r="J1887" s="59" t="str">
        <f t="shared" si="150"/>
        <v/>
      </c>
    </row>
    <row r="1888" spans="4:10" ht="22.5" customHeight="1" x14ac:dyDescent="0.25">
      <c r="D1888" s="59" t="str">
        <f t="shared" si="146"/>
        <v/>
      </c>
      <c r="E1888" s="59" t="str">
        <f t="shared" si="148"/>
        <v/>
      </c>
      <c r="F1888" s="59" t="str">
        <f t="shared" si="149"/>
        <v/>
      </c>
      <c r="G1888" s="59" t="str">
        <f>IF($A1888="","",
   SUMIFS(Transactions!$P:$P,
          Transactions!$G:$G,$A1888,
          Transactions!$C:$C,"IN",
          Transactions!$Q:$Q,"Paid"))</f>
        <v/>
      </c>
      <c r="H1888" s="59" t="str">
        <f>IF($A1888="","",
   SUMIFS(Transactions!$P:$P,
          Transactions!$G:$G,$A1888,
          Transactions!$C:$C,"OUT"))</f>
        <v/>
      </c>
      <c r="I1888" s="65" t="str">
        <f t="shared" si="147"/>
        <v/>
      </c>
      <c r="J1888" s="59" t="str">
        <f t="shared" si="150"/>
        <v/>
      </c>
    </row>
    <row r="1889" spans="4:10" ht="22.5" customHeight="1" x14ac:dyDescent="0.25">
      <c r="D1889" s="59" t="str">
        <f t="shared" si="146"/>
        <v/>
      </c>
      <c r="E1889" s="59" t="str">
        <f t="shared" si="148"/>
        <v/>
      </c>
      <c r="F1889" s="59" t="str">
        <f t="shared" si="149"/>
        <v/>
      </c>
      <c r="G1889" s="59" t="str">
        <f>IF($A1889="","",
   SUMIFS(Transactions!$P:$P,
          Transactions!$G:$G,$A1889,
          Transactions!$C:$C,"IN",
          Transactions!$Q:$Q,"Paid"))</f>
        <v/>
      </c>
      <c r="H1889" s="59" t="str">
        <f>IF($A1889="","",
   SUMIFS(Transactions!$P:$P,
          Transactions!$G:$G,$A1889,
          Transactions!$C:$C,"OUT"))</f>
        <v/>
      </c>
      <c r="I1889" s="65" t="str">
        <f t="shared" si="147"/>
        <v/>
      </c>
      <c r="J1889" s="59" t="str">
        <f t="shared" si="150"/>
        <v/>
      </c>
    </row>
    <row r="1890" spans="4:10" ht="22.5" customHeight="1" x14ac:dyDescent="0.25">
      <c r="D1890" s="59" t="str">
        <f t="shared" si="146"/>
        <v/>
      </c>
      <c r="E1890" s="59" t="str">
        <f t="shared" si="148"/>
        <v/>
      </c>
      <c r="F1890" s="59" t="str">
        <f t="shared" si="149"/>
        <v/>
      </c>
      <c r="G1890" s="59" t="str">
        <f>IF($A1890="","",
   SUMIFS(Transactions!$P:$P,
          Transactions!$G:$G,$A1890,
          Transactions!$C:$C,"IN",
          Transactions!$Q:$Q,"Paid"))</f>
        <v/>
      </c>
      <c r="H1890" s="59" t="str">
        <f>IF($A1890="","",
   SUMIFS(Transactions!$P:$P,
          Transactions!$G:$G,$A1890,
          Transactions!$C:$C,"OUT"))</f>
        <v/>
      </c>
      <c r="I1890" s="65" t="str">
        <f t="shared" si="147"/>
        <v/>
      </c>
      <c r="J1890" s="59" t="str">
        <f t="shared" si="150"/>
        <v/>
      </c>
    </row>
    <row r="1891" spans="4:10" ht="22.5" customHeight="1" x14ac:dyDescent="0.25">
      <c r="D1891" s="59" t="str">
        <f t="shared" si="146"/>
        <v/>
      </c>
      <c r="E1891" s="59" t="str">
        <f t="shared" si="148"/>
        <v/>
      </c>
      <c r="F1891" s="59" t="str">
        <f t="shared" si="149"/>
        <v/>
      </c>
      <c r="G1891" s="59" t="str">
        <f>IF($A1891="","",
   SUMIFS(Transactions!$P:$P,
          Transactions!$G:$G,$A1891,
          Transactions!$C:$C,"IN",
          Transactions!$Q:$Q,"Paid"))</f>
        <v/>
      </c>
      <c r="H1891" s="59" t="str">
        <f>IF($A1891="","",
   SUMIFS(Transactions!$P:$P,
          Transactions!$G:$G,$A1891,
          Transactions!$C:$C,"OUT"))</f>
        <v/>
      </c>
      <c r="I1891" s="65" t="str">
        <f t="shared" si="147"/>
        <v/>
      </c>
      <c r="J1891" s="59" t="str">
        <f t="shared" si="150"/>
        <v/>
      </c>
    </row>
    <row r="1892" spans="4:10" ht="22.5" customHeight="1" x14ac:dyDescent="0.25">
      <c r="D1892" s="59" t="str">
        <f t="shared" si="146"/>
        <v/>
      </c>
      <c r="E1892" s="59" t="str">
        <f t="shared" si="148"/>
        <v/>
      </c>
      <c r="F1892" s="59" t="str">
        <f t="shared" si="149"/>
        <v/>
      </c>
      <c r="G1892" s="59" t="str">
        <f>IF($A1892="","",
   SUMIFS(Transactions!$P:$P,
          Transactions!$G:$G,$A1892,
          Transactions!$C:$C,"IN",
          Transactions!$Q:$Q,"Paid"))</f>
        <v/>
      </c>
      <c r="H1892" s="59" t="str">
        <f>IF($A1892="","",
   SUMIFS(Transactions!$P:$P,
          Transactions!$G:$G,$A1892,
          Transactions!$C:$C,"OUT"))</f>
        <v/>
      </c>
      <c r="I1892" s="65" t="str">
        <f t="shared" si="147"/>
        <v/>
      </c>
      <c r="J1892" s="59" t="str">
        <f t="shared" si="150"/>
        <v/>
      </c>
    </row>
    <row r="1893" spans="4:10" ht="22.5" customHeight="1" x14ac:dyDescent="0.25">
      <c r="D1893" s="59" t="str">
        <f t="shared" si="146"/>
        <v/>
      </c>
      <c r="E1893" s="59" t="str">
        <f t="shared" si="148"/>
        <v/>
      </c>
      <c r="F1893" s="59" t="str">
        <f t="shared" si="149"/>
        <v/>
      </c>
      <c r="G1893" s="59" t="str">
        <f>IF($A1893="","",
   SUMIFS(Transactions!$P:$P,
          Transactions!$G:$G,$A1893,
          Transactions!$C:$C,"IN",
          Transactions!$Q:$Q,"Paid"))</f>
        <v/>
      </c>
      <c r="H1893" s="59" t="str">
        <f>IF($A1893="","",
   SUMIFS(Transactions!$P:$P,
          Transactions!$G:$G,$A1893,
          Transactions!$C:$C,"OUT"))</f>
        <v/>
      </c>
      <c r="I1893" s="65" t="str">
        <f t="shared" si="147"/>
        <v/>
      </c>
      <c r="J1893" s="59" t="str">
        <f t="shared" si="150"/>
        <v/>
      </c>
    </row>
    <row r="1894" spans="4:10" ht="22.5" customHeight="1" x14ac:dyDescent="0.25">
      <c r="D1894" s="59" t="str">
        <f t="shared" si="146"/>
        <v/>
      </c>
      <c r="E1894" s="59" t="str">
        <f t="shared" si="148"/>
        <v/>
      </c>
      <c r="F1894" s="59" t="str">
        <f t="shared" si="149"/>
        <v/>
      </c>
      <c r="G1894" s="59" t="str">
        <f>IF($A1894="","",
   SUMIFS(Transactions!$P:$P,
          Transactions!$G:$G,$A1894,
          Transactions!$C:$C,"IN",
          Transactions!$Q:$Q,"Paid"))</f>
        <v/>
      </c>
      <c r="H1894" s="59" t="str">
        <f>IF($A1894="","",
   SUMIFS(Transactions!$P:$P,
          Transactions!$G:$G,$A1894,
          Transactions!$C:$C,"OUT"))</f>
        <v/>
      </c>
      <c r="I1894" s="65" t="str">
        <f t="shared" si="147"/>
        <v/>
      </c>
      <c r="J1894" s="59" t="str">
        <f t="shared" si="150"/>
        <v/>
      </c>
    </row>
    <row r="1895" spans="4:10" ht="22.5" customHeight="1" x14ac:dyDescent="0.25">
      <c r="D1895" s="59" t="str">
        <f t="shared" si="146"/>
        <v/>
      </c>
      <c r="E1895" s="59" t="str">
        <f t="shared" si="148"/>
        <v/>
      </c>
      <c r="F1895" s="59" t="str">
        <f t="shared" si="149"/>
        <v/>
      </c>
      <c r="G1895" s="59" t="str">
        <f>IF($A1895="","",
   SUMIFS(Transactions!$P:$P,
          Transactions!$G:$G,$A1895,
          Transactions!$C:$C,"IN",
          Transactions!$Q:$Q,"Paid"))</f>
        <v/>
      </c>
      <c r="H1895" s="59" t="str">
        <f>IF($A1895="","",
   SUMIFS(Transactions!$P:$P,
          Transactions!$G:$G,$A1895,
          Transactions!$C:$C,"OUT"))</f>
        <v/>
      </c>
      <c r="I1895" s="65" t="str">
        <f t="shared" si="147"/>
        <v/>
      </c>
      <c r="J1895" s="59" t="str">
        <f t="shared" si="150"/>
        <v/>
      </c>
    </row>
    <row r="1896" spans="4:10" ht="22.5" customHeight="1" x14ac:dyDescent="0.25">
      <c r="D1896" s="59" t="str">
        <f t="shared" si="146"/>
        <v/>
      </c>
      <c r="E1896" s="59" t="str">
        <f t="shared" si="148"/>
        <v/>
      </c>
      <c r="F1896" s="59" t="str">
        <f t="shared" si="149"/>
        <v/>
      </c>
      <c r="G1896" s="59" t="str">
        <f>IF($A1896="","",
   SUMIFS(Transactions!$P:$P,
          Transactions!$G:$G,$A1896,
          Transactions!$C:$C,"IN",
          Transactions!$Q:$Q,"Paid"))</f>
        <v/>
      </c>
      <c r="H1896" s="59" t="str">
        <f>IF($A1896="","",
   SUMIFS(Transactions!$P:$P,
          Transactions!$G:$G,$A1896,
          Transactions!$C:$C,"OUT"))</f>
        <v/>
      </c>
      <c r="I1896" s="65" t="str">
        <f t="shared" si="147"/>
        <v/>
      </c>
      <c r="J1896" s="59" t="str">
        <f t="shared" si="150"/>
        <v/>
      </c>
    </row>
    <row r="1897" spans="4:10" ht="22.5" customHeight="1" x14ac:dyDescent="0.25">
      <c r="D1897" s="59" t="str">
        <f t="shared" si="146"/>
        <v/>
      </c>
      <c r="E1897" s="59" t="str">
        <f t="shared" si="148"/>
        <v/>
      </c>
      <c r="F1897" s="59" t="str">
        <f t="shared" si="149"/>
        <v/>
      </c>
      <c r="G1897" s="59" t="str">
        <f>IF($A1897="","",
   SUMIFS(Transactions!$P:$P,
          Transactions!$G:$G,$A1897,
          Transactions!$C:$C,"IN",
          Transactions!$Q:$Q,"Paid"))</f>
        <v/>
      </c>
      <c r="H1897" s="59" t="str">
        <f>IF($A1897="","",
   SUMIFS(Transactions!$P:$P,
          Transactions!$G:$G,$A1897,
          Transactions!$C:$C,"OUT"))</f>
        <v/>
      </c>
      <c r="I1897" s="65" t="str">
        <f t="shared" si="147"/>
        <v/>
      </c>
      <c r="J1897" s="59" t="str">
        <f t="shared" si="150"/>
        <v/>
      </c>
    </row>
    <row r="1898" spans="4:10" ht="22.5" customHeight="1" x14ac:dyDescent="0.25">
      <c r="D1898" s="59" t="str">
        <f t="shared" si="146"/>
        <v/>
      </c>
      <c r="E1898" s="59" t="str">
        <f t="shared" si="148"/>
        <v/>
      </c>
      <c r="F1898" s="59" t="str">
        <f t="shared" si="149"/>
        <v/>
      </c>
      <c r="G1898" s="59" t="str">
        <f>IF($A1898="","",
   SUMIFS(Transactions!$P:$P,
          Transactions!$G:$G,$A1898,
          Transactions!$C:$C,"IN",
          Transactions!$Q:$Q,"Paid"))</f>
        <v/>
      </c>
      <c r="H1898" s="59" t="str">
        <f>IF($A1898="","",
   SUMIFS(Transactions!$P:$P,
          Transactions!$G:$G,$A1898,
          Transactions!$C:$C,"OUT"))</f>
        <v/>
      </c>
      <c r="I1898" s="65" t="str">
        <f t="shared" si="147"/>
        <v/>
      </c>
      <c r="J1898" s="59" t="str">
        <f t="shared" si="150"/>
        <v/>
      </c>
    </row>
    <row r="1899" spans="4:10" ht="22.5" customHeight="1" x14ac:dyDescent="0.25">
      <c r="D1899" s="59" t="str">
        <f t="shared" si="146"/>
        <v/>
      </c>
      <c r="E1899" s="59" t="str">
        <f t="shared" si="148"/>
        <v/>
      </c>
      <c r="F1899" s="59" t="str">
        <f t="shared" si="149"/>
        <v/>
      </c>
      <c r="G1899" s="59" t="str">
        <f>IF($A1899="","",
   SUMIFS(Transactions!$P:$P,
          Transactions!$G:$G,$A1899,
          Transactions!$C:$C,"IN",
          Transactions!$Q:$Q,"Paid"))</f>
        <v/>
      </c>
      <c r="H1899" s="59" t="str">
        <f>IF($A1899="","",
   SUMIFS(Transactions!$P:$P,
          Transactions!$G:$G,$A1899,
          Transactions!$C:$C,"OUT"))</f>
        <v/>
      </c>
      <c r="I1899" s="65" t="str">
        <f t="shared" si="147"/>
        <v/>
      </c>
      <c r="J1899" s="59" t="str">
        <f t="shared" si="150"/>
        <v/>
      </c>
    </row>
    <row r="1900" spans="4:10" ht="22.5" customHeight="1" x14ac:dyDescent="0.25">
      <c r="D1900" s="59" t="str">
        <f t="shared" si="146"/>
        <v/>
      </c>
      <c r="E1900" s="59" t="str">
        <f t="shared" si="148"/>
        <v/>
      </c>
      <c r="F1900" s="59" t="str">
        <f t="shared" si="149"/>
        <v/>
      </c>
      <c r="G1900" s="59" t="str">
        <f>IF($A1900="","",
   SUMIFS(Transactions!$P:$P,
          Transactions!$G:$G,$A1900,
          Transactions!$C:$C,"IN",
          Transactions!$Q:$Q,"Paid"))</f>
        <v/>
      </c>
      <c r="H1900" s="59" t="str">
        <f>IF($A1900="","",
   SUMIFS(Transactions!$P:$P,
          Transactions!$G:$G,$A1900,
          Transactions!$C:$C,"OUT"))</f>
        <v/>
      </c>
      <c r="I1900" s="65" t="str">
        <f t="shared" si="147"/>
        <v/>
      </c>
      <c r="J1900" s="59" t="str">
        <f t="shared" si="150"/>
        <v/>
      </c>
    </row>
    <row r="1901" spans="4:10" ht="22.5" customHeight="1" x14ac:dyDescent="0.25">
      <c r="D1901" s="59" t="str">
        <f t="shared" si="146"/>
        <v/>
      </c>
      <c r="E1901" s="59" t="str">
        <f t="shared" si="148"/>
        <v/>
      </c>
      <c r="F1901" s="59" t="str">
        <f t="shared" si="149"/>
        <v/>
      </c>
      <c r="G1901" s="59" t="str">
        <f>IF($A1901="","",
   SUMIFS(Transactions!$P:$P,
          Transactions!$G:$G,$A1901,
          Transactions!$C:$C,"IN",
          Transactions!$Q:$Q,"Paid"))</f>
        <v/>
      </c>
      <c r="H1901" s="59" t="str">
        <f>IF($A1901="","",
   SUMIFS(Transactions!$P:$P,
          Transactions!$G:$G,$A1901,
          Transactions!$C:$C,"OUT"))</f>
        <v/>
      </c>
      <c r="I1901" s="65" t="str">
        <f t="shared" si="147"/>
        <v/>
      </c>
      <c r="J1901" s="59" t="str">
        <f t="shared" si="150"/>
        <v/>
      </c>
    </row>
    <row r="1902" spans="4:10" ht="22.5" customHeight="1" x14ac:dyDescent="0.25">
      <c r="D1902" s="59" t="str">
        <f t="shared" si="146"/>
        <v/>
      </c>
      <c r="E1902" s="59" t="str">
        <f t="shared" si="148"/>
        <v/>
      </c>
      <c r="F1902" s="59" t="str">
        <f t="shared" si="149"/>
        <v/>
      </c>
      <c r="G1902" s="59" t="str">
        <f>IF($A1902="","",
   SUMIFS(Transactions!$P:$P,
          Transactions!$G:$G,$A1902,
          Transactions!$C:$C,"IN",
          Transactions!$Q:$Q,"Paid"))</f>
        <v/>
      </c>
      <c r="H1902" s="59" t="str">
        <f>IF($A1902="","",
   SUMIFS(Transactions!$P:$P,
          Transactions!$G:$G,$A1902,
          Transactions!$C:$C,"OUT"))</f>
        <v/>
      </c>
      <c r="I1902" s="65" t="str">
        <f t="shared" si="147"/>
        <v/>
      </c>
      <c r="J1902" s="59" t="str">
        <f t="shared" si="150"/>
        <v/>
      </c>
    </row>
    <row r="1903" spans="4:10" ht="22.5" customHeight="1" x14ac:dyDescent="0.25">
      <c r="D1903" s="59" t="str">
        <f t="shared" si="146"/>
        <v/>
      </c>
      <c r="E1903" s="59" t="str">
        <f t="shared" si="148"/>
        <v/>
      </c>
      <c r="F1903" s="59" t="str">
        <f t="shared" si="149"/>
        <v/>
      </c>
      <c r="G1903" s="59" t="str">
        <f>IF($A1903="","",
   SUMIFS(Transactions!$P:$P,
          Transactions!$G:$G,$A1903,
          Transactions!$C:$C,"IN",
          Transactions!$Q:$Q,"Paid"))</f>
        <v/>
      </c>
      <c r="H1903" s="59" t="str">
        <f>IF($A1903="","",
   SUMIFS(Transactions!$P:$P,
          Transactions!$G:$G,$A1903,
          Transactions!$C:$C,"OUT"))</f>
        <v/>
      </c>
      <c r="I1903" s="65" t="str">
        <f t="shared" si="147"/>
        <v/>
      </c>
      <c r="J1903" s="59" t="str">
        <f t="shared" si="150"/>
        <v/>
      </c>
    </row>
    <row r="1904" spans="4:10" ht="22.5" customHeight="1" x14ac:dyDescent="0.25">
      <c r="D1904" s="59" t="str">
        <f t="shared" si="146"/>
        <v/>
      </c>
      <c r="E1904" s="59" t="str">
        <f t="shared" si="148"/>
        <v/>
      </c>
      <c r="F1904" s="59" t="str">
        <f t="shared" si="149"/>
        <v/>
      </c>
      <c r="G1904" s="59" t="str">
        <f>IF($A1904="","",
   SUMIFS(Transactions!$P:$P,
          Transactions!$G:$G,$A1904,
          Transactions!$C:$C,"IN",
          Transactions!$Q:$Q,"Paid"))</f>
        <v/>
      </c>
      <c r="H1904" s="59" t="str">
        <f>IF($A1904="","",
   SUMIFS(Transactions!$P:$P,
          Transactions!$G:$G,$A1904,
          Transactions!$C:$C,"OUT"))</f>
        <v/>
      </c>
      <c r="I1904" s="65" t="str">
        <f t="shared" si="147"/>
        <v/>
      </c>
      <c r="J1904" s="59" t="str">
        <f t="shared" si="150"/>
        <v/>
      </c>
    </row>
    <row r="1905" spans="4:10" ht="22.5" customHeight="1" x14ac:dyDescent="0.25">
      <c r="D1905" s="59" t="str">
        <f t="shared" si="146"/>
        <v/>
      </c>
      <c r="E1905" s="59" t="str">
        <f t="shared" si="148"/>
        <v/>
      </c>
      <c r="F1905" s="59" t="str">
        <f t="shared" si="149"/>
        <v/>
      </c>
      <c r="G1905" s="59" t="str">
        <f>IF($A1905="","",
   SUMIFS(Transactions!$P:$P,
          Transactions!$G:$G,$A1905,
          Transactions!$C:$C,"IN",
          Transactions!$Q:$Q,"Paid"))</f>
        <v/>
      </c>
      <c r="H1905" s="59" t="str">
        <f>IF($A1905="","",
   SUMIFS(Transactions!$P:$P,
          Transactions!$G:$G,$A1905,
          Transactions!$C:$C,"OUT"))</f>
        <v/>
      </c>
      <c r="I1905" s="65" t="str">
        <f t="shared" si="147"/>
        <v/>
      </c>
      <c r="J1905" s="59" t="str">
        <f t="shared" si="150"/>
        <v/>
      </c>
    </row>
    <row r="1906" spans="4:10" ht="22.5" customHeight="1" x14ac:dyDescent="0.25">
      <c r="D1906" s="59" t="str">
        <f t="shared" si="146"/>
        <v/>
      </c>
      <c r="E1906" s="59" t="str">
        <f t="shared" si="148"/>
        <v/>
      </c>
      <c r="F1906" s="59" t="str">
        <f t="shared" si="149"/>
        <v/>
      </c>
      <c r="G1906" s="59" t="str">
        <f>IF($A1906="","",
   SUMIFS(Transactions!$P:$P,
          Transactions!$G:$G,$A1906,
          Transactions!$C:$C,"IN",
          Transactions!$Q:$Q,"Paid"))</f>
        <v/>
      </c>
      <c r="H1906" s="59" t="str">
        <f>IF($A1906="","",
   SUMIFS(Transactions!$P:$P,
          Transactions!$G:$G,$A1906,
          Transactions!$C:$C,"OUT"))</f>
        <v/>
      </c>
      <c r="I1906" s="65" t="str">
        <f t="shared" si="147"/>
        <v/>
      </c>
      <c r="J1906" s="59" t="str">
        <f t="shared" si="150"/>
        <v/>
      </c>
    </row>
    <row r="1907" spans="4:10" ht="22.5" customHeight="1" x14ac:dyDescent="0.25">
      <c r="D1907" s="59" t="str">
        <f t="shared" si="146"/>
        <v/>
      </c>
      <c r="E1907" s="59" t="str">
        <f t="shared" si="148"/>
        <v/>
      </c>
      <c r="F1907" s="59" t="str">
        <f t="shared" si="149"/>
        <v/>
      </c>
      <c r="G1907" s="59" t="str">
        <f>IF($A1907="","",
   SUMIFS(Transactions!$P:$P,
          Transactions!$G:$G,$A1907,
          Transactions!$C:$C,"IN",
          Transactions!$Q:$Q,"Paid"))</f>
        <v/>
      </c>
      <c r="H1907" s="59" t="str">
        <f>IF($A1907="","",
   SUMIFS(Transactions!$P:$P,
          Transactions!$G:$G,$A1907,
          Transactions!$C:$C,"OUT"))</f>
        <v/>
      </c>
      <c r="I1907" s="65" t="str">
        <f t="shared" si="147"/>
        <v/>
      </c>
      <c r="J1907" s="59" t="str">
        <f t="shared" si="150"/>
        <v/>
      </c>
    </row>
    <row r="1908" spans="4:10" ht="22.5" customHeight="1" x14ac:dyDescent="0.25">
      <c r="D1908" s="59" t="str">
        <f t="shared" si="146"/>
        <v/>
      </c>
      <c r="E1908" s="59" t="str">
        <f t="shared" si="148"/>
        <v/>
      </c>
      <c r="F1908" s="59" t="str">
        <f t="shared" si="149"/>
        <v/>
      </c>
      <c r="G1908" s="59" t="str">
        <f>IF($A1908="","",
   SUMIFS(Transactions!$P:$P,
          Transactions!$G:$G,$A1908,
          Transactions!$C:$C,"IN",
          Transactions!$Q:$Q,"Paid"))</f>
        <v/>
      </c>
      <c r="H1908" s="59" t="str">
        <f>IF($A1908="","",
   SUMIFS(Transactions!$P:$P,
          Transactions!$G:$G,$A1908,
          Transactions!$C:$C,"OUT"))</f>
        <v/>
      </c>
      <c r="I1908" s="65" t="str">
        <f t="shared" si="147"/>
        <v/>
      </c>
      <c r="J1908" s="59" t="str">
        <f t="shared" si="150"/>
        <v/>
      </c>
    </row>
    <row r="1909" spans="4:10" ht="22.5" customHeight="1" x14ac:dyDescent="0.25">
      <c r="D1909" s="59" t="str">
        <f t="shared" si="146"/>
        <v/>
      </c>
      <c r="E1909" s="59" t="str">
        <f t="shared" si="148"/>
        <v/>
      </c>
      <c r="F1909" s="59" t="str">
        <f t="shared" si="149"/>
        <v/>
      </c>
      <c r="G1909" s="59" t="str">
        <f>IF($A1909="","",
   SUMIFS(Transactions!$P:$P,
          Transactions!$G:$G,$A1909,
          Transactions!$C:$C,"IN",
          Transactions!$Q:$Q,"Paid"))</f>
        <v/>
      </c>
      <c r="H1909" s="59" t="str">
        <f>IF($A1909="","",
   SUMIFS(Transactions!$P:$P,
          Transactions!$G:$G,$A1909,
          Transactions!$C:$C,"OUT"))</f>
        <v/>
      </c>
      <c r="I1909" s="65" t="str">
        <f t="shared" si="147"/>
        <v/>
      </c>
      <c r="J1909" s="59" t="str">
        <f t="shared" si="150"/>
        <v/>
      </c>
    </row>
    <row r="1910" spans="4:10" ht="22.5" customHeight="1" x14ac:dyDescent="0.25">
      <c r="D1910" s="59" t="str">
        <f t="shared" si="146"/>
        <v/>
      </c>
      <c r="E1910" s="59" t="str">
        <f t="shared" si="148"/>
        <v/>
      </c>
      <c r="F1910" s="59" t="str">
        <f t="shared" si="149"/>
        <v/>
      </c>
      <c r="G1910" s="59" t="str">
        <f>IF($A1910="","",
   SUMIFS(Transactions!$P:$P,
          Transactions!$G:$G,$A1910,
          Transactions!$C:$C,"IN",
          Transactions!$Q:$Q,"Paid"))</f>
        <v/>
      </c>
      <c r="H1910" s="59" t="str">
        <f>IF($A1910="","",
   SUMIFS(Transactions!$P:$P,
          Transactions!$G:$G,$A1910,
          Transactions!$C:$C,"OUT"))</f>
        <v/>
      </c>
      <c r="I1910" s="65" t="str">
        <f t="shared" si="147"/>
        <v/>
      </c>
      <c r="J1910" s="59" t="str">
        <f t="shared" si="150"/>
        <v/>
      </c>
    </row>
    <row r="1911" spans="4:10" ht="22.5" customHeight="1" x14ac:dyDescent="0.25">
      <c r="D1911" s="59" t="str">
        <f t="shared" si="146"/>
        <v/>
      </c>
      <c r="E1911" s="59" t="str">
        <f t="shared" si="148"/>
        <v/>
      </c>
      <c r="F1911" s="59" t="str">
        <f t="shared" si="149"/>
        <v/>
      </c>
      <c r="G1911" s="59" t="str">
        <f>IF($A1911="","",
   SUMIFS(Transactions!$P:$P,
          Transactions!$G:$G,$A1911,
          Transactions!$C:$C,"IN",
          Transactions!$Q:$Q,"Paid"))</f>
        <v/>
      </c>
      <c r="H1911" s="59" t="str">
        <f>IF($A1911="","",
   SUMIFS(Transactions!$P:$P,
          Transactions!$G:$G,$A1911,
          Transactions!$C:$C,"OUT"))</f>
        <v/>
      </c>
      <c r="I1911" s="65" t="str">
        <f t="shared" si="147"/>
        <v/>
      </c>
      <c r="J1911" s="59" t="str">
        <f t="shared" si="150"/>
        <v/>
      </c>
    </row>
    <row r="1912" spans="4:10" ht="22.5" customHeight="1" x14ac:dyDescent="0.25">
      <c r="D1912" s="59" t="str">
        <f t="shared" si="146"/>
        <v/>
      </c>
      <c r="E1912" s="59" t="str">
        <f t="shared" si="148"/>
        <v/>
      </c>
      <c r="F1912" s="59" t="str">
        <f t="shared" si="149"/>
        <v/>
      </c>
      <c r="G1912" s="59" t="str">
        <f>IF($A1912="","",
   SUMIFS(Transactions!$P:$P,
          Transactions!$G:$G,$A1912,
          Transactions!$C:$C,"IN",
          Transactions!$Q:$Q,"Paid"))</f>
        <v/>
      </c>
      <c r="H1912" s="59" t="str">
        <f>IF($A1912="","",
   SUMIFS(Transactions!$P:$P,
          Transactions!$G:$G,$A1912,
          Transactions!$C:$C,"OUT"))</f>
        <v/>
      </c>
      <c r="I1912" s="65" t="str">
        <f t="shared" si="147"/>
        <v/>
      </c>
      <c r="J1912" s="59" t="str">
        <f t="shared" si="150"/>
        <v/>
      </c>
    </row>
    <row r="1913" spans="4:10" ht="22.5" customHeight="1" x14ac:dyDescent="0.25">
      <c r="D1913" s="59" t="str">
        <f t="shared" si="146"/>
        <v/>
      </c>
      <c r="E1913" s="59" t="str">
        <f t="shared" si="148"/>
        <v/>
      </c>
      <c r="F1913" s="59" t="str">
        <f t="shared" si="149"/>
        <v/>
      </c>
      <c r="G1913" s="59" t="str">
        <f>IF($A1913="","",
   SUMIFS(Transactions!$P:$P,
          Transactions!$G:$G,$A1913,
          Transactions!$C:$C,"IN",
          Transactions!$Q:$Q,"Paid"))</f>
        <v/>
      </c>
      <c r="H1913" s="59" t="str">
        <f>IF($A1913="","",
   SUMIFS(Transactions!$P:$P,
          Transactions!$G:$G,$A1913,
          Transactions!$C:$C,"OUT"))</f>
        <v/>
      </c>
      <c r="I1913" s="65" t="str">
        <f t="shared" si="147"/>
        <v/>
      </c>
      <c r="J1913" s="59" t="str">
        <f t="shared" si="150"/>
        <v/>
      </c>
    </row>
    <row r="1914" spans="4:10" ht="22.5" customHeight="1" x14ac:dyDescent="0.25">
      <c r="D1914" s="59" t="str">
        <f t="shared" si="146"/>
        <v/>
      </c>
      <c r="E1914" s="59" t="str">
        <f t="shared" si="148"/>
        <v/>
      </c>
      <c r="F1914" s="59" t="str">
        <f t="shared" si="149"/>
        <v/>
      </c>
      <c r="G1914" s="59" t="str">
        <f>IF($A1914="","",
   SUMIFS(Transactions!$P:$P,
          Transactions!$G:$G,$A1914,
          Transactions!$C:$C,"IN",
          Transactions!$Q:$Q,"Paid"))</f>
        <v/>
      </c>
      <c r="H1914" s="59" t="str">
        <f>IF($A1914="","",
   SUMIFS(Transactions!$P:$P,
          Transactions!$G:$G,$A1914,
          Transactions!$C:$C,"OUT"))</f>
        <v/>
      </c>
      <c r="I1914" s="65" t="str">
        <f t="shared" si="147"/>
        <v/>
      </c>
      <c r="J1914" s="59" t="str">
        <f t="shared" si="150"/>
        <v/>
      </c>
    </row>
    <row r="1915" spans="4:10" ht="22.5" customHeight="1" x14ac:dyDescent="0.25">
      <c r="D1915" s="59" t="str">
        <f t="shared" si="146"/>
        <v/>
      </c>
      <c r="E1915" s="59" t="str">
        <f t="shared" si="148"/>
        <v/>
      </c>
      <c r="F1915" s="59" t="str">
        <f t="shared" si="149"/>
        <v/>
      </c>
      <c r="G1915" s="59" t="str">
        <f>IF($A1915="","",
   SUMIFS(Transactions!$P:$P,
          Transactions!$G:$G,$A1915,
          Transactions!$C:$C,"IN",
          Transactions!$Q:$Q,"Paid"))</f>
        <v/>
      </c>
      <c r="H1915" s="59" t="str">
        <f>IF($A1915="","",
   SUMIFS(Transactions!$P:$P,
          Transactions!$G:$G,$A1915,
          Transactions!$C:$C,"OUT"))</f>
        <v/>
      </c>
      <c r="I1915" s="65" t="str">
        <f t="shared" si="147"/>
        <v/>
      </c>
      <c r="J1915" s="59" t="str">
        <f t="shared" si="150"/>
        <v/>
      </c>
    </row>
    <row r="1916" spans="4:10" ht="22.5" customHeight="1" x14ac:dyDescent="0.25">
      <c r="D1916" s="59" t="str">
        <f t="shared" si="146"/>
        <v/>
      </c>
      <c r="E1916" s="59" t="str">
        <f t="shared" si="148"/>
        <v/>
      </c>
      <c r="F1916" s="59" t="str">
        <f t="shared" si="149"/>
        <v/>
      </c>
      <c r="G1916" s="59" t="str">
        <f>IF($A1916="","",
   SUMIFS(Transactions!$P:$P,
          Transactions!$G:$G,$A1916,
          Transactions!$C:$C,"IN",
          Transactions!$Q:$Q,"Paid"))</f>
        <v/>
      </c>
      <c r="H1916" s="59" t="str">
        <f>IF($A1916="","",
   SUMIFS(Transactions!$P:$P,
          Transactions!$G:$G,$A1916,
          Transactions!$C:$C,"OUT"))</f>
        <v/>
      </c>
      <c r="I1916" s="65" t="str">
        <f t="shared" si="147"/>
        <v/>
      </c>
      <c r="J1916" s="59" t="str">
        <f t="shared" si="150"/>
        <v/>
      </c>
    </row>
    <row r="1917" spans="4:10" ht="22.5" customHeight="1" x14ac:dyDescent="0.25">
      <c r="D1917" s="59" t="str">
        <f t="shared" si="146"/>
        <v/>
      </c>
      <c r="E1917" s="59" t="str">
        <f t="shared" si="148"/>
        <v/>
      </c>
      <c r="F1917" s="59" t="str">
        <f t="shared" si="149"/>
        <v/>
      </c>
      <c r="G1917" s="59" t="str">
        <f>IF($A1917="","",
   SUMIFS(Transactions!$P:$P,
          Transactions!$G:$G,$A1917,
          Transactions!$C:$C,"IN",
          Transactions!$Q:$Q,"Paid"))</f>
        <v/>
      </c>
      <c r="H1917" s="59" t="str">
        <f>IF($A1917="","",
   SUMIFS(Transactions!$P:$P,
          Transactions!$G:$G,$A1917,
          Transactions!$C:$C,"OUT"))</f>
        <v/>
      </c>
      <c r="I1917" s="65" t="str">
        <f t="shared" si="147"/>
        <v/>
      </c>
      <c r="J1917" s="59" t="str">
        <f t="shared" si="150"/>
        <v/>
      </c>
    </row>
    <row r="1918" spans="4:10" ht="22.5" customHeight="1" x14ac:dyDescent="0.25">
      <c r="D1918" s="59" t="str">
        <f t="shared" si="146"/>
        <v/>
      </c>
      <c r="E1918" s="59" t="str">
        <f t="shared" si="148"/>
        <v/>
      </c>
      <c r="F1918" s="59" t="str">
        <f t="shared" si="149"/>
        <v/>
      </c>
      <c r="G1918" s="59" t="str">
        <f>IF($A1918="","",
   SUMIFS(Transactions!$P:$P,
          Transactions!$G:$G,$A1918,
          Transactions!$C:$C,"IN",
          Transactions!$Q:$Q,"Paid"))</f>
        <v/>
      </c>
      <c r="H1918" s="59" t="str">
        <f>IF($A1918="","",
   SUMIFS(Transactions!$P:$P,
          Transactions!$G:$G,$A1918,
          Transactions!$C:$C,"OUT"))</f>
        <v/>
      </c>
      <c r="I1918" s="65" t="str">
        <f t="shared" si="147"/>
        <v/>
      </c>
      <c r="J1918" s="59" t="str">
        <f t="shared" si="150"/>
        <v/>
      </c>
    </row>
    <row r="1919" spans="4:10" ht="22.5" customHeight="1" x14ac:dyDescent="0.25">
      <c r="D1919" s="59" t="str">
        <f t="shared" si="146"/>
        <v/>
      </c>
      <c r="E1919" s="59" t="str">
        <f t="shared" si="148"/>
        <v/>
      </c>
      <c r="F1919" s="59" t="str">
        <f t="shared" si="149"/>
        <v/>
      </c>
      <c r="G1919" s="59" t="str">
        <f>IF($A1919="","",
   SUMIFS(Transactions!$P:$P,
          Transactions!$G:$G,$A1919,
          Transactions!$C:$C,"IN",
          Transactions!$Q:$Q,"Paid"))</f>
        <v/>
      </c>
      <c r="H1919" s="59" t="str">
        <f>IF($A1919="","",
   SUMIFS(Transactions!$P:$P,
          Transactions!$G:$G,$A1919,
          Transactions!$C:$C,"OUT"))</f>
        <v/>
      </c>
      <c r="I1919" s="65" t="str">
        <f t="shared" si="147"/>
        <v/>
      </c>
      <c r="J1919" s="59" t="str">
        <f t="shared" si="150"/>
        <v/>
      </c>
    </row>
    <row r="1920" spans="4:10" ht="22.5" customHeight="1" x14ac:dyDescent="0.25">
      <c r="D1920" s="59" t="str">
        <f t="shared" si="146"/>
        <v/>
      </c>
      <c r="E1920" s="59" t="str">
        <f t="shared" si="148"/>
        <v/>
      </c>
      <c r="F1920" s="59" t="str">
        <f t="shared" si="149"/>
        <v/>
      </c>
      <c r="G1920" s="59" t="str">
        <f>IF($A1920="","",
   SUMIFS(Transactions!$P:$P,
          Transactions!$G:$G,$A1920,
          Transactions!$C:$C,"IN",
          Transactions!$Q:$Q,"Paid"))</f>
        <v/>
      </c>
      <c r="H1920" s="59" t="str">
        <f>IF($A1920="","",
   SUMIFS(Transactions!$P:$P,
          Transactions!$G:$G,$A1920,
          Transactions!$C:$C,"OUT"))</f>
        <v/>
      </c>
      <c r="I1920" s="65" t="str">
        <f t="shared" si="147"/>
        <v/>
      </c>
      <c r="J1920" s="59" t="str">
        <f t="shared" si="150"/>
        <v/>
      </c>
    </row>
    <row r="1921" spans="4:10" ht="22.5" customHeight="1" x14ac:dyDescent="0.25">
      <c r="D1921" s="59" t="str">
        <f t="shared" si="146"/>
        <v/>
      </c>
      <c r="E1921" s="59" t="str">
        <f t="shared" si="148"/>
        <v/>
      </c>
      <c r="F1921" s="59" t="str">
        <f t="shared" si="149"/>
        <v/>
      </c>
      <c r="G1921" s="59" t="str">
        <f>IF($A1921="","",
   SUMIFS(Transactions!$P:$P,
          Transactions!$G:$G,$A1921,
          Transactions!$C:$C,"IN",
          Transactions!$Q:$Q,"Paid"))</f>
        <v/>
      </c>
      <c r="H1921" s="59" t="str">
        <f>IF($A1921="","",
   SUMIFS(Transactions!$P:$P,
          Transactions!$G:$G,$A1921,
          Transactions!$C:$C,"OUT"))</f>
        <v/>
      </c>
      <c r="I1921" s="65" t="str">
        <f t="shared" si="147"/>
        <v/>
      </c>
      <c r="J1921" s="59" t="str">
        <f t="shared" si="150"/>
        <v/>
      </c>
    </row>
    <row r="1922" spans="4:10" ht="22.5" customHeight="1" x14ac:dyDescent="0.25">
      <c r="D1922" s="59" t="str">
        <f t="shared" si="146"/>
        <v/>
      </c>
      <c r="E1922" s="59" t="str">
        <f t="shared" si="148"/>
        <v/>
      </c>
      <c r="F1922" s="59" t="str">
        <f t="shared" si="149"/>
        <v/>
      </c>
      <c r="G1922" s="59" t="str">
        <f>IF($A1922="","",
   SUMIFS(Transactions!$P:$P,
          Transactions!$G:$G,$A1922,
          Transactions!$C:$C,"IN",
          Transactions!$Q:$Q,"Paid"))</f>
        <v/>
      </c>
      <c r="H1922" s="59" t="str">
        <f>IF($A1922="","",
   SUMIFS(Transactions!$P:$P,
          Transactions!$G:$G,$A1922,
          Transactions!$C:$C,"OUT"))</f>
        <v/>
      </c>
      <c r="I1922" s="65" t="str">
        <f t="shared" si="147"/>
        <v/>
      </c>
      <c r="J1922" s="59" t="str">
        <f t="shared" si="150"/>
        <v/>
      </c>
    </row>
    <row r="1923" spans="4:10" ht="22.5" customHeight="1" x14ac:dyDescent="0.25">
      <c r="D1923" s="59" t="str">
        <f t="shared" ref="D1923:D1986" si="151">IF(C1923="","",ROUND(C1923*0.15,2))</f>
        <v/>
      </c>
      <c r="E1923" s="59" t="str">
        <f t="shared" si="148"/>
        <v/>
      </c>
      <c r="F1923" s="59" t="str">
        <f t="shared" si="149"/>
        <v/>
      </c>
      <c r="G1923" s="59" t="str">
        <f>IF($A1923="","",
   SUMIFS(Transactions!$P:$P,
          Transactions!$G:$G,$A1923,
          Transactions!$C:$C,"IN",
          Transactions!$Q:$Q,"Paid"))</f>
        <v/>
      </c>
      <c r="H1923" s="59" t="str">
        <f>IF($A1923="","",
   SUMIFS(Transactions!$P:$P,
          Transactions!$G:$G,$A1923,
          Transactions!$C:$C,"OUT"))</f>
        <v/>
      </c>
      <c r="I1923" s="65" t="str">
        <f t="shared" ref="I1923:I1986" si="152">IF(C1923="","",C1923-H1923)</f>
        <v/>
      </c>
      <c r="J1923" s="59" t="str">
        <f t="shared" si="150"/>
        <v/>
      </c>
    </row>
    <row r="1924" spans="4:10" ht="22.5" customHeight="1" x14ac:dyDescent="0.25">
      <c r="D1924" s="59" t="str">
        <f t="shared" si="151"/>
        <v/>
      </c>
      <c r="E1924" s="59" t="str">
        <f t="shared" ref="E1924:E1987" si="153">IF(C1924="","",C1924+D1924)</f>
        <v/>
      </c>
      <c r="F1924" s="59" t="str">
        <f t="shared" ref="F1924:F1987" si="154">IF(E1924="","",E1924*0.5)</f>
        <v/>
      </c>
      <c r="G1924" s="59" t="str">
        <f>IF($A1924="","",
   SUMIFS(Transactions!$P:$P,
          Transactions!$G:$G,$A1924,
          Transactions!$C:$C,"IN",
          Transactions!$Q:$Q,"Paid"))</f>
        <v/>
      </c>
      <c r="H1924" s="59" t="str">
        <f>IF($A1924="","",
   SUMIFS(Transactions!$P:$P,
          Transactions!$G:$G,$A1924,
          Transactions!$C:$C,"OUT"))</f>
        <v/>
      </c>
      <c r="I1924" s="65" t="str">
        <f t="shared" si="152"/>
        <v/>
      </c>
      <c r="J1924" s="59" t="str">
        <f t="shared" ref="J1924:J1987" si="155">IF(E1924="","",E1924-G1924)</f>
        <v/>
      </c>
    </row>
    <row r="1925" spans="4:10" ht="22.5" customHeight="1" x14ac:dyDescent="0.25">
      <c r="D1925" s="59" t="str">
        <f t="shared" si="151"/>
        <v/>
      </c>
      <c r="E1925" s="59" t="str">
        <f t="shared" si="153"/>
        <v/>
      </c>
      <c r="F1925" s="59" t="str">
        <f t="shared" si="154"/>
        <v/>
      </c>
      <c r="G1925" s="59" t="str">
        <f>IF($A1925="","",
   SUMIFS(Transactions!$P:$P,
          Transactions!$G:$G,$A1925,
          Transactions!$C:$C,"IN",
          Transactions!$Q:$Q,"Paid"))</f>
        <v/>
      </c>
      <c r="H1925" s="59" t="str">
        <f>IF($A1925="","",
   SUMIFS(Transactions!$P:$P,
          Transactions!$G:$G,$A1925,
          Transactions!$C:$C,"OUT"))</f>
        <v/>
      </c>
      <c r="I1925" s="65" t="str">
        <f t="shared" si="152"/>
        <v/>
      </c>
      <c r="J1925" s="59" t="str">
        <f t="shared" si="155"/>
        <v/>
      </c>
    </row>
    <row r="1926" spans="4:10" ht="22.5" customHeight="1" x14ac:dyDescent="0.25">
      <c r="D1926" s="59" t="str">
        <f t="shared" si="151"/>
        <v/>
      </c>
      <c r="E1926" s="59" t="str">
        <f t="shared" si="153"/>
        <v/>
      </c>
      <c r="F1926" s="59" t="str">
        <f t="shared" si="154"/>
        <v/>
      </c>
      <c r="G1926" s="59" t="str">
        <f>IF($A1926="","",
   SUMIFS(Transactions!$P:$P,
          Transactions!$G:$G,$A1926,
          Transactions!$C:$C,"IN",
          Transactions!$Q:$Q,"Paid"))</f>
        <v/>
      </c>
      <c r="H1926" s="59" t="str">
        <f>IF($A1926="","",
   SUMIFS(Transactions!$P:$P,
          Transactions!$G:$G,$A1926,
          Transactions!$C:$C,"OUT"))</f>
        <v/>
      </c>
      <c r="I1926" s="65" t="str">
        <f t="shared" si="152"/>
        <v/>
      </c>
      <c r="J1926" s="59" t="str">
        <f t="shared" si="155"/>
        <v/>
      </c>
    </row>
    <row r="1927" spans="4:10" ht="22.5" customHeight="1" x14ac:dyDescent="0.25">
      <c r="D1927" s="59" t="str">
        <f t="shared" si="151"/>
        <v/>
      </c>
      <c r="E1927" s="59" t="str">
        <f t="shared" si="153"/>
        <v/>
      </c>
      <c r="F1927" s="59" t="str">
        <f t="shared" si="154"/>
        <v/>
      </c>
      <c r="G1927" s="59" t="str">
        <f>IF($A1927="","",
   SUMIFS(Transactions!$P:$P,
          Transactions!$G:$G,$A1927,
          Transactions!$C:$C,"IN",
          Transactions!$Q:$Q,"Paid"))</f>
        <v/>
      </c>
      <c r="H1927" s="59" t="str">
        <f>IF($A1927="","",
   SUMIFS(Transactions!$P:$P,
          Transactions!$G:$G,$A1927,
          Transactions!$C:$C,"OUT"))</f>
        <v/>
      </c>
      <c r="I1927" s="65" t="str">
        <f t="shared" si="152"/>
        <v/>
      </c>
      <c r="J1927" s="59" t="str">
        <f t="shared" si="155"/>
        <v/>
      </c>
    </row>
    <row r="1928" spans="4:10" ht="22.5" customHeight="1" x14ac:dyDescent="0.25">
      <c r="D1928" s="59" t="str">
        <f t="shared" si="151"/>
        <v/>
      </c>
      <c r="E1928" s="59" t="str">
        <f t="shared" si="153"/>
        <v/>
      </c>
      <c r="F1928" s="59" t="str">
        <f t="shared" si="154"/>
        <v/>
      </c>
      <c r="G1928" s="59" t="str">
        <f>IF($A1928="","",
   SUMIFS(Transactions!$P:$P,
          Transactions!$G:$G,$A1928,
          Transactions!$C:$C,"IN",
          Transactions!$Q:$Q,"Paid"))</f>
        <v/>
      </c>
      <c r="H1928" s="59" t="str">
        <f>IF($A1928="","",
   SUMIFS(Transactions!$P:$P,
          Transactions!$G:$G,$A1928,
          Transactions!$C:$C,"OUT"))</f>
        <v/>
      </c>
      <c r="I1928" s="65" t="str">
        <f t="shared" si="152"/>
        <v/>
      </c>
      <c r="J1928" s="59" t="str">
        <f t="shared" si="155"/>
        <v/>
      </c>
    </row>
    <row r="1929" spans="4:10" ht="22.5" customHeight="1" x14ac:dyDescent="0.25">
      <c r="D1929" s="59" t="str">
        <f t="shared" si="151"/>
        <v/>
      </c>
      <c r="E1929" s="59" t="str">
        <f t="shared" si="153"/>
        <v/>
      </c>
      <c r="F1929" s="59" t="str">
        <f t="shared" si="154"/>
        <v/>
      </c>
      <c r="G1929" s="59" t="str">
        <f>IF($A1929="","",
   SUMIFS(Transactions!$P:$P,
          Transactions!$G:$G,$A1929,
          Transactions!$C:$C,"IN",
          Transactions!$Q:$Q,"Paid"))</f>
        <v/>
      </c>
      <c r="H1929" s="59" t="str">
        <f>IF($A1929="","",
   SUMIFS(Transactions!$P:$P,
          Transactions!$G:$G,$A1929,
          Transactions!$C:$C,"OUT"))</f>
        <v/>
      </c>
      <c r="I1929" s="65" t="str">
        <f t="shared" si="152"/>
        <v/>
      </c>
      <c r="J1929" s="59" t="str">
        <f t="shared" si="155"/>
        <v/>
      </c>
    </row>
    <row r="1930" spans="4:10" ht="22.5" customHeight="1" x14ac:dyDescent="0.25">
      <c r="D1930" s="59" t="str">
        <f t="shared" si="151"/>
        <v/>
      </c>
      <c r="E1930" s="59" t="str">
        <f t="shared" si="153"/>
        <v/>
      </c>
      <c r="F1930" s="59" t="str">
        <f t="shared" si="154"/>
        <v/>
      </c>
      <c r="G1930" s="59" t="str">
        <f>IF($A1930="","",
   SUMIFS(Transactions!$P:$P,
          Transactions!$G:$G,$A1930,
          Transactions!$C:$C,"IN",
          Transactions!$Q:$Q,"Paid"))</f>
        <v/>
      </c>
      <c r="H1930" s="59" t="str">
        <f>IF($A1930="","",
   SUMIFS(Transactions!$P:$P,
          Transactions!$G:$G,$A1930,
          Transactions!$C:$C,"OUT"))</f>
        <v/>
      </c>
      <c r="I1930" s="65" t="str">
        <f t="shared" si="152"/>
        <v/>
      </c>
      <c r="J1930" s="59" t="str">
        <f t="shared" si="155"/>
        <v/>
      </c>
    </row>
    <row r="1931" spans="4:10" ht="22.5" customHeight="1" x14ac:dyDescent="0.25">
      <c r="D1931" s="59" t="str">
        <f t="shared" si="151"/>
        <v/>
      </c>
      <c r="E1931" s="59" t="str">
        <f t="shared" si="153"/>
        <v/>
      </c>
      <c r="F1931" s="59" t="str">
        <f t="shared" si="154"/>
        <v/>
      </c>
      <c r="G1931" s="59" t="str">
        <f>IF($A1931="","",
   SUMIFS(Transactions!$P:$P,
          Transactions!$G:$G,$A1931,
          Transactions!$C:$C,"IN",
          Transactions!$Q:$Q,"Paid"))</f>
        <v/>
      </c>
      <c r="H1931" s="59" t="str">
        <f>IF($A1931="","",
   SUMIFS(Transactions!$P:$P,
          Transactions!$G:$G,$A1931,
          Transactions!$C:$C,"OUT"))</f>
        <v/>
      </c>
      <c r="I1931" s="65" t="str">
        <f t="shared" si="152"/>
        <v/>
      </c>
      <c r="J1931" s="59" t="str">
        <f t="shared" si="155"/>
        <v/>
      </c>
    </row>
    <row r="1932" spans="4:10" ht="22.5" customHeight="1" x14ac:dyDescent="0.25">
      <c r="D1932" s="59" t="str">
        <f t="shared" si="151"/>
        <v/>
      </c>
      <c r="E1932" s="59" t="str">
        <f t="shared" si="153"/>
        <v/>
      </c>
      <c r="F1932" s="59" t="str">
        <f t="shared" si="154"/>
        <v/>
      </c>
      <c r="G1932" s="59" t="str">
        <f>IF($A1932="","",
   SUMIFS(Transactions!$P:$P,
          Transactions!$G:$G,$A1932,
          Transactions!$C:$C,"IN",
          Transactions!$Q:$Q,"Paid"))</f>
        <v/>
      </c>
      <c r="H1932" s="59" t="str">
        <f>IF($A1932="","",
   SUMIFS(Transactions!$P:$P,
          Transactions!$G:$G,$A1932,
          Transactions!$C:$C,"OUT"))</f>
        <v/>
      </c>
      <c r="I1932" s="65" t="str">
        <f t="shared" si="152"/>
        <v/>
      </c>
      <c r="J1932" s="59" t="str">
        <f t="shared" si="155"/>
        <v/>
      </c>
    </row>
    <row r="1933" spans="4:10" ht="22.5" customHeight="1" x14ac:dyDescent="0.25">
      <c r="D1933" s="59" t="str">
        <f t="shared" si="151"/>
        <v/>
      </c>
      <c r="E1933" s="59" t="str">
        <f t="shared" si="153"/>
        <v/>
      </c>
      <c r="F1933" s="59" t="str">
        <f t="shared" si="154"/>
        <v/>
      </c>
      <c r="G1933" s="59" t="str">
        <f>IF($A1933="","",
   SUMIFS(Transactions!$P:$P,
          Transactions!$G:$G,$A1933,
          Transactions!$C:$C,"IN",
          Transactions!$Q:$Q,"Paid"))</f>
        <v/>
      </c>
      <c r="H1933" s="59" t="str">
        <f>IF($A1933="","",
   SUMIFS(Transactions!$P:$P,
          Transactions!$G:$G,$A1933,
          Transactions!$C:$C,"OUT"))</f>
        <v/>
      </c>
      <c r="I1933" s="65" t="str">
        <f t="shared" si="152"/>
        <v/>
      </c>
      <c r="J1933" s="59" t="str">
        <f t="shared" si="155"/>
        <v/>
      </c>
    </row>
    <row r="1934" spans="4:10" ht="22.5" customHeight="1" x14ac:dyDescent="0.25">
      <c r="D1934" s="59" t="str">
        <f t="shared" si="151"/>
        <v/>
      </c>
      <c r="E1934" s="59" t="str">
        <f t="shared" si="153"/>
        <v/>
      </c>
      <c r="F1934" s="59" t="str">
        <f t="shared" si="154"/>
        <v/>
      </c>
      <c r="G1934" s="59" t="str">
        <f>IF($A1934="","",
   SUMIFS(Transactions!$P:$P,
          Transactions!$G:$G,$A1934,
          Transactions!$C:$C,"IN",
          Transactions!$Q:$Q,"Paid"))</f>
        <v/>
      </c>
      <c r="H1934" s="59" t="str">
        <f>IF($A1934="","",
   SUMIFS(Transactions!$P:$P,
          Transactions!$G:$G,$A1934,
          Transactions!$C:$C,"OUT"))</f>
        <v/>
      </c>
      <c r="I1934" s="65" t="str">
        <f t="shared" si="152"/>
        <v/>
      </c>
      <c r="J1934" s="59" t="str">
        <f t="shared" si="155"/>
        <v/>
      </c>
    </row>
    <row r="1935" spans="4:10" ht="22.5" customHeight="1" x14ac:dyDescent="0.25">
      <c r="D1935" s="59" t="str">
        <f t="shared" si="151"/>
        <v/>
      </c>
      <c r="E1935" s="59" t="str">
        <f t="shared" si="153"/>
        <v/>
      </c>
      <c r="F1935" s="59" t="str">
        <f t="shared" si="154"/>
        <v/>
      </c>
      <c r="G1935" s="59" t="str">
        <f>IF($A1935="","",
   SUMIFS(Transactions!$P:$P,
          Transactions!$G:$G,$A1935,
          Transactions!$C:$C,"IN",
          Transactions!$Q:$Q,"Paid"))</f>
        <v/>
      </c>
      <c r="H1935" s="59" t="str">
        <f>IF($A1935="","",
   SUMIFS(Transactions!$P:$P,
          Transactions!$G:$G,$A1935,
          Transactions!$C:$C,"OUT"))</f>
        <v/>
      </c>
      <c r="I1935" s="65" t="str">
        <f t="shared" si="152"/>
        <v/>
      </c>
      <c r="J1935" s="59" t="str">
        <f t="shared" si="155"/>
        <v/>
      </c>
    </row>
    <row r="1936" spans="4:10" ht="22.5" customHeight="1" x14ac:dyDescent="0.25">
      <c r="D1936" s="59" t="str">
        <f t="shared" si="151"/>
        <v/>
      </c>
      <c r="E1936" s="59" t="str">
        <f t="shared" si="153"/>
        <v/>
      </c>
      <c r="F1936" s="59" t="str">
        <f t="shared" si="154"/>
        <v/>
      </c>
      <c r="G1936" s="59" t="str">
        <f>IF($A1936="","",
   SUMIFS(Transactions!$P:$P,
          Transactions!$G:$G,$A1936,
          Transactions!$C:$C,"IN",
          Transactions!$Q:$Q,"Paid"))</f>
        <v/>
      </c>
      <c r="H1936" s="59" t="str">
        <f>IF($A1936="","",
   SUMIFS(Transactions!$P:$P,
          Transactions!$G:$G,$A1936,
          Transactions!$C:$C,"OUT"))</f>
        <v/>
      </c>
      <c r="I1936" s="65" t="str">
        <f t="shared" si="152"/>
        <v/>
      </c>
      <c r="J1936" s="59" t="str">
        <f t="shared" si="155"/>
        <v/>
      </c>
    </row>
    <row r="1937" spans="4:10" ht="22.5" customHeight="1" x14ac:dyDescent="0.25">
      <c r="D1937" s="59" t="str">
        <f t="shared" si="151"/>
        <v/>
      </c>
      <c r="E1937" s="59" t="str">
        <f t="shared" si="153"/>
        <v/>
      </c>
      <c r="F1937" s="59" t="str">
        <f t="shared" si="154"/>
        <v/>
      </c>
      <c r="G1937" s="59" t="str">
        <f>IF($A1937="","",
   SUMIFS(Transactions!$P:$P,
          Transactions!$G:$G,$A1937,
          Transactions!$C:$C,"IN",
          Transactions!$Q:$Q,"Paid"))</f>
        <v/>
      </c>
      <c r="H1937" s="59" t="str">
        <f>IF($A1937="","",
   SUMIFS(Transactions!$P:$P,
          Transactions!$G:$G,$A1937,
          Transactions!$C:$C,"OUT"))</f>
        <v/>
      </c>
      <c r="I1937" s="65" t="str">
        <f t="shared" si="152"/>
        <v/>
      </c>
      <c r="J1937" s="59" t="str">
        <f t="shared" si="155"/>
        <v/>
      </c>
    </row>
    <row r="1938" spans="4:10" ht="22.5" customHeight="1" x14ac:dyDescent="0.25">
      <c r="D1938" s="59" t="str">
        <f t="shared" si="151"/>
        <v/>
      </c>
      <c r="E1938" s="59" t="str">
        <f t="shared" si="153"/>
        <v/>
      </c>
      <c r="F1938" s="59" t="str">
        <f t="shared" si="154"/>
        <v/>
      </c>
      <c r="G1938" s="59" t="str">
        <f>IF($A1938="","",
   SUMIFS(Transactions!$P:$P,
          Transactions!$G:$G,$A1938,
          Transactions!$C:$C,"IN",
          Transactions!$Q:$Q,"Paid"))</f>
        <v/>
      </c>
      <c r="H1938" s="59" t="str">
        <f>IF($A1938="","",
   SUMIFS(Transactions!$P:$P,
          Transactions!$G:$G,$A1938,
          Transactions!$C:$C,"OUT"))</f>
        <v/>
      </c>
      <c r="I1938" s="65" t="str">
        <f t="shared" si="152"/>
        <v/>
      </c>
      <c r="J1938" s="59" t="str">
        <f t="shared" si="155"/>
        <v/>
      </c>
    </row>
    <row r="1939" spans="4:10" ht="22.5" customHeight="1" x14ac:dyDescent="0.25">
      <c r="D1939" s="59" t="str">
        <f t="shared" si="151"/>
        <v/>
      </c>
      <c r="E1939" s="59" t="str">
        <f t="shared" si="153"/>
        <v/>
      </c>
      <c r="F1939" s="59" t="str">
        <f t="shared" si="154"/>
        <v/>
      </c>
      <c r="G1939" s="59" t="str">
        <f>IF($A1939="","",
   SUMIFS(Transactions!$P:$P,
          Transactions!$G:$G,$A1939,
          Transactions!$C:$C,"IN",
          Transactions!$Q:$Q,"Paid"))</f>
        <v/>
      </c>
      <c r="H1939" s="59" t="str">
        <f>IF($A1939="","",
   SUMIFS(Transactions!$P:$P,
          Transactions!$G:$G,$A1939,
          Transactions!$C:$C,"OUT"))</f>
        <v/>
      </c>
      <c r="I1939" s="65" t="str">
        <f t="shared" si="152"/>
        <v/>
      </c>
      <c r="J1939" s="59" t="str">
        <f t="shared" si="155"/>
        <v/>
      </c>
    </row>
    <row r="1940" spans="4:10" ht="22.5" customHeight="1" x14ac:dyDescent="0.25">
      <c r="D1940" s="59" t="str">
        <f t="shared" si="151"/>
        <v/>
      </c>
      <c r="E1940" s="59" t="str">
        <f t="shared" si="153"/>
        <v/>
      </c>
      <c r="F1940" s="59" t="str">
        <f t="shared" si="154"/>
        <v/>
      </c>
      <c r="G1940" s="59" t="str">
        <f>IF($A1940="","",
   SUMIFS(Transactions!$P:$P,
          Transactions!$G:$G,$A1940,
          Transactions!$C:$C,"IN",
          Transactions!$Q:$Q,"Paid"))</f>
        <v/>
      </c>
      <c r="H1940" s="59" t="str">
        <f>IF($A1940="","",
   SUMIFS(Transactions!$P:$P,
          Transactions!$G:$G,$A1940,
          Transactions!$C:$C,"OUT"))</f>
        <v/>
      </c>
      <c r="I1940" s="65" t="str">
        <f t="shared" si="152"/>
        <v/>
      </c>
      <c r="J1940" s="59" t="str">
        <f t="shared" si="155"/>
        <v/>
      </c>
    </row>
    <row r="1941" spans="4:10" ht="22.5" customHeight="1" x14ac:dyDescent="0.25">
      <c r="D1941" s="59" t="str">
        <f t="shared" si="151"/>
        <v/>
      </c>
      <c r="E1941" s="59" t="str">
        <f t="shared" si="153"/>
        <v/>
      </c>
      <c r="F1941" s="59" t="str">
        <f t="shared" si="154"/>
        <v/>
      </c>
      <c r="G1941" s="59" t="str">
        <f>IF($A1941="","",
   SUMIFS(Transactions!$P:$P,
          Transactions!$G:$G,$A1941,
          Transactions!$C:$C,"IN",
          Transactions!$Q:$Q,"Paid"))</f>
        <v/>
      </c>
      <c r="H1941" s="59" t="str">
        <f>IF($A1941="","",
   SUMIFS(Transactions!$P:$P,
          Transactions!$G:$G,$A1941,
          Transactions!$C:$C,"OUT"))</f>
        <v/>
      </c>
      <c r="I1941" s="65" t="str">
        <f t="shared" si="152"/>
        <v/>
      </c>
      <c r="J1941" s="59" t="str">
        <f t="shared" si="155"/>
        <v/>
      </c>
    </row>
    <row r="1942" spans="4:10" ht="22.5" customHeight="1" x14ac:dyDescent="0.25">
      <c r="D1942" s="59" t="str">
        <f t="shared" si="151"/>
        <v/>
      </c>
      <c r="E1942" s="59" t="str">
        <f t="shared" si="153"/>
        <v/>
      </c>
      <c r="F1942" s="59" t="str">
        <f t="shared" si="154"/>
        <v/>
      </c>
      <c r="G1942" s="59" t="str">
        <f>IF($A1942="","",
   SUMIFS(Transactions!$P:$P,
          Transactions!$G:$G,$A1942,
          Transactions!$C:$C,"IN",
          Transactions!$Q:$Q,"Paid"))</f>
        <v/>
      </c>
      <c r="H1942" s="59" t="str">
        <f>IF($A1942="","",
   SUMIFS(Transactions!$P:$P,
          Transactions!$G:$G,$A1942,
          Transactions!$C:$C,"OUT"))</f>
        <v/>
      </c>
      <c r="I1942" s="65" t="str">
        <f t="shared" si="152"/>
        <v/>
      </c>
      <c r="J1942" s="59" t="str">
        <f t="shared" si="155"/>
        <v/>
      </c>
    </row>
    <row r="1943" spans="4:10" ht="22.5" customHeight="1" x14ac:dyDescent="0.25">
      <c r="D1943" s="59" t="str">
        <f t="shared" si="151"/>
        <v/>
      </c>
      <c r="E1943" s="59" t="str">
        <f t="shared" si="153"/>
        <v/>
      </c>
      <c r="F1943" s="59" t="str">
        <f t="shared" si="154"/>
        <v/>
      </c>
      <c r="G1943" s="59" t="str">
        <f>IF($A1943="","",
   SUMIFS(Transactions!$P:$P,
          Transactions!$G:$G,$A1943,
          Transactions!$C:$C,"IN",
          Transactions!$Q:$Q,"Paid"))</f>
        <v/>
      </c>
      <c r="H1943" s="59" t="str">
        <f>IF($A1943="","",
   SUMIFS(Transactions!$P:$P,
          Transactions!$G:$G,$A1943,
          Transactions!$C:$C,"OUT"))</f>
        <v/>
      </c>
      <c r="I1943" s="65" t="str">
        <f t="shared" si="152"/>
        <v/>
      </c>
      <c r="J1943" s="59" t="str">
        <f t="shared" si="155"/>
        <v/>
      </c>
    </row>
    <row r="1944" spans="4:10" ht="22.5" customHeight="1" x14ac:dyDescent="0.25">
      <c r="D1944" s="59" t="str">
        <f t="shared" si="151"/>
        <v/>
      </c>
      <c r="E1944" s="59" t="str">
        <f t="shared" si="153"/>
        <v/>
      </c>
      <c r="F1944" s="59" t="str">
        <f t="shared" si="154"/>
        <v/>
      </c>
      <c r="G1944" s="59" t="str">
        <f>IF($A1944="","",
   SUMIFS(Transactions!$P:$P,
          Transactions!$G:$G,$A1944,
          Transactions!$C:$C,"IN",
          Transactions!$Q:$Q,"Paid"))</f>
        <v/>
      </c>
      <c r="H1944" s="59" t="str">
        <f>IF($A1944="","",
   SUMIFS(Transactions!$P:$P,
          Transactions!$G:$G,$A1944,
          Transactions!$C:$C,"OUT"))</f>
        <v/>
      </c>
      <c r="I1944" s="65" t="str">
        <f t="shared" si="152"/>
        <v/>
      </c>
      <c r="J1944" s="59" t="str">
        <f t="shared" si="155"/>
        <v/>
      </c>
    </row>
    <row r="1945" spans="4:10" ht="22.5" customHeight="1" x14ac:dyDescent="0.25">
      <c r="D1945" s="59" t="str">
        <f t="shared" si="151"/>
        <v/>
      </c>
      <c r="E1945" s="59" t="str">
        <f t="shared" si="153"/>
        <v/>
      </c>
      <c r="F1945" s="59" t="str">
        <f t="shared" si="154"/>
        <v/>
      </c>
      <c r="G1945" s="59" t="str">
        <f>IF($A1945="","",
   SUMIFS(Transactions!$P:$P,
          Transactions!$G:$G,$A1945,
          Transactions!$C:$C,"IN",
          Transactions!$Q:$Q,"Paid"))</f>
        <v/>
      </c>
      <c r="H1945" s="59" t="str">
        <f>IF($A1945="","",
   SUMIFS(Transactions!$P:$P,
          Transactions!$G:$G,$A1945,
          Transactions!$C:$C,"OUT"))</f>
        <v/>
      </c>
      <c r="I1945" s="65" t="str">
        <f t="shared" si="152"/>
        <v/>
      </c>
      <c r="J1945" s="59" t="str">
        <f t="shared" si="155"/>
        <v/>
      </c>
    </row>
    <row r="1946" spans="4:10" ht="22.5" customHeight="1" x14ac:dyDescent="0.25">
      <c r="D1946" s="59" t="str">
        <f t="shared" si="151"/>
        <v/>
      </c>
      <c r="E1946" s="59" t="str">
        <f t="shared" si="153"/>
        <v/>
      </c>
      <c r="F1946" s="59" t="str">
        <f t="shared" si="154"/>
        <v/>
      </c>
      <c r="G1946" s="59" t="str">
        <f>IF($A1946="","",
   SUMIFS(Transactions!$P:$P,
          Transactions!$G:$G,$A1946,
          Transactions!$C:$C,"IN",
          Transactions!$Q:$Q,"Paid"))</f>
        <v/>
      </c>
      <c r="H1946" s="59" t="str">
        <f>IF($A1946="","",
   SUMIFS(Transactions!$P:$P,
          Transactions!$G:$G,$A1946,
          Transactions!$C:$C,"OUT"))</f>
        <v/>
      </c>
      <c r="I1946" s="65" t="str">
        <f t="shared" si="152"/>
        <v/>
      </c>
      <c r="J1946" s="59" t="str">
        <f t="shared" si="155"/>
        <v/>
      </c>
    </row>
    <row r="1947" spans="4:10" ht="22.5" customHeight="1" x14ac:dyDescent="0.25">
      <c r="D1947" s="59" t="str">
        <f t="shared" si="151"/>
        <v/>
      </c>
      <c r="E1947" s="59" t="str">
        <f t="shared" si="153"/>
        <v/>
      </c>
      <c r="F1947" s="59" t="str">
        <f t="shared" si="154"/>
        <v/>
      </c>
      <c r="G1947" s="59" t="str">
        <f>IF($A1947="","",
   SUMIFS(Transactions!$P:$P,
          Transactions!$G:$G,$A1947,
          Transactions!$C:$C,"IN",
          Transactions!$Q:$Q,"Paid"))</f>
        <v/>
      </c>
      <c r="H1947" s="59" t="str">
        <f>IF($A1947="","",
   SUMIFS(Transactions!$P:$P,
          Transactions!$G:$G,$A1947,
          Transactions!$C:$C,"OUT"))</f>
        <v/>
      </c>
      <c r="I1947" s="65" t="str">
        <f t="shared" si="152"/>
        <v/>
      </c>
      <c r="J1947" s="59" t="str">
        <f t="shared" si="155"/>
        <v/>
      </c>
    </row>
    <row r="1948" spans="4:10" ht="22.5" customHeight="1" x14ac:dyDescent="0.25">
      <c r="D1948" s="59" t="str">
        <f t="shared" si="151"/>
        <v/>
      </c>
      <c r="E1948" s="59" t="str">
        <f t="shared" si="153"/>
        <v/>
      </c>
      <c r="F1948" s="59" t="str">
        <f t="shared" si="154"/>
        <v/>
      </c>
      <c r="G1948" s="59" t="str">
        <f>IF($A1948="","",
   SUMIFS(Transactions!$P:$P,
          Transactions!$G:$G,$A1948,
          Transactions!$C:$C,"IN",
          Transactions!$Q:$Q,"Paid"))</f>
        <v/>
      </c>
      <c r="H1948" s="59" t="str">
        <f>IF($A1948="","",
   SUMIFS(Transactions!$P:$P,
          Transactions!$G:$G,$A1948,
          Transactions!$C:$C,"OUT"))</f>
        <v/>
      </c>
      <c r="I1948" s="65" t="str">
        <f t="shared" si="152"/>
        <v/>
      </c>
      <c r="J1948" s="59" t="str">
        <f t="shared" si="155"/>
        <v/>
      </c>
    </row>
    <row r="1949" spans="4:10" ht="22.5" customHeight="1" x14ac:dyDescent="0.25">
      <c r="D1949" s="59" t="str">
        <f t="shared" si="151"/>
        <v/>
      </c>
      <c r="E1949" s="59" t="str">
        <f t="shared" si="153"/>
        <v/>
      </c>
      <c r="F1949" s="59" t="str">
        <f t="shared" si="154"/>
        <v/>
      </c>
      <c r="G1949" s="59" t="str">
        <f>IF($A1949="","",
   SUMIFS(Transactions!$P:$P,
          Transactions!$G:$G,$A1949,
          Transactions!$C:$C,"IN",
          Transactions!$Q:$Q,"Paid"))</f>
        <v/>
      </c>
      <c r="H1949" s="59" t="str">
        <f>IF($A1949="","",
   SUMIFS(Transactions!$P:$P,
          Transactions!$G:$G,$A1949,
          Transactions!$C:$C,"OUT"))</f>
        <v/>
      </c>
      <c r="I1949" s="65" t="str">
        <f t="shared" si="152"/>
        <v/>
      </c>
      <c r="J1949" s="59" t="str">
        <f t="shared" si="155"/>
        <v/>
      </c>
    </row>
    <row r="1950" spans="4:10" ht="22.5" customHeight="1" x14ac:dyDescent="0.25">
      <c r="D1950" s="59" t="str">
        <f t="shared" si="151"/>
        <v/>
      </c>
      <c r="E1950" s="59" t="str">
        <f t="shared" si="153"/>
        <v/>
      </c>
      <c r="F1950" s="59" t="str">
        <f t="shared" si="154"/>
        <v/>
      </c>
      <c r="G1950" s="59" t="str">
        <f>IF($A1950="","",
   SUMIFS(Transactions!$P:$P,
          Transactions!$G:$G,$A1950,
          Transactions!$C:$C,"IN",
          Transactions!$Q:$Q,"Paid"))</f>
        <v/>
      </c>
      <c r="H1950" s="59" t="str">
        <f>IF($A1950="","",
   SUMIFS(Transactions!$P:$P,
          Transactions!$G:$G,$A1950,
          Transactions!$C:$C,"OUT"))</f>
        <v/>
      </c>
      <c r="I1950" s="65" t="str">
        <f t="shared" si="152"/>
        <v/>
      </c>
      <c r="J1950" s="59" t="str">
        <f t="shared" si="155"/>
        <v/>
      </c>
    </row>
    <row r="1951" spans="4:10" ht="22.5" customHeight="1" x14ac:dyDescent="0.25">
      <c r="D1951" s="59" t="str">
        <f t="shared" si="151"/>
        <v/>
      </c>
      <c r="E1951" s="59" t="str">
        <f t="shared" si="153"/>
        <v/>
      </c>
      <c r="F1951" s="59" t="str">
        <f t="shared" si="154"/>
        <v/>
      </c>
      <c r="G1951" s="59" t="str">
        <f>IF($A1951="","",
   SUMIFS(Transactions!$P:$P,
          Transactions!$G:$G,$A1951,
          Transactions!$C:$C,"IN",
          Transactions!$Q:$Q,"Paid"))</f>
        <v/>
      </c>
      <c r="H1951" s="59" t="str">
        <f>IF($A1951="","",
   SUMIFS(Transactions!$P:$P,
          Transactions!$G:$G,$A1951,
          Transactions!$C:$C,"OUT"))</f>
        <v/>
      </c>
      <c r="I1951" s="65" t="str">
        <f t="shared" si="152"/>
        <v/>
      </c>
      <c r="J1951" s="59" t="str">
        <f t="shared" si="155"/>
        <v/>
      </c>
    </row>
    <row r="1952" spans="4:10" ht="22.5" customHeight="1" x14ac:dyDescent="0.25">
      <c r="D1952" s="59" t="str">
        <f t="shared" si="151"/>
        <v/>
      </c>
      <c r="E1952" s="59" t="str">
        <f t="shared" si="153"/>
        <v/>
      </c>
      <c r="F1952" s="59" t="str">
        <f t="shared" si="154"/>
        <v/>
      </c>
      <c r="G1952" s="59" t="str">
        <f>IF($A1952="","",
   SUMIFS(Transactions!$P:$P,
          Transactions!$G:$G,$A1952,
          Transactions!$C:$C,"IN",
          Transactions!$Q:$Q,"Paid"))</f>
        <v/>
      </c>
      <c r="H1952" s="59" t="str">
        <f>IF($A1952="","",
   SUMIFS(Transactions!$P:$P,
          Transactions!$G:$G,$A1952,
          Transactions!$C:$C,"OUT"))</f>
        <v/>
      </c>
      <c r="I1952" s="65" t="str">
        <f t="shared" si="152"/>
        <v/>
      </c>
      <c r="J1952" s="59" t="str">
        <f t="shared" si="155"/>
        <v/>
      </c>
    </row>
    <row r="1953" spans="4:10" ht="22.5" customHeight="1" x14ac:dyDescent="0.25">
      <c r="D1953" s="59" t="str">
        <f t="shared" si="151"/>
        <v/>
      </c>
      <c r="E1953" s="59" t="str">
        <f t="shared" si="153"/>
        <v/>
      </c>
      <c r="F1953" s="59" t="str">
        <f t="shared" si="154"/>
        <v/>
      </c>
      <c r="G1953" s="59" t="str">
        <f>IF($A1953="","",
   SUMIFS(Transactions!$P:$P,
          Transactions!$G:$G,$A1953,
          Transactions!$C:$C,"IN",
          Transactions!$Q:$Q,"Paid"))</f>
        <v/>
      </c>
      <c r="H1953" s="59" t="str">
        <f>IF($A1953="","",
   SUMIFS(Transactions!$P:$P,
          Transactions!$G:$G,$A1953,
          Transactions!$C:$C,"OUT"))</f>
        <v/>
      </c>
      <c r="I1953" s="65" t="str">
        <f t="shared" si="152"/>
        <v/>
      </c>
      <c r="J1953" s="59" t="str">
        <f t="shared" si="155"/>
        <v/>
      </c>
    </row>
    <row r="1954" spans="4:10" ht="22.5" customHeight="1" x14ac:dyDescent="0.25">
      <c r="D1954" s="59" t="str">
        <f t="shared" si="151"/>
        <v/>
      </c>
      <c r="E1954" s="59" t="str">
        <f t="shared" si="153"/>
        <v/>
      </c>
      <c r="F1954" s="59" t="str">
        <f t="shared" si="154"/>
        <v/>
      </c>
      <c r="G1954" s="59" t="str">
        <f>IF($A1954="","",
   SUMIFS(Transactions!$P:$P,
          Transactions!$G:$G,$A1954,
          Transactions!$C:$C,"IN",
          Transactions!$Q:$Q,"Paid"))</f>
        <v/>
      </c>
      <c r="H1954" s="59" t="str">
        <f>IF($A1954="","",
   SUMIFS(Transactions!$P:$P,
          Transactions!$G:$G,$A1954,
          Transactions!$C:$C,"OUT"))</f>
        <v/>
      </c>
      <c r="I1954" s="65" t="str">
        <f t="shared" si="152"/>
        <v/>
      </c>
      <c r="J1954" s="59" t="str">
        <f t="shared" si="155"/>
        <v/>
      </c>
    </row>
    <row r="1955" spans="4:10" ht="22.5" customHeight="1" x14ac:dyDescent="0.25">
      <c r="D1955" s="59" t="str">
        <f t="shared" si="151"/>
        <v/>
      </c>
      <c r="E1955" s="59" t="str">
        <f t="shared" si="153"/>
        <v/>
      </c>
      <c r="F1955" s="59" t="str">
        <f t="shared" si="154"/>
        <v/>
      </c>
      <c r="G1955" s="59" t="str">
        <f>IF($A1955="","",
   SUMIFS(Transactions!$P:$P,
          Transactions!$G:$G,$A1955,
          Transactions!$C:$C,"IN",
          Transactions!$Q:$Q,"Paid"))</f>
        <v/>
      </c>
      <c r="H1955" s="59" t="str">
        <f>IF($A1955="","",
   SUMIFS(Transactions!$P:$P,
          Transactions!$G:$G,$A1955,
          Transactions!$C:$C,"OUT"))</f>
        <v/>
      </c>
      <c r="I1955" s="65" t="str">
        <f t="shared" si="152"/>
        <v/>
      </c>
      <c r="J1955" s="59" t="str">
        <f t="shared" si="155"/>
        <v/>
      </c>
    </row>
    <row r="1956" spans="4:10" ht="22.5" customHeight="1" x14ac:dyDescent="0.25">
      <c r="D1956" s="59" t="str">
        <f t="shared" si="151"/>
        <v/>
      </c>
      <c r="E1956" s="59" t="str">
        <f t="shared" si="153"/>
        <v/>
      </c>
      <c r="F1956" s="59" t="str">
        <f t="shared" si="154"/>
        <v/>
      </c>
      <c r="G1956" s="59" t="str">
        <f>IF($A1956="","",
   SUMIFS(Transactions!$P:$P,
          Transactions!$G:$G,$A1956,
          Transactions!$C:$C,"IN",
          Transactions!$Q:$Q,"Paid"))</f>
        <v/>
      </c>
      <c r="H1956" s="59" t="str">
        <f>IF($A1956="","",
   SUMIFS(Transactions!$P:$P,
          Transactions!$G:$G,$A1956,
          Transactions!$C:$C,"OUT"))</f>
        <v/>
      </c>
      <c r="I1956" s="65" t="str">
        <f t="shared" si="152"/>
        <v/>
      </c>
      <c r="J1956" s="59" t="str">
        <f t="shared" si="155"/>
        <v/>
      </c>
    </row>
    <row r="1957" spans="4:10" ht="22.5" customHeight="1" x14ac:dyDescent="0.25">
      <c r="D1957" s="59" t="str">
        <f t="shared" si="151"/>
        <v/>
      </c>
      <c r="E1957" s="59" t="str">
        <f t="shared" si="153"/>
        <v/>
      </c>
      <c r="F1957" s="59" t="str">
        <f t="shared" si="154"/>
        <v/>
      </c>
      <c r="G1957" s="59" t="str">
        <f>IF($A1957="","",
   SUMIFS(Transactions!$P:$P,
          Transactions!$G:$G,$A1957,
          Transactions!$C:$C,"IN",
          Transactions!$Q:$Q,"Paid"))</f>
        <v/>
      </c>
      <c r="H1957" s="59" t="str">
        <f>IF($A1957="","",
   SUMIFS(Transactions!$P:$P,
          Transactions!$G:$G,$A1957,
          Transactions!$C:$C,"OUT"))</f>
        <v/>
      </c>
      <c r="I1957" s="65" t="str">
        <f t="shared" si="152"/>
        <v/>
      </c>
      <c r="J1957" s="59" t="str">
        <f t="shared" si="155"/>
        <v/>
      </c>
    </row>
    <row r="1958" spans="4:10" ht="22.5" customHeight="1" x14ac:dyDescent="0.25">
      <c r="D1958" s="59" t="str">
        <f t="shared" si="151"/>
        <v/>
      </c>
      <c r="E1958" s="59" t="str">
        <f t="shared" si="153"/>
        <v/>
      </c>
      <c r="F1958" s="59" t="str">
        <f t="shared" si="154"/>
        <v/>
      </c>
      <c r="G1958" s="59" t="str">
        <f>IF($A1958="","",
   SUMIFS(Transactions!$P:$P,
          Transactions!$G:$G,$A1958,
          Transactions!$C:$C,"IN",
          Transactions!$Q:$Q,"Paid"))</f>
        <v/>
      </c>
      <c r="H1958" s="59" t="str">
        <f>IF($A1958="","",
   SUMIFS(Transactions!$P:$P,
          Transactions!$G:$G,$A1958,
          Transactions!$C:$C,"OUT"))</f>
        <v/>
      </c>
      <c r="I1958" s="65" t="str">
        <f t="shared" si="152"/>
        <v/>
      </c>
      <c r="J1958" s="59" t="str">
        <f t="shared" si="155"/>
        <v/>
      </c>
    </row>
    <row r="1959" spans="4:10" ht="22.5" customHeight="1" x14ac:dyDescent="0.25">
      <c r="D1959" s="59" t="str">
        <f t="shared" si="151"/>
        <v/>
      </c>
      <c r="E1959" s="59" t="str">
        <f t="shared" si="153"/>
        <v/>
      </c>
      <c r="F1959" s="59" t="str">
        <f t="shared" si="154"/>
        <v/>
      </c>
      <c r="G1959" s="59" t="str">
        <f>IF($A1959="","",
   SUMIFS(Transactions!$P:$P,
          Transactions!$G:$G,$A1959,
          Transactions!$C:$C,"IN",
          Transactions!$Q:$Q,"Paid"))</f>
        <v/>
      </c>
      <c r="H1959" s="59" t="str">
        <f>IF($A1959="","",
   SUMIFS(Transactions!$P:$P,
          Transactions!$G:$G,$A1959,
          Transactions!$C:$C,"OUT"))</f>
        <v/>
      </c>
      <c r="I1959" s="65" t="str">
        <f t="shared" si="152"/>
        <v/>
      </c>
      <c r="J1959" s="59" t="str">
        <f t="shared" si="155"/>
        <v/>
      </c>
    </row>
    <row r="1960" spans="4:10" ht="22.5" customHeight="1" x14ac:dyDescent="0.25">
      <c r="D1960" s="59" t="str">
        <f t="shared" si="151"/>
        <v/>
      </c>
      <c r="E1960" s="59" t="str">
        <f t="shared" si="153"/>
        <v/>
      </c>
      <c r="F1960" s="59" t="str">
        <f t="shared" si="154"/>
        <v/>
      </c>
      <c r="G1960" s="59" t="str">
        <f>IF($A1960="","",
   SUMIFS(Transactions!$P:$P,
          Transactions!$G:$G,$A1960,
          Transactions!$C:$C,"IN",
          Transactions!$Q:$Q,"Paid"))</f>
        <v/>
      </c>
      <c r="H1960" s="59" t="str">
        <f>IF($A1960="","",
   SUMIFS(Transactions!$P:$P,
          Transactions!$G:$G,$A1960,
          Transactions!$C:$C,"OUT"))</f>
        <v/>
      </c>
      <c r="I1960" s="65" t="str">
        <f t="shared" si="152"/>
        <v/>
      </c>
      <c r="J1960" s="59" t="str">
        <f t="shared" si="155"/>
        <v/>
      </c>
    </row>
    <row r="1961" spans="4:10" ht="22.5" customHeight="1" x14ac:dyDescent="0.25">
      <c r="D1961" s="59" t="str">
        <f t="shared" si="151"/>
        <v/>
      </c>
      <c r="E1961" s="59" t="str">
        <f t="shared" si="153"/>
        <v/>
      </c>
      <c r="F1961" s="59" t="str">
        <f t="shared" si="154"/>
        <v/>
      </c>
      <c r="G1961" s="59" t="str">
        <f>IF($A1961="","",
   SUMIFS(Transactions!$P:$P,
          Transactions!$G:$G,$A1961,
          Transactions!$C:$C,"IN",
          Transactions!$Q:$Q,"Paid"))</f>
        <v/>
      </c>
      <c r="H1961" s="59" t="str">
        <f>IF($A1961="","",
   SUMIFS(Transactions!$P:$P,
          Transactions!$G:$G,$A1961,
          Transactions!$C:$C,"OUT"))</f>
        <v/>
      </c>
      <c r="I1961" s="65" t="str">
        <f t="shared" si="152"/>
        <v/>
      </c>
      <c r="J1961" s="59" t="str">
        <f t="shared" si="155"/>
        <v/>
      </c>
    </row>
    <row r="1962" spans="4:10" ht="22.5" customHeight="1" x14ac:dyDescent="0.25">
      <c r="D1962" s="59" t="str">
        <f t="shared" si="151"/>
        <v/>
      </c>
      <c r="E1962" s="59" t="str">
        <f t="shared" si="153"/>
        <v/>
      </c>
      <c r="F1962" s="59" t="str">
        <f t="shared" si="154"/>
        <v/>
      </c>
      <c r="G1962" s="59" t="str">
        <f>IF($A1962="","",
   SUMIFS(Transactions!$P:$P,
          Transactions!$G:$G,$A1962,
          Transactions!$C:$C,"IN",
          Transactions!$Q:$Q,"Paid"))</f>
        <v/>
      </c>
      <c r="H1962" s="59" t="str">
        <f>IF($A1962="","",
   SUMIFS(Transactions!$P:$P,
          Transactions!$G:$G,$A1962,
          Transactions!$C:$C,"OUT"))</f>
        <v/>
      </c>
      <c r="I1962" s="65" t="str">
        <f t="shared" si="152"/>
        <v/>
      </c>
      <c r="J1962" s="59" t="str">
        <f t="shared" si="155"/>
        <v/>
      </c>
    </row>
    <row r="1963" spans="4:10" ht="22.5" customHeight="1" x14ac:dyDescent="0.25">
      <c r="D1963" s="59" t="str">
        <f t="shared" si="151"/>
        <v/>
      </c>
      <c r="E1963" s="59" t="str">
        <f t="shared" si="153"/>
        <v/>
      </c>
      <c r="F1963" s="59" t="str">
        <f t="shared" si="154"/>
        <v/>
      </c>
      <c r="G1963" s="59" t="str">
        <f>IF($A1963="","",
   SUMIFS(Transactions!$P:$P,
          Transactions!$G:$G,$A1963,
          Transactions!$C:$C,"IN",
          Transactions!$Q:$Q,"Paid"))</f>
        <v/>
      </c>
      <c r="H1963" s="59" t="str">
        <f>IF($A1963="","",
   SUMIFS(Transactions!$P:$P,
          Transactions!$G:$G,$A1963,
          Transactions!$C:$C,"OUT"))</f>
        <v/>
      </c>
      <c r="I1963" s="65" t="str">
        <f t="shared" si="152"/>
        <v/>
      </c>
      <c r="J1963" s="59" t="str">
        <f t="shared" si="155"/>
        <v/>
      </c>
    </row>
    <row r="1964" spans="4:10" ht="22.5" customHeight="1" x14ac:dyDescent="0.25">
      <c r="D1964" s="59" t="str">
        <f t="shared" si="151"/>
        <v/>
      </c>
      <c r="E1964" s="59" t="str">
        <f t="shared" si="153"/>
        <v/>
      </c>
      <c r="F1964" s="59" t="str">
        <f t="shared" si="154"/>
        <v/>
      </c>
      <c r="G1964" s="59" t="str">
        <f>IF($A1964="","",
   SUMIFS(Transactions!$P:$P,
          Transactions!$G:$G,$A1964,
          Transactions!$C:$C,"IN",
          Transactions!$Q:$Q,"Paid"))</f>
        <v/>
      </c>
      <c r="H1964" s="59" t="str">
        <f>IF($A1964="","",
   SUMIFS(Transactions!$P:$P,
          Transactions!$G:$G,$A1964,
          Transactions!$C:$C,"OUT"))</f>
        <v/>
      </c>
      <c r="I1964" s="65" t="str">
        <f t="shared" si="152"/>
        <v/>
      </c>
      <c r="J1964" s="59" t="str">
        <f t="shared" si="155"/>
        <v/>
      </c>
    </row>
    <row r="1965" spans="4:10" ht="22.5" customHeight="1" x14ac:dyDescent="0.25">
      <c r="D1965" s="59" t="str">
        <f t="shared" si="151"/>
        <v/>
      </c>
      <c r="E1965" s="59" t="str">
        <f t="shared" si="153"/>
        <v/>
      </c>
      <c r="F1965" s="59" t="str">
        <f t="shared" si="154"/>
        <v/>
      </c>
      <c r="G1965" s="59" t="str">
        <f>IF($A1965="","",
   SUMIFS(Transactions!$P:$P,
          Transactions!$G:$G,$A1965,
          Transactions!$C:$C,"IN",
          Transactions!$Q:$Q,"Paid"))</f>
        <v/>
      </c>
      <c r="H1965" s="59" t="str">
        <f>IF($A1965="","",
   SUMIFS(Transactions!$P:$P,
          Transactions!$G:$G,$A1965,
          Transactions!$C:$C,"OUT"))</f>
        <v/>
      </c>
      <c r="I1965" s="65" t="str">
        <f t="shared" si="152"/>
        <v/>
      </c>
      <c r="J1965" s="59" t="str">
        <f t="shared" si="155"/>
        <v/>
      </c>
    </row>
    <row r="1966" spans="4:10" ht="22.5" customHeight="1" x14ac:dyDescent="0.25">
      <c r="D1966" s="59" t="str">
        <f t="shared" si="151"/>
        <v/>
      </c>
      <c r="E1966" s="59" t="str">
        <f t="shared" si="153"/>
        <v/>
      </c>
      <c r="F1966" s="59" t="str">
        <f t="shared" si="154"/>
        <v/>
      </c>
      <c r="G1966" s="59" t="str">
        <f>IF($A1966="","",
   SUMIFS(Transactions!$P:$P,
          Transactions!$G:$G,$A1966,
          Transactions!$C:$C,"IN",
          Transactions!$Q:$Q,"Paid"))</f>
        <v/>
      </c>
      <c r="H1966" s="59" t="str">
        <f>IF($A1966="","",
   SUMIFS(Transactions!$P:$P,
          Transactions!$G:$G,$A1966,
          Transactions!$C:$C,"OUT"))</f>
        <v/>
      </c>
      <c r="I1966" s="65" t="str">
        <f t="shared" si="152"/>
        <v/>
      </c>
      <c r="J1966" s="59" t="str">
        <f t="shared" si="155"/>
        <v/>
      </c>
    </row>
    <row r="1967" spans="4:10" ht="22.5" customHeight="1" x14ac:dyDescent="0.25">
      <c r="D1967" s="59" t="str">
        <f t="shared" si="151"/>
        <v/>
      </c>
      <c r="E1967" s="59" t="str">
        <f t="shared" si="153"/>
        <v/>
      </c>
      <c r="F1967" s="59" t="str">
        <f t="shared" si="154"/>
        <v/>
      </c>
      <c r="G1967" s="59" t="str">
        <f>IF($A1967="","",
   SUMIFS(Transactions!$P:$P,
          Transactions!$G:$G,$A1967,
          Transactions!$C:$C,"IN",
          Transactions!$Q:$Q,"Paid"))</f>
        <v/>
      </c>
      <c r="H1967" s="59" t="str">
        <f>IF($A1967="","",
   SUMIFS(Transactions!$P:$P,
          Transactions!$G:$G,$A1967,
          Transactions!$C:$C,"OUT"))</f>
        <v/>
      </c>
      <c r="I1967" s="65" t="str">
        <f t="shared" si="152"/>
        <v/>
      </c>
      <c r="J1967" s="59" t="str">
        <f t="shared" si="155"/>
        <v/>
      </c>
    </row>
    <row r="1968" spans="4:10" ht="22.5" customHeight="1" x14ac:dyDescent="0.25">
      <c r="D1968" s="59" t="str">
        <f t="shared" si="151"/>
        <v/>
      </c>
      <c r="E1968" s="59" t="str">
        <f t="shared" si="153"/>
        <v/>
      </c>
      <c r="F1968" s="59" t="str">
        <f t="shared" si="154"/>
        <v/>
      </c>
      <c r="G1968" s="59" t="str">
        <f>IF($A1968="","",
   SUMIFS(Transactions!$P:$P,
          Transactions!$G:$G,$A1968,
          Transactions!$C:$C,"IN",
          Transactions!$Q:$Q,"Paid"))</f>
        <v/>
      </c>
      <c r="H1968" s="59" t="str">
        <f>IF($A1968="","",
   SUMIFS(Transactions!$P:$P,
          Transactions!$G:$G,$A1968,
          Transactions!$C:$C,"OUT"))</f>
        <v/>
      </c>
      <c r="I1968" s="65" t="str">
        <f t="shared" si="152"/>
        <v/>
      </c>
      <c r="J1968" s="59" t="str">
        <f t="shared" si="155"/>
        <v/>
      </c>
    </row>
    <row r="1969" spans="4:10" ht="22.5" customHeight="1" x14ac:dyDescent="0.25">
      <c r="D1969" s="59" t="str">
        <f t="shared" si="151"/>
        <v/>
      </c>
      <c r="E1969" s="59" t="str">
        <f t="shared" si="153"/>
        <v/>
      </c>
      <c r="F1969" s="59" t="str">
        <f t="shared" si="154"/>
        <v/>
      </c>
      <c r="G1969" s="59" t="str">
        <f>IF($A1969="","",
   SUMIFS(Transactions!$P:$P,
          Transactions!$G:$G,$A1969,
          Transactions!$C:$C,"IN",
          Transactions!$Q:$Q,"Paid"))</f>
        <v/>
      </c>
      <c r="H1969" s="59" t="str">
        <f>IF($A1969="","",
   SUMIFS(Transactions!$P:$P,
          Transactions!$G:$G,$A1969,
          Transactions!$C:$C,"OUT"))</f>
        <v/>
      </c>
      <c r="I1969" s="65" t="str">
        <f t="shared" si="152"/>
        <v/>
      </c>
      <c r="J1969" s="59" t="str">
        <f t="shared" si="155"/>
        <v/>
      </c>
    </row>
    <row r="1970" spans="4:10" ht="22.5" customHeight="1" x14ac:dyDescent="0.25">
      <c r="D1970" s="59" t="str">
        <f t="shared" si="151"/>
        <v/>
      </c>
      <c r="E1970" s="59" t="str">
        <f t="shared" si="153"/>
        <v/>
      </c>
      <c r="F1970" s="59" t="str">
        <f t="shared" si="154"/>
        <v/>
      </c>
      <c r="G1970" s="59" t="str">
        <f>IF($A1970="","",
   SUMIFS(Transactions!$P:$P,
          Transactions!$G:$G,$A1970,
          Transactions!$C:$C,"IN",
          Transactions!$Q:$Q,"Paid"))</f>
        <v/>
      </c>
      <c r="H1970" s="59" t="str">
        <f>IF($A1970="","",
   SUMIFS(Transactions!$P:$P,
          Transactions!$G:$G,$A1970,
          Transactions!$C:$C,"OUT"))</f>
        <v/>
      </c>
      <c r="I1970" s="65" t="str">
        <f t="shared" si="152"/>
        <v/>
      </c>
      <c r="J1970" s="59" t="str">
        <f t="shared" si="155"/>
        <v/>
      </c>
    </row>
    <row r="1971" spans="4:10" ht="22.5" customHeight="1" x14ac:dyDescent="0.25">
      <c r="D1971" s="59" t="str">
        <f t="shared" si="151"/>
        <v/>
      </c>
      <c r="E1971" s="59" t="str">
        <f t="shared" si="153"/>
        <v/>
      </c>
      <c r="F1971" s="59" t="str">
        <f t="shared" si="154"/>
        <v/>
      </c>
      <c r="G1971" s="59" t="str">
        <f>IF($A1971="","",
   SUMIFS(Transactions!$P:$P,
          Transactions!$G:$G,$A1971,
          Transactions!$C:$C,"IN",
          Transactions!$Q:$Q,"Paid"))</f>
        <v/>
      </c>
      <c r="H1971" s="59" t="str">
        <f>IF($A1971="","",
   SUMIFS(Transactions!$P:$P,
          Transactions!$G:$G,$A1971,
          Transactions!$C:$C,"OUT"))</f>
        <v/>
      </c>
      <c r="I1971" s="65" t="str">
        <f t="shared" si="152"/>
        <v/>
      </c>
      <c r="J1971" s="59" t="str">
        <f t="shared" si="155"/>
        <v/>
      </c>
    </row>
    <row r="1972" spans="4:10" ht="22.5" customHeight="1" x14ac:dyDescent="0.25">
      <c r="D1972" s="59" t="str">
        <f t="shared" si="151"/>
        <v/>
      </c>
      <c r="E1972" s="59" t="str">
        <f t="shared" si="153"/>
        <v/>
      </c>
      <c r="F1972" s="59" t="str">
        <f t="shared" si="154"/>
        <v/>
      </c>
      <c r="G1972" s="59" t="str">
        <f>IF($A1972="","",
   SUMIFS(Transactions!$P:$P,
          Transactions!$G:$G,$A1972,
          Transactions!$C:$C,"IN",
          Transactions!$Q:$Q,"Paid"))</f>
        <v/>
      </c>
      <c r="H1972" s="59" t="str">
        <f>IF($A1972="","",
   SUMIFS(Transactions!$P:$P,
          Transactions!$G:$G,$A1972,
          Transactions!$C:$C,"OUT"))</f>
        <v/>
      </c>
      <c r="I1972" s="65" t="str">
        <f t="shared" si="152"/>
        <v/>
      </c>
      <c r="J1972" s="59" t="str">
        <f t="shared" si="155"/>
        <v/>
      </c>
    </row>
    <row r="1973" spans="4:10" ht="22.5" customHeight="1" x14ac:dyDescent="0.25">
      <c r="D1973" s="59" t="str">
        <f t="shared" si="151"/>
        <v/>
      </c>
      <c r="E1973" s="59" t="str">
        <f t="shared" si="153"/>
        <v/>
      </c>
      <c r="F1973" s="59" t="str">
        <f t="shared" si="154"/>
        <v/>
      </c>
      <c r="G1973" s="59" t="str">
        <f>IF($A1973="","",
   SUMIFS(Transactions!$P:$P,
          Transactions!$G:$G,$A1973,
          Transactions!$C:$C,"IN",
          Transactions!$Q:$Q,"Paid"))</f>
        <v/>
      </c>
      <c r="H1973" s="59" t="str">
        <f>IF($A1973="","",
   SUMIFS(Transactions!$P:$P,
          Transactions!$G:$G,$A1973,
          Transactions!$C:$C,"OUT"))</f>
        <v/>
      </c>
      <c r="I1973" s="65" t="str">
        <f t="shared" si="152"/>
        <v/>
      </c>
      <c r="J1973" s="59" t="str">
        <f t="shared" si="155"/>
        <v/>
      </c>
    </row>
    <row r="1974" spans="4:10" ht="22.5" customHeight="1" x14ac:dyDescent="0.25">
      <c r="D1974" s="59" t="str">
        <f t="shared" si="151"/>
        <v/>
      </c>
      <c r="E1974" s="59" t="str">
        <f t="shared" si="153"/>
        <v/>
      </c>
      <c r="F1974" s="59" t="str">
        <f t="shared" si="154"/>
        <v/>
      </c>
      <c r="G1974" s="59" t="str">
        <f>IF($A1974="","",
   SUMIFS(Transactions!$P:$P,
          Transactions!$G:$G,$A1974,
          Transactions!$C:$C,"IN",
          Transactions!$Q:$Q,"Paid"))</f>
        <v/>
      </c>
      <c r="H1974" s="59" t="str">
        <f>IF($A1974="","",
   SUMIFS(Transactions!$P:$P,
          Transactions!$G:$G,$A1974,
          Transactions!$C:$C,"OUT"))</f>
        <v/>
      </c>
      <c r="I1974" s="65" t="str">
        <f t="shared" si="152"/>
        <v/>
      </c>
      <c r="J1974" s="59" t="str">
        <f t="shared" si="155"/>
        <v/>
      </c>
    </row>
    <row r="1975" spans="4:10" ht="22.5" customHeight="1" x14ac:dyDescent="0.25">
      <c r="D1975" s="59" t="str">
        <f t="shared" si="151"/>
        <v/>
      </c>
      <c r="E1975" s="59" t="str">
        <f t="shared" si="153"/>
        <v/>
      </c>
      <c r="F1975" s="59" t="str">
        <f t="shared" si="154"/>
        <v/>
      </c>
      <c r="G1975" s="59" t="str">
        <f>IF($A1975="","",
   SUMIFS(Transactions!$P:$P,
          Transactions!$G:$G,$A1975,
          Transactions!$C:$C,"IN",
          Transactions!$Q:$Q,"Paid"))</f>
        <v/>
      </c>
      <c r="H1975" s="59" t="str">
        <f>IF($A1975="","",
   SUMIFS(Transactions!$P:$P,
          Transactions!$G:$G,$A1975,
          Transactions!$C:$C,"OUT"))</f>
        <v/>
      </c>
      <c r="I1975" s="65" t="str">
        <f t="shared" si="152"/>
        <v/>
      </c>
      <c r="J1975" s="59" t="str">
        <f t="shared" si="155"/>
        <v/>
      </c>
    </row>
    <row r="1976" spans="4:10" ht="22.5" customHeight="1" x14ac:dyDescent="0.25">
      <c r="D1976" s="59" t="str">
        <f t="shared" si="151"/>
        <v/>
      </c>
      <c r="E1976" s="59" t="str">
        <f t="shared" si="153"/>
        <v/>
      </c>
      <c r="F1976" s="59" t="str">
        <f t="shared" si="154"/>
        <v/>
      </c>
      <c r="G1976" s="59" t="str">
        <f>IF($A1976="","",
   SUMIFS(Transactions!$P:$P,
          Transactions!$G:$G,$A1976,
          Transactions!$C:$C,"IN",
          Transactions!$Q:$Q,"Paid"))</f>
        <v/>
      </c>
      <c r="H1976" s="59" t="str">
        <f>IF($A1976="","",
   SUMIFS(Transactions!$P:$P,
          Transactions!$G:$G,$A1976,
          Transactions!$C:$C,"OUT"))</f>
        <v/>
      </c>
      <c r="I1976" s="65" t="str">
        <f t="shared" si="152"/>
        <v/>
      </c>
      <c r="J1976" s="59" t="str">
        <f t="shared" si="155"/>
        <v/>
      </c>
    </row>
    <row r="1977" spans="4:10" ht="22.5" customHeight="1" x14ac:dyDescent="0.25">
      <c r="D1977" s="59" t="str">
        <f t="shared" si="151"/>
        <v/>
      </c>
      <c r="E1977" s="59" t="str">
        <f t="shared" si="153"/>
        <v/>
      </c>
      <c r="F1977" s="59" t="str">
        <f t="shared" si="154"/>
        <v/>
      </c>
      <c r="G1977" s="59" t="str">
        <f>IF($A1977="","",
   SUMIFS(Transactions!$P:$P,
          Transactions!$G:$G,$A1977,
          Transactions!$C:$C,"IN",
          Transactions!$Q:$Q,"Paid"))</f>
        <v/>
      </c>
      <c r="H1977" s="59" t="str">
        <f>IF($A1977="","",
   SUMIFS(Transactions!$P:$P,
          Transactions!$G:$G,$A1977,
          Transactions!$C:$C,"OUT"))</f>
        <v/>
      </c>
      <c r="I1977" s="65" t="str">
        <f t="shared" si="152"/>
        <v/>
      </c>
      <c r="J1977" s="59" t="str">
        <f t="shared" si="155"/>
        <v/>
      </c>
    </row>
    <row r="1978" spans="4:10" ht="22.5" customHeight="1" x14ac:dyDescent="0.25">
      <c r="D1978" s="59" t="str">
        <f t="shared" si="151"/>
        <v/>
      </c>
      <c r="E1978" s="59" t="str">
        <f t="shared" si="153"/>
        <v/>
      </c>
      <c r="F1978" s="59" t="str">
        <f t="shared" si="154"/>
        <v/>
      </c>
      <c r="G1978" s="59" t="str">
        <f>IF($A1978="","",
   SUMIFS(Transactions!$P:$P,
          Transactions!$G:$G,$A1978,
          Transactions!$C:$C,"IN",
          Transactions!$Q:$Q,"Paid"))</f>
        <v/>
      </c>
      <c r="H1978" s="59" t="str">
        <f>IF($A1978="","",
   SUMIFS(Transactions!$P:$P,
          Transactions!$G:$G,$A1978,
          Transactions!$C:$C,"OUT"))</f>
        <v/>
      </c>
      <c r="I1978" s="65" t="str">
        <f t="shared" si="152"/>
        <v/>
      </c>
      <c r="J1978" s="59" t="str">
        <f t="shared" si="155"/>
        <v/>
      </c>
    </row>
    <row r="1979" spans="4:10" ht="22.5" customHeight="1" x14ac:dyDescent="0.25">
      <c r="D1979" s="59" t="str">
        <f t="shared" si="151"/>
        <v/>
      </c>
      <c r="E1979" s="59" t="str">
        <f t="shared" si="153"/>
        <v/>
      </c>
      <c r="F1979" s="59" t="str">
        <f t="shared" si="154"/>
        <v/>
      </c>
      <c r="G1979" s="59" t="str">
        <f>IF($A1979="","",
   SUMIFS(Transactions!$P:$P,
          Transactions!$G:$G,$A1979,
          Transactions!$C:$C,"IN",
          Transactions!$Q:$Q,"Paid"))</f>
        <v/>
      </c>
      <c r="H1979" s="59" t="str">
        <f>IF($A1979="","",
   SUMIFS(Transactions!$P:$P,
          Transactions!$G:$G,$A1979,
          Transactions!$C:$C,"OUT"))</f>
        <v/>
      </c>
      <c r="I1979" s="65" t="str">
        <f t="shared" si="152"/>
        <v/>
      </c>
      <c r="J1979" s="59" t="str">
        <f t="shared" si="155"/>
        <v/>
      </c>
    </row>
    <row r="1980" spans="4:10" ht="22.5" customHeight="1" x14ac:dyDescent="0.25">
      <c r="D1980" s="59" t="str">
        <f t="shared" si="151"/>
        <v/>
      </c>
      <c r="E1980" s="59" t="str">
        <f t="shared" si="153"/>
        <v/>
      </c>
      <c r="F1980" s="59" t="str">
        <f t="shared" si="154"/>
        <v/>
      </c>
      <c r="G1980" s="59" t="str">
        <f>IF($A1980="","",
   SUMIFS(Transactions!$P:$P,
          Transactions!$G:$G,$A1980,
          Transactions!$C:$C,"IN",
          Transactions!$Q:$Q,"Paid"))</f>
        <v/>
      </c>
      <c r="H1980" s="59" t="str">
        <f>IF($A1980="","",
   SUMIFS(Transactions!$P:$P,
          Transactions!$G:$G,$A1980,
          Transactions!$C:$C,"OUT"))</f>
        <v/>
      </c>
      <c r="I1980" s="65" t="str">
        <f t="shared" si="152"/>
        <v/>
      </c>
      <c r="J1980" s="59" t="str">
        <f t="shared" si="155"/>
        <v/>
      </c>
    </row>
    <row r="1981" spans="4:10" ht="22.5" customHeight="1" x14ac:dyDescent="0.25">
      <c r="D1981" s="59" t="str">
        <f t="shared" si="151"/>
        <v/>
      </c>
      <c r="E1981" s="59" t="str">
        <f t="shared" si="153"/>
        <v/>
      </c>
      <c r="F1981" s="59" t="str">
        <f t="shared" si="154"/>
        <v/>
      </c>
      <c r="G1981" s="59" t="str">
        <f>IF($A1981="","",
   SUMIFS(Transactions!$P:$P,
          Transactions!$G:$G,$A1981,
          Transactions!$C:$C,"IN",
          Transactions!$Q:$Q,"Paid"))</f>
        <v/>
      </c>
      <c r="H1981" s="59" t="str">
        <f>IF($A1981="","",
   SUMIFS(Transactions!$P:$P,
          Transactions!$G:$G,$A1981,
          Transactions!$C:$C,"OUT"))</f>
        <v/>
      </c>
      <c r="I1981" s="65" t="str">
        <f t="shared" si="152"/>
        <v/>
      </c>
      <c r="J1981" s="59" t="str">
        <f t="shared" si="155"/>
        <v/>
      </c>
    </row>
    <row r="1982" spans="4:10" ht="22.5" customHeight="1" x14ac:dyDescent="0.25">
      <c r="D1982" s="59" t="str">
        <f t="shared" si="151"/>
        <v/>
      </c>
      <c r="E1982" s="59" t="str">
        <f t="shared" si="153"/>
        <v/>
      </c>
      <c r="F1982" s="59" t="str">
        <f t="shared" si="154"/>
        <v/>
      </c>
      <c r="G1982" s="59" t="str">
        <f>IF($A1982="","",
   SUMIFS(Transactions!$P:$P,
          Transactions!$G:$G,$A1982,
          Transactions!$C:$C,"IN",
          Transactions!$Q:$Q,"Paid"))</f>
        <v/>
      </c>
      <c r="H1982" s="59" t="str">
        <f>IF($A1982="","",
   SUMIFS(Transactions!$P:$P,
          Transactions!$G:$G,$A1982,
          Transactions!$C:$C,"OUT"))</f>
        <v/>
      </c>
      <c r="I1982" s="65" t="str">
        <f t="shared" si="152"/>
        <v/>
      </c>
      <c r="J1982" s="59" t="str">
        <f t="shared" si="155"/>
        <v/>
      </c>
    </row>
    <row r="1983" spans="4:10" ht="22.5" customHeight="1" x14ac:dyDescent="0.25">
      <c r="D1983" s="59" t="str">
        <f t="shared" si="151"/>
        <v/>
      </c>
      <c r="E1983" s="59" t="str">
        <f t="shared" si="153"/>
        <v/>
      </c>
      <c r="F1983" s="59" t="str">
        <f t="shared" si="154"/>
        <v/>
      </c>
      <c r="G1983" s="59" t="str">
        <f>IF($A1983="","",
   SUMIFS(Transactions!$P:$P,
          Transactions!$G:$G,$A1983,
          Transactions!$C:$C,"IN",
          Transactions!$Q:$Q,"Paid"))</f>
        <v/>
      </c>
      <c r="H1983" s="59" t="str">
        <f>IF($A1983="","",
   SUMIFS(Transactions!$P:$P,
          Transactions!$G:$G,$A1983,
          Transactions!$C:$C,"OUT"))</f>
        <v/>
      </c>
      <c r="I1983" s="65" t="str">
        <f t="shared" si="152"/>
        <v/>
      </c>
      <c r="J1983" s="59" t="str">
        <f t="shared" si="155"/>
        <v/>
      </c>
    </row>
    <row r="1984" spans="4:10" ht="22.5" customHeight="1" x14ac:dyDescent="0.25">
      <c r="D1984" s="59" t="str">
        <f t="shared" si="151"/>
        <v/>
      </c>
      <c r="E1984" s="59" t="str">
        <f t="shared" si="153"/>
        <v/>
      </c>
      <c r="F1984" s="59" t="str">
        <f t="shared" si="154"/>
        <v/>
      </c>
      <c r="G1984" s="59" t="str">
        <f>IF($A1984="","",
   SUMIFS(Transactions!$P:$P,
          Transactions!$G:$G,$A1984,
          Transactions!$C:$C,"IN",
          Transactions!$Q:$Q,"Paid"))</f>
        <v/>
      </c>
      <c r="H1984" s="59" t="str">
        <f>IF($A1984="","",
   SUMIFS(Transactions!$P:$P,
          Transactions!$G:$G,$A1984,
          Transactions!$C:$C,"OUT"))</f>
        <v/>
      </c>
      <c r="I1984" s="65" t="str">
        <f t="shared" si="152"/>
        <v/>
      </c>
      <c r="J1984" s="59" t="str">
        <f t="shared" si="155"/>
        <v/>
      </c>
    </row>
    <row r="1985" spans="4:10" ht="22.5" customHeight="1" x14ac:dyDescent="0.25">
      <c r="D1985" s="59" t="str">
        <f t="shared" si="151"/>
        <v/>
      </c>
      <c r="E1985" s="59" t="str">
        <f t="shared" si="153"/>
        <v/>
      </c>
      <c r="F1985" s="59" t="str">
        <f t="shared" si="154"/>
        <v/>
      </c>
      <c r="G1985" s="59" t="str">
        <f>IF($A1985="","",
   SUMIFS(Transactions!$P:$P,
          Transactions!$G:$G,$A1985,
          Transactions!$C:$C,"IN",
          Transactions!$Q:$Q,"Paid"))</f>
        <v/>
      </c>
      <c r="H1985" s="59" t="str">
        <f>IF($A1985="","",
   SUMIFS(Transactions!$P:$P,
          Transactions!$G:$G,$A1985,
          Transactions!$C:$C,"OUT"))</f>
        <v/>
      </c>
      <c r="I1985" s="65" t="str">
        <f t="shared" si="152"/>
        <v/>
      </c>
      <c r="J1985" s="59" t="str">
        <f t="shared" si="155"/>
        <v/>
      </c>
    </row>
    <row r="1986" spans="4:10" ht="22.5" customHeight="1" x14ac:dyDescent="0.25">
      <c r="D1986" s="59" t="str">
        <f t="shared" si="151"/>
        <v/>
      </c>
      <c r="E1986" s="59" t="str">
        <f t="shared" si="153"/>
        <v/>
      </c>
      <c r="F1986" s="59" t="str">
        <f t="shared" si="154"/>
        <v/>
      </c>
      <c r="G1986" s="59" t="str">
        <f>IF($A1986="","",
   SUMIFS(Transactions!$P:$P,
          Transactions!$G:$G,$A1986,
          Transactions!$C:$C,"IN",
          Transactions!$Q:$Q,"Paid"))</f>
        <v/>
      </c>
      <c r="H1986" s="59" t="str">
        <f>IF($A1986="","",
   SUMIFS(Transactions!$P:$P,
          Transactions!$G:$G,$A1986,
          Transactions!$C:$C,"OUT"))</f>
        <v/>
      </c>
      <c r="I1986" s="65" t="str">
        <f t="shared" si="152"/>
        <v/>
      </c>
      <c r="J1986" s="59" t="str">
        <f t="shared" si="155"/>
        <v/>
      </c>
    </row>
    <row r="1987" spans="4:10" ht="22.5" customHeight="1" x14ac:dyDescent="0.25">
      <c r="D1987" s="59" t="str">
        <f t="shared" ref="D1987:D2000" si="156">IF(C1987="","",ROUND(C1987*0.15,2))</f>
        <v/>
      </c>
      <c r="E1987" s="59" t="str">
        <f t="shared" si="153"/>
        <v/>
      </c>
      <c r="F1987" s="59" t="str">
        <f t="shared" si="154"/>
        <v/>
      </c>
      <c r="G1987" s="59" t="str">
        <f>IF($A1987="","",
   SUMIFS(Transactions!$P:$P,
          Transactions!$G:$G,$A1987,
          Transactions!$C:$C,"IN",
          Transactions!$Q:$Q,"Paid"))</f>
        <v/>
      </c>
      <c r="H1987" s="59" t="str">
        <f>IF($A1987="","",
   SUMIFS(Transactions!$P:$P,
          Transactions!$G:$G,$A1987,
          Transactions!$C:$C,"OUT"))</f>
        <v/>
      </c>
      <c r="I1987" s="65" t="str">
        <f t="shared" ref="I1987:I2000" si="157">IF(C1987="","",C1987-H1987)</f>
        <v/>
      </c>
      <c r="J1987" s="59" t="str">
        <f t="shared" si="155"/>
        <v/>
      </c>
    </row>
    <row r="1988" spans="4:10" ht="22.5" customHeight="1" x14ac:dyDescent="0.25">
      <c r="D1988" s="59" t="str">
        <f t="shared" si="156"/>
        <v/>
      </c>
      <c r="E1988" s="59" t="str">
        <f t="shared" ref="E1988:E2000" si="158">IF(C1988="","",C1988+D1988)</f>
        <v/>
      </c>
      <c r="F1988" s="59" t="str">
        <f t="shared" ref="F1988:F2000" si="159">IF(E1988="","",E1988*0.5)</f>
        <v/>
      </c>
      <c r="G1988" s="59" t="str">
        <f>IF($A1988="","",
   SUMIFS(Transactions!$P:$P,
          Transactions!$G:$G,$A1988,
          Transactions!$C:$C,"IN",
          Transactions!$Q:$Q,"Paid"))</f>
        <v/>
      </c>
      <c r="H1988" s="59" t="str">
        <f>IF($A1988="","",
   SUMIFS(Transactions!$P:$P,
          Transactions!$G:$G,$A1988,
          Transactions!$C:$C,"OUT"))</f>
        <v/>
      </c>
      <c r="I1988" s="65" t="str">
        <f t="shared" si="157"/>
        <v/>
      </c>
      <c r="J1988" s="59" t="str">
        <f t="shared" ref="J1988:J2000" si="160">IF(E1988="","",E1988-G1988)</f>
        <v/>
      </c>
    </row>
    <row r="1989" spans="4:10" ht="22.5" customHeight="1" x14ac:dyDescent="0.25">
      <c r="D1989" s="59" t="str">
        <f t="shared" si="156"/>
        <v/>
      </c>
      <c r="E1989" s="59" t="str">
        <f t="shared" si="158"/>
        <v/>
      </c>
      <c r="F1989" s="59" t="str">
        <f t="shared" si="159"/>
        <v/>
      </c>
      <c r="G1989" s="59" t="str">
        <f>IF($A1989="","",
   SUMIFS(Transactions!$P:$P,
          Transactions!$G:$G,$A1989,
          Transactions!$C:$C,"IN",
          Transactions!$Q:$Q,"Paid"))</f>
        <v/>
      </c>
      <c r="H1989" s="59" t="str">
        <f>IF($A1989="","",
   SUMIFS(Transactions!$P:$P,
          Transactions!$G:$G,$A1989,
          Transactions!$C:$C,"OUT"))</f>
        <v/>
      </c>
      <c r="I1989" s="65" t="str">
        <f t="shared" si="157"/>
        <v/>
      </c>
      <c r="J1989" s="59" t="str">
        <f t="shared" si="160"/>
        <v/>
      </c>
    </row>
    <row r="1990" spans="4:10" ht="22.5" customHeight="1" x14ac:dyDescent="0.25">
      <c r="D1990" s="59" t="str">
        <f t="shared" si="156"/>
        <v/>
      </c>
      <c r="E1990" s="59" t="str">
        <f t="shared" si="158"/>
        <v/>
      </c>
      <c r="F1990" s="59" t="str">
        <f t="shared" si="159"/>
        <v/>
      </c>
      <c r="G1990" s="59" t="str">
        <f>IF($A1990="","",
   SUMIFS(Transactions!$P:$P,
          Transactions!$G:$G,$A1990,
          Transactions!$C:$C,"IN",
          Transactions!$Q:$Q,"Paid"))</f>
        <v/>
      </c>
      <c r="H1990" s="59" t="str">
        <f>IF($A1990="","",
   SUMIFS(Transactions!$P:$P,
          Transactions!$G:$G,$A1990,
          Transactions!$C:$C,"OUT"))</f>
        <v/>
      </c>
      <c r="I1990" s="65" t="str">
        <f t="shared" si="157"/>
        <v/>
      </c>
      <c r="J1990" s="59" t="str">
        <f t="shared" si="160"/>
        <v/>
      </c>
    </row>
    <row r="1991" spans="4:10" ht="22.5" customHeight="1" x14ac:dyDescent="0.25">
      <c r="D1991" s="59" t="str">
        <f t="shared" si="156"/>
        <v/>
      </c>
      <c r="E1991" s="59" t="str">
        <f t="shared" si="158"/>
        <v/>
      </c>
      <c r="F1991" s="59" t="str">
        <f t="shared" si="159"/>
        <v/>
      </c>
      <c r="G1991" s="59" t="str">
        <f>IF($A1991="","",
   SUMIFS(Transactions!$P:$P,
          Transactions!$G:$G,$A1991,
          Transactions!$C:$C,"IN",
          Transactions!$Q:$Q,"Paid"))</f>
        <v/>
      </c>
      <c r="H1991" s="59" t="str">
        <f>IF($A1991="","",
   SUMIFS(Transactions!$P:$P,
          Transactions!$G:$G,$A1991,
          Transactions!$C:$C,"OUT"))</f>
        <v/>
      </c>
      <c r="I1991" s="65" t="str">
        <f t="shared" si="157"/>
        <v/>
      </c>
      <c r="J1991" s="59" t="str">
        <f t="shared" si="160"/>
        <v/>
      </c>
    </row>
    <row r="1992" spans="4:10" ht="22.5" customHeight="1" x14ac:dyDescent="0.25">
      <c r="D1992" s="59" t="str">
        <f t="shared" si="156"/>
        <v/>
      </c>
      <c r="E1992" s="59" t="str">
        <f t="shared" si="158"/>
        <v/>
      </c>
      <c r="F1992" s="59" t="str">
        <f t="shared" si="159"/>
        <v/>
      </c>
      <c r="G1992" s="59" t="str">
        <f>IF($A1992="","",
   SUMIFS(Transactions!$P:$P,
          Transactions!$G:$G,$A1992,
          Transactions!$C:$C,"IN",
          Transactions!$Q:$Q,"Paid"))</f>
        <v/>
      </c>
      <c r="H1992" s="59" t="str">
        <f>IF($A1992="","",
   SUMIFS(Transactions!$P:$P,
          Transactions!$G:$G,$A1992,
          Transactions!$C:$C,"OUT"))</f>
        <v/>
      </c>
      <c r="I1992" s="65" t="str">
        <f t="shared" si="157"/>
        <v/>
      </c>
      <c r="J1992" s="59" t="str">
        <f t="shared" si="160"/>
        <v/>
      </c>
    </row>
    <row r="1993" spans="4:10" ht="22.5" customHeight="1" x14ac:dyDescent="0.25">
      <c r="D1993" s="59" t="str">
        <f t="shared" si="156"/>
        <v/>
      </c>
      <c r="E1993" s="59" t="str">
        <f t="shared" si="158"/>
        <v/>
      </c>
      <c r="F1993" s="59" t="str">
        <f t="shared" si="159"/>
        <v/>
      </c>
      <c r="G1993" s="59" t="str">
        <f>IF($A1993="","",
   SUMIFS(Transactions!$P:$P,
          Transactions!$G:$G,$A1993,
          Transactions!$C:$C,"IN",
          Transactions!$Q:$Q,"Paid"))</f>
        <v/>
      </c>
      <c r="H1993" s="59" t="str">
        <f>IF($A1993="","",
   SUMIFS(Transactions!$P:$P,
          Transactions!$G:$G,$A1993,
          Transactions!$C:$C,"OUT"))</f>
        <v/>
      </c>
      <c r="I1993" s="65" t="str">
        <f t="shared" si="157"/>
        <v/>
      </c>
      <c r="J1993" s="59" t="str">
        <f t="shared" si="160"/>
        <v/>
      </c>
    </row>
    <row r="1994" spans="4:10" ht="22.5" customHeight="1" x14ac:dyDescent="0.25">
      <c r="D1994" s="59" t="str">
        <f t="shared" si="156"/>
        <v/>
      </c>
      <c r="E1994" s="59" t="str">
        <f t="shared" si="158"/>
        <v/>
      </c>
      <c r="F1994" s="59" t="str">
        <f t="shared" si="159"/>
        <v/>
      </c>
      <c r="G1994" s="59" t="str">
        <f>IF($A1994="","",
   SUMIFS(Transactions!$P:$P,
          Transactions!$G:$G,$A1994,
          Transactions!$C:$C,"IN",
          Transactions!$Q:$Q,"Paid"))</f>
        <v/>
      </c>
      <c r="H1994" s="59" t="str">
        <f>IF($A1994="","",
   SUMIFS(Transactions!$P:$P,
          Transactions!$G:$G,$A1994,
          Transactions!$C:$C,"OUT"))</f>
        <v/>
      </c>
      <c r="I1994" s="65" t="str">
        <f t="shared" si="157"/>
        <v/>
      </c>
      <c r="J1994" s="59" t="str">
        <f t="shared" si="160"/>
        <v/>
      </c>
    </row>
    <row r="1995" spans="4:10" ht="22.5" customHeight="1" x14ac:dyDescent="0.25">
      <c r="D1995" s="59" t="str">
        <f t="shared" si="156"/>
        <v/>
      </c>
      <c r="E1995" s="59" t="str">
        <f t="shared" si="158"/>
        <v/>
      </c>
      <c r="F1995" s="59" t="str">
        <f t="shared" si="159"/>
        <v/>
      </c>
      <c r="G1995" s="59" t="str">
        <f>IF($A1995="","",
   SUMIFS(Transactions!$P:$P,
          Transactions!$G:$G,$A1995,
          Transactions!$C:$C,"IN",
          Transactions!$Q:$Q,"Paid"))</f>
        <v/>
      </c>
      <c r="H1995" s="59" t="str">
        <f>IF($A1995="","",
   SUMIFS(Transactions!$P:$P,
          Transactions!$G:$G,$A1995,
          Transactions!$C:$C,"OUT"))</f>
        <v/>
      </c>
      <c r="I1995" s="65" t="str">
        <f t="shared" si="157"/>
        <v/>
      </c>
      <c r="J1995" s="59" t="str">
        <f t="shared" si="160"/>
        <v/>
      </c>
    </row>
    <row r="1996" spans="4:10" ht="22.5" customHeight="1" x14ac:dyDescent="0.25">
      <c r="D1996" s="59" t="str">
        <f t="shared" si="156"/>
        <v/>
      </c>
      <c r="E1996" s="59" t="str">
        <f t="shared" si="158"/>
        <v/>
      </c>
      <c r="F1996" s="59" t="str">
        <f t="shared" si="159"/>
        <v/>
      </c>
      <c r="G1996" s="59" t="str">
        <f>IF($A1996="","",
   SUMIFS(Transactions!$P:$P,
          Transactions!$G:$G,$A1996,
          Transactions!$C:$C,"IN",
          Transactions!$Q:$Q,"Paid"))</f>
        <v/>
      </c>
      <c r="H1996" s="59" t="str">
        <f>IF($A1996="","",
   SUMIFS(Transactions!$P:$P,
          Transactions!$G:$G,$A1996,
          Transactions!$C:$C,"OUT"))</f>
        <v/>
      </c>
      <c r="I1996" s="65" t="str">
        <f t="shared" si="157"/>
        <v/>
      </c>
      <c r="J1996" s="59" t="str">
        <f t="shared" si="160"/>
        <v/>
      </c>
    </row>
    <row r="1997" spans="4:10" ht="22.5" customHeight="1" x14ac:dyDescent="0.25">
      <c r="D1997" s="59" t="str">
        <f t="shared" si="156"/>
        <v/>
      </c>
      <c r="E1997" s="59" t="str">
        <f t="shared" si="158"/>
        <v/>
      </c>
      <c r="F1997" s="59" t="str">
        <f t="shared" si="159"/>
        <v/>
      </c>
      <c r="G1997" s="59" t="str">
        <f>IF($A1997="","",
   SUMIFS(Transactions!$P:$P,
          Transactions!$G:$G,$A1997,
          Transactions!$C:$C,"IN",
          Transactions!$Q:$Q,"Paid"))</f>
        <v/>
      </c>
      <c r="H1997" s="59" t="str">
        <f>IF($A1997="","",
   SUMIFS(Transactions!$P:$P,
          Transactions!$G:$G,$A1997,
          Transactions!$C:$C,"OUT"))</f>
        <v/>
      </c>
      <c r="I1997" s="65" t="str">
        <f t="shared" si="157"/>
        <v/>
      </c>
      <c r="J1997" s="59" t="str">
        <f t="shared" si="160"/>
        <v/>
      </c>
    </row>
    <row r="1998" spans="4:10" ht="22.5" customHeight="1" x14ac:dyDescent="0.25">
      <c r="D1998" s="59" t="str">
        <f t="shared" si="156"/>
        <v/>
      </c>
      <c r="E1998" s="59" t="str">
        <f t="shared" si="158"/>
        <v/>
      </c>
      <c r="F1998" s="59" t="str">
        <f t="shared" si="159"/>
        <v/>
      </c>
      <c r="G1998" s="59" t="str">
        <f>IF($A1998="","",
   SUMIFS(Transactions!$P:$P,
          Transactions!$G:$G,$A1998,
          Transactions!$C:$C,"IN",
          Transactions!$Q:$Q,"Paid"))</f>
        <v/>
      </c>
      <c r="H1998" s="59" t="str">
        <f>IF($A1998="","",
   SUMIFS(Transactions!$P:$P,
          Transactions!$G:$G,$A1998,
          Transactions!$C:$C,"OUT"))</f>
        <v/>
      </c>
      <c r="I1998" s="65" t="str">
        <f t="shared" si="157"/>
        <v/>
      </c>
      <c r="J1998" s="59" t="str">
        <f t="shared" si="160"/>
        <v/>
      </c>
    </row>
    <row r="1999" spans="4:10" ht="22.5" customHeight="1" x14ac:dyDescent="0.25">
      <c r="D1999" s="59" t="str">
        <f t="shared" si="156"/>
        <v/>
      </c>
      <c r="E1999" s="59" t="str">
        <f t="shared" si="158"/>
        <v/>
      </c>
      <c r="F1999" s="59" t="str">
        <f t="shared" si="159"/>
        <v/>
      </c>
      <c r="G1999" s="59" t="str">
        <f>IF($A1999="","",
   SUMIFS(Transactions!$P:$P,
          Transactions!$G:$G,$A1999,
          Transactions!$C:$C,"IN",
          Transactions!$Q:$Q,"Paid"))</f>
        <v/>
      </c>
      <c r="H1999" s="59" t="str">
        <f>IF($A1999="","",
   SUMIFS(Transactions!$P:$P,
          Transactions!$G:$G,$A1999,
          Transactions!$C:$C,"OUT"))</f>
        <v/>
      </c>
      <c r="I1999" s="65" t="str">
        <f t="shared" si="157"/>
        <v/>
      </c>
      <c r="J1999" s="59" t="str">
        <f t="shared" si="160"/>
        <v/>
      </c>
    </row>
    <row r="2000" spans="4:10" ht="22.5" customHeight="1" x14ac:dyDescent="0.25">
      <c r="D2000" s="59" t="str">
        <f t="shared" si="156"/>
        <v/>
      </c>
      <c r="E2000" s="59" t="str">
        <f t="shared" si="158"/>
        <v/>
      </c>
      <c r="F2000" s="59" t="str">
        <f t="shared" si="159"/>
        <v/>
      </c>
      <c r="G2000" s="59" t="str">
        <f>IF($A2000="","",
   SUMIFS(Transactions!$P:$P,
          Transactions!$G:$G,$A2000,
          Transactions!$C:$C,"IN",
          Transactions!$Q:$Q,"Paid"))</f>
        <v/>
      </c>
      <c r="H2000" s="59" t="str">
        <f>IF($A2000="","",
   SUMIFS(Transactions!$P:$P,
          Transactions!$G:$G,$A2000,
          Transactions!$C:$C,"OUT"))</f>
        <v/>
      </c>
      <c r="I2000" s="65" t="str">
        <f t="shared" si="157"/>
        <v/>
      </c>
      <c r="J2000" s="59" t="str">
        <f t="shared" si="160"/>
        <v/>
      </c>
    </row>
  </sheetData>
  <autoFilter ref="A1:J2000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102" workbookViewId="0">
      <selection activeCell="C6" sqref="C6"/>
    </sheetView>
  </sheetViews>
  <sheetFormatPr defaultColWidth="22.140625" defaultRowHeight="15" x14ac:dyDescent="0.25"/>
  <sheetData>
    <row r="1" spans="1:5" s="2" customFormat="1" ht="24.95" customHeigh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9"/>
    </row>
    <row r="2" spans="1:5" x14ac:dyDescent="0.25">
      <c r="A2" s="10" t="s">
        <v>22</v>
      </c>
      <c r="B2" s="10">
        <f>SUMIFS(Transactions!$P:$P,Transactions!$C:$C,"IN",Transactions!$E:$E,$A2)</f>
        <v>418456.20999999996</v>
      </c>
      <c r="C2" s="10">
        <f>SUMIFS(Transactions!$P:$P,Transactions!$C:$C,"OUT",Transactions!$E:$E,$A2)</f>
        <v>434675.71000000014</v>
      </c>
      <c r="D2" s="10">
        <f t="shared" ref="D2:D4" si="0">B2-C2</f>
        <v>-16219.500000000175</v>
      </c>
      <c r="E2" s="10" t="s">
        <v>282</v>
      </c>
    </row>
    <row r="3" spans="1:5" x14ac:dyDescent="0.25">
      <c r="A3" s="10" t="s">
        <v>23</v>
      </c>
      <c r="B3" s="10">
        <f>SUMIFS(Transactions!$P:$P,Transactions!$C:$C,"IN",Transactions!$E:$E,$A3)</f>
        <v>0</v>
      </c>
      <c r="C3" s="10">
        <f>SUMIFS(Transactions!$P:$P,Transactions!$C:$C,"OUT",Transactions!$E:$E,$A3)</f>
        <v>0</v>
      </c>
      <c r="D3" s="10">
        <f t="shared" si="0"/>
        <v>0</v>
      </c>
      <c r="E3" s="10" t="s">
        <v>282</v>
      </c>
    </row>
    <row r="4" spans="1:5" x14ac:dyDescent="0.25">
      <c r="A4" s="10" t="s">
        <v>24</v>
      </c>
      <c r="B4" s="10">
        <f>SUMIFS(Transactions!$P:$P,Transactions!$C:$C,"IN",Transactions!$E:$E,$A4)</f>
        <v>0</v>
      </c>
      <c r="C4" s="10">
        <f>SUMIFS(Transactions!$P:$P,Transactions!$C:$C,"OUT",Transactions!$E:$E,$A4)</f>
        <v>0</v>
      </c>
      <c r="D4" s="10">
        <f t="shared" si="0"/>
        <v>0</v>
      </c>
      <c r="E4" s="10" t="s">
        <v>158</v>
      </c>
    </row>
    <row r="5" spans="1:5" x14ac:dyDescent="0.25">
      <c r="A5" s="10" t="s">
        <v>25</v>
      </c>
      <c r="B5" s="10">
        <f>SUMIFS(Transactions!$D:$D, Transactions!$F:$F, "Owner Drawings", Transactions!$C:$C, "IN")</f>
        <v>0</v>
      </c>
      <c r="C5" s="10">
        <f>SUMIFS(Transactions!$D:$D, Transactions!$F:$F, "Owner Drawings", Transactions!$C:$C, "OUT")</f>
        <v>35145</v>
      </c>
      <c r="D5" s="10">
        <f>B5 - C5</f>
        <v>-35145</v>
      </c>
      <c r="E5" s="10" t="s">
        <v>158</v>
      </c>
    </row>
    <row r="6" spans="1:5" x14ac:dyDescent="0.25">
      <c r="A6" s="17" t="s">
        <v>26</v>
      </c>
      <c r="B6" s="17">
        <f>SUMIFS(Transactions!$D:$D, Transactions!$E:$E, "Accounts Receivable", Transactions!$C:$C, "IN")</f>
        <v>30052.5</v>
      </c>
      <c r="C6" s="17">
        <f>SUMIFS(Transactions!$D:$D, Transactions!$E:$E, "Accounts Receivable", Transactions!$C:$C, "OUT")</f>
        <v>17952.5</v>
      </c>
      <c r="D6" s="17">
        <f>B6 - C6</f>
        <v>12100</v>
      </c>
      <c r="E6" s="17" t="s">
        <v>158</v>
      </c>
    </row>
    <row r="7" spans="1:5" x14ac:dyDescent="0.25">
      <c r="A7" s="16" t="s">
        <v>27</v>
      </c>
      <c r="B7" s="16">
        <f>SUMIFS(Transactions!$D:$D, Transactions!$E:$E, "Accounts Payable", Transactions!$C:$C, "IN")</f>
        <v>3134.79</v>
      </c>
      <c r="C7" s="16">
        <f>SUMIFS(Transactions!$D:$D, Transactions!$E:$E, "Accounts Payable", Transactions!$C:$C, "OUT")</f>
        <v>8734.7900000000009</v>
      </c>
      <c r="D7" s="16">
        <f>B7-C7</f>
        <v>-5600.0000000000009</v>
      </c>
      <c r="E7" s="16" t="s">
        <v>158</v>
      </c>
    </row>
    <row r="8" spans="1:5" x14ac:dyDescent="0.25">
      <c r="A8" s="16" t="s">
        <v>28</v>
      </c>
      <c r="B8" s="16">
        <f>SUMIFS(Transactions!$D:$D, Transactions!$E:$E, "Employee Payable", Transactions!$C:$C, "IN")</f>
        <v>0</v>
      </c>
      <c r="C8" s="16">
        <f>SUMIFS(Transactions!$D:$D, Transactions!$E:$E, "Employee Payable", Transactions!$C:$C, "OUT")</f>
        <v>0</v>
      </c>
      <c r="D8" s="16">
        <f>B8 - C8</f>
        <v>0</v>
      </c>
      <c r="E8" s="16" t="s">
        <v>158</v>
      </c>
    </row>
    <row r="9" spans="1:5" x14ac:dyDescent="0.25">
      <c r="A9" s="17" t="s">
        <v>29</v>
      </c>
      <c r="B9" s="17">
        <f>SUMIFS(Transactions!$D:$D, Transactions!$E:$E, "Employee Advance", Transactions!$C:$C, "IN")</f>
        <v>0</v>
      </c>
      <c r="C9" s="17">
        <f>SUMIFS(Transactions!$D:$D, Transactions!$E:$E, "Employee Advance", Transactions!$C:$C, "OUT")</f>
        <v>17486</v>
      </c>
      <c r="D9" s="17">
        <f>B9-C9</f>
        <v>-17486</v>
      </c>
      <c r="E9" s="17" t="s">
        <v>158</v>
      </c>
    </row>
    <row r="10" spans="1:5" x14ac:dyDescent="0.25">
      <c r="A10" s="10"/>
      <c r="B10" s="10"/>
      <c r="C10" s="10"/>
      <c r="D10" s="10"/>
      <c r="E10" s="10"/>
    </row>
  </sheetData>
  <autoFilter ref="A1:D1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E7" sqref="E7"/>
    </sheetView>
  </sheetViews>
  <sheetFormatPr defaultColWidth="20.7109375" defaultRowHeight="22.5" customHeight="1" x14ac:dyDescent="0.25"/>
  <cols>
    <col min="1" max="4" width="20.7109375" style="10"/>
    <col min="5" max="5" width="25.7109375" style="10" customWidth="1"/>
    <col min="6" max="16384" width="20.7109375" style="10"/>
  </cols>
  <sheetData>
    <row r="1" spans="1:7" s="9" customFormat="1" ht="24.95" customHeigh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ht="22.5" customHeight="1" x14ac:dyDescent="0.25">
      <c r="A2" s="10">
        <v>11</v>
      </c>
      <c r="B2" s="10">
        <v>2025</v>
      </c>
      <c r="C2" s="10">
        <f>IF(OR($A2="",$B2=""),"",
   SUMIFS(Transactions!$D:$D,
          Transactions!$C:$C,"IN",
          Transactions!$L:$L,"Client",
          Transactions!$Q:$Q,"*Paid*",
          Transactions!$A:$A,"&gt;="&amp;DATE($B2,$A2,1),
          Transactions!$A:$A,"&lt;"&amp;EDATE(DATE($B2,$A2,1),1)
   )
)</f>
        <v>40425</v>
      </c>
      <c r="D2" s="10">
        <f>IF(OR($A2="",$B2=""),"",
   SUMIFS(Transactions!$O:$O,
          Transactions!$C:$C,"IN",
          Transactions!$L:$L,"Client",
          Transactions!$Q:$Q,"*Paid*",
          Transactions!$A:$A,"&gt;="&amp;DATE($B2,$A2,1),
          Transactions!$A:$A,"&lt;"&amp;EDATE(DATE($B2,$A2,1),1)
   )
)</f>
        <v>4950</v>
      </c>
      <c r="E2" s="10">
        <f>SUMIFS(
  Transactions!$D:$D,
  Transactions!$C:$C,"OUT",
  Transactions!$E:$E,"Cash",
  Transactions!$A:$A,"&gt;=" &amp; DATE($B2,$A2,1),
  Transactions!$A:$A,"&lt;" &amp; DATE($B2,$A2+1,1)
)</f>
        <v>30410.050000000003</v>
      </c>
      <c r="F2" s="10">
        <f>SUMIFS(
  Transactions!$O:$O,
  Transactions!$C:$C,"OUT",
  Transactions!$E:$E,"Cash",
  Transactions!$A:$A,"&gt;=" &amp; DATE($B2,$A2,1),
  Transactions!$A:$A,"&lt;" &amp; DATE($B2,$A2+1,1)
)</f>
        <v>2824.1099999999992</v>
      </c>
      <c r="G2" s="10">
        <f>IF(OR(D2="",F2=""),"",D2-F2)</f>
        <v>2125.8900000000008</v>
      </c>
    </row>
    <row r="3" spans="1:7" ht="22.5" customHeight="1" x14ac:dyDescent="0.25">
      <c r="A3" s="10">
        <v>12</v>
      </c>
      <c r="B3" s="10">
        <v>2025</v>
      </c>
      <c r="C3" s="10">
        <f>IF(OR($A3="",$B3=""),"",
   SUMIFS(Transactions!$D:$D,
          Transactions!$C:$C,"IN",
          Transactions!$L:$L,"Client",
          Transactions!$Q:$Q,"*Paid*",
          Transactions!$A:$A,"&gt;="&amp;DATE($B3,$A3,1),
          Transactions!$A:$A,"&lt;"&amp;EDATE(DATE($B3,$A3,1),1)
   )
)</f>
        <v>67827.5</v>
      </c>
      <c r="D3" s="10">
        <f>IF(OR($A3="",$B3=""),"",
   SUMIFS(Transactions!$O:$O,
          Transactions!$C:$C,"IN",
          Transactions!$L:$L,"Client",
          Transactions!$Q:$Q,"*Paid*",
          Transactions!$A:$A,"&gt;="&amp;DATE($B3,$A3,1),
          Transactions!$A:$A,"&lt;"&amp;EDATE(DATE($B3,$A3,1),1)
   )
)</f>
        <v>6476.25</v>
      </c>
      <c r="E3" s="10">
        <f>SUMIFS(
  Transactions!$D:$D,
  Transactions!$C:$C,"OUT",
  Transactions!$E:$E,"Cash",
  Transactions!$A:$A,"&gt;=" &amp; DATE($B3,$A3,1),
  Transactions!$A:$A,"&lt;" &amp; DATE($B3,$A3+1,1)
)</f>
        <v>76881.279999999984</v>
      </c>
      <c r="F3" s="10">
        <f>SUMIFS(
  Transactions!$O:$O,
  Transactions!$C:$C,"OUT",
  Transactions!$E:$E,"Cash",
  Transactions!$A:$A,"&gt;=" &amp; DATE($B3,$A3,1),
  Transactions!$A:$A,"&lt;" &amp; DATE($B3,$A3+1,1)
)</f>
        <v>3566.2500000000005</v>
      </c>
      <c r="G3" s="10">
        <f>IF(OR(D3="",F3=""),"",D3-F3)</f>
        <v>2909.9999999999995</v>
      </c>
    </row>
    <row r="4" spans="1:7" ht="22.5" customHeight="1" x14ac:dyDescent="0.25">
      <c r="A4" s="10">
        <v>1</v>
      </c>
      <c r="B4" s="10">
        <v>2026</v>
      </c>
      <c r="C4" s="10">
        <f>IF(OR($A4="",$B4=""),"",
   SUMIFS(Transactions!$D:$D,
          Transactions!$C:$C,"IN",
          Transactions!$L:$L,"Client",
          Transactions!$Q:$Q,"*Paid*",
          Transactions!$A:$A,"&gt;="&amp;DATE($B4,$A4,1),
          Transactions!$A:$A,"&lt;"&amp;EDATE(DATE($B4,$A4,1),1)
   )
)</f>
        <v>63389.57</v>
      </c>
      <c r="D4" s="10">
        <f>IF(OR($A4="",$B4=""),"",
   SUMIFS(Transactions!$O:$O,
          Transactions!$C:$C,"IN",
          Transactions!$L:$L,"Client",
          Transactions!$Q:$Q,"*Paid*",
          Transactions!$A:$A,"&gt;="&amp;DATE($B4,$A4,1),
          Transactions!$A:$A,"&lt;"&amp;EDATE(DATE($B4,$A4,1),1)
   )
)</f>
        <v>9283.4399999999987</v>
      </c>
      <c r="E4" s="10">
        <f>SUMIFS(
  Transactions!$D:$D,
  Transactions!$C:$C,"OUT",
  Transactions!$E:$E,"Cash",
  Transactions!$A:$A,"&gt;=" &amp; DATE($B4,$A4,1),
  Transactions!$A:$A,"&lt;" &amp; DATE($B4,$A4+1,1)
)</f>
        <v>57420.58</v>
      </c>
      <c r="F4" s="10">
        <f>SUMIFS(
  Transactions!$O:$O,
  Transactions!$C:$C,"OUT",
  Transactions!$E:$E,"Cash",
  Transactions!$A:$A,"&gt;=" &amp; DATE($B4,$A4,1),
  Transactions!$A:$A,"&lt;" &amp; DATE($B4,$A4+1,1)
)</f>
        <v>1507.8899999999999</v>
      </c>
      <c r="G4" s="10">
        <f>IF(OR(D4="",F4=""),"",D4-F4)</f>
        <v>7775.5499999999993</v>
      </c>
    </row>
    <row r="5" spans="1:7" ht="22.5" customHeight="1" x14ac:dyDescent="0.25">
      <c r="A5" s="10">
        <v>2</v>
      </c>
      <c r="B5" s="10">
        <v>2026</v>
      </c>
      <c r="C5" s="10">
        <f>IF(OR($A5="",$B5=""),"",
   SUMIFS(Transactions!$D:$D,
          Transactions!$C:$C,"IN",
          Transactions!$L:$L,"Client",
          Transactions!$Q:$Q,"*Paid*",
          Transactions!$A:$A,"&gt;="&amp;DATE($B5,$A5,1),
          Transactions!$A:$A,"&lt;"&amp;EDATE(DATE($B5,$A5,1),1)
   )
)</f>
        <v>115500</v>
      </c>
      <c r="D5" s="10">
        <f>IF(OR($A5="",$B5=""),"",
   SUMIFS(Transactions!$O:$O,
          Transactions!$C:$C,"IN",
          Transactions!$L:$L,"Client",
          Transactions!$Q:$Q,"*Paid*",
          Transactions!$A:$A,"&gt;="&amp;DATE($B5,$A5,1),
          Transactions!$A:$A,"&lt;"&amp;EDATE(DATE($B5,$A5,1),1)
   )
)</f>
        <v>17325</v>
      </c>
      <c r="E5" s="10">
        <f>SUMIFS(
  Transactions!$D:$D,
  Transactions!$C:$C,"OUT",
  Transactions!$E:$E,"Cash",
  Transactions!$A:$A,"&gt;=" &amp; DATE($B5,$A5,1),
  Transactions!$A:$A,"&lt;" &amp; DATE($B5,$A5+1,1)
)</f>
        <v>114889.18000000007</v>
      </c>
      <c r="F5" s="10">
        <f>SUMIFS(
  Transactions!$O:$O,
  Transactions!$C:$C,"OUT",
  Transactions!$E:$E,"Cash",
  Transactions!$A:$A,"&gt;=" &amp; DATE($B5,$A5,1),
  Transactions!$A:$A,"&lt;" &amp; DATE($B5,$A5+1,1)
)</f>
        <v>3434.54</v>
      </c>
      <c r="G5" s="10">
        <f t="shared" ref="G5:G16" si="0">IF(OR(D5="",F5=""),"",D5-F5)</f>
        <v>13890.46</v>
      </c>
    </row>
    <row r="6" spans="1:7" ht="22.5" customHeight="1" x14ac:dyDescent="0.25">
      <c r="A6" s="10">
        <v>3</v>
      </c>
      <c r="B6" s="10">
        <v>2026</v>
      </c>
      <c r="C6" s="10">
        <f>IF(OR($A6="",$B6=""),"",
   SUMIFS(Transactions!$D:$D,
          Transactions!$C:$C,"IN",
          Transactions!$L:$L,"Client",
          Transactions!$Q:$Q,"*Paid*",
          Transactions!$A:$A,"&gt;="&amp;DATE($B6,$A6,1),
          Transactions!$A:$A,"&lt;"&amp;EDATE(DATE($B6,$A6,1),1)
   )
)</f>
        <v>83448</v>
      </c>
      <c r="D6" s="10">
        <f>IF(OR($A6="",$B6=""),"",
   SUMIFS(Transactions!$O:$O,
          Transactions!$C:$C,"IN",
          Transactions!$L:$L,"Client",
          Transactions!$Q:$Q,"*Paid*",
          Transactions!$A:$A,"&gt;="&amp;DATE($B6,$A6,1),
          Transactions!$A:$A,"&lt;"&amp;EDATE(DATE($B6,$A6,1),1)
   )
)</f>
        <v>9831.4500000000007</v>
      </c>
      <c r="E6" s="10">
        <f>SUMIFS(
  Transactions!$D:$D,
  Transactions!$C:$C,"OUT",
  Transactions!$E:$E,"Cash",
  Transactions!$A:$A,"&gt;=" &amp; DATE($B6,$A6,1),
  Transactions!$A:$A,"&lt;" &amp; DATE($B6,$A6+1,1)
)</f>
        <v>129469.78000000001</v>
      </c>
      <c r="F6" s="10">
        <f>SUMIFS(
  Transactions!$O:$O,
  Transactions!$C:$C,"OUT",
  Transactions!$E:$E,"Cash",
  Transactions!$A:$A,"&gt;=" &amp; DATE($B6,$A6,1),
  Transactions!$A:$A,"&lt;" &amp; DATE($B6,$A6+1,1)
)</f>
        <v>4892.2499999999991</v>
      </c>
      <c r="G6" s="10">
        <f t="shared" si="0"/>
        <v>4939.2000000000016</v>
      </c>
    </row>
    <row r="7" spans="1:7" ht="22.5" customHeight="1" x14ac:dyDescent="0.25">
      <c r="C7" s="10" t="str">
        <f>IF(OR($A7="",$B7=""),"",
   SUMIFS(Transactions!$D:$D,
          Transactions!$C:$C,"IN",
          Transactions!$L:$L,"Client",
          Transactions!$Q:$Q,"*Paid*",
          Transactions!$A:$A,"&gt;="&amp;DATE($B7,$A7,1),
          Transactions!$A:$A,"&lt;"&amp;EDATE(DATE($B7,$A7,1),1)
   )
)</f>
        <v/>
      </c>
      <c r="D7" s="10" t="str">
        <f>IF(OR($A7="",$B7=""),"",
   SUMIFS(Transactions!$O:$O,
          Transactions!$C:$C,"IN",
          Transactions!$L:$L,"Client",
          Transactions!$Q:$Q,"*Paid*",
          Transactions!$A:$A,"&gt;="&amp;DATE($B7,$A7,1),
          Transactions!$A:$A,"&lt;"&amp;EDATE(DATE($B7,$A7,1),1)
   )
)</f>
        <v/>
      </c>
      <c r="E7" s="10">
        <f>SUMIFS(
  Transactions!$D:$D,
  Transactions!$C:$C,"OUT",
  Transactions!$E:$E,"Cash",
  Transactions!$A:$A,"&gt;=" &amp; DATE($B7,$A7,1),
  Transactions!$A:$A,"&lt;" &amp; DATE($B7,$A7+1,1)
)</f>
        <v>0</v>
      </c>
      <c r="F7" s="10">
        <f>SUMIFS(
  Transactions!$O:$O,
  Transactions!$C:$C,"OUT",
  Transactions!$E:$E,"Cash",
  Transactions!$A:$A,"&gt;=" &amp; DATE($B7,$A7,1),
  Transactions!$A:$A,"&lt;" &amp; DATE($B7,$A7+1,1)
)</f>
        <v>0</v>
      </c>
      <c r="G7" s="10" t="str">
        <f t="shared" si="0"/>
        <v/>
      </c>
    </row>
    <row r="8" spans="1:7" ht="22.5" customHeight="1" x14ac:dyDescent="0.25">
      <c r="C8" s="10" t="str">
        <f>IF(OR($A8="",$B8=""),"",
   SUMIFS(Transactions!$D:$D,
          Transactions!$C:$C,"IN",
          Transactions!$L:$L,"Client",
          Transactions!$Q:$Q,"*Paid*",
          Transactions!$A:$A,"&gt;="&amp;DATE($B8,$A8,1),
          Transactions!$A:$A,"&lt;"&amp;EDATE(DATE($B8,$A8,1),1)
   )
)</f>
        <v/>
      </c>
      <c r="D8" s="10" t="str">
        <f>IF(OR($A8="",$B8=""),"",
   SUMIFS(Transactions!$O:$O,
          Transactions!$C:$C,"IN",
          Transactions!$L:$L,"Client",
          Transactions!$Q:$Q,"*Paid*",
          Transactions!$A:$A,"&gt;="&amp;DATE($B8,$A8,1),
          Transactions!$A:$A,"&lt;"&amp;EDATE(DATE($B8,$A8,1),1)
   )
)</f>
        <v/>
      </c>
      <c r="E8" s="10">
        <f>SUMIFS(
  Transactions!$D:$D,
  Transactions!$C:$C,"OUT",
  Transactions!$E:$E,"Cash",
  Transactions!$A:$A,"&gt;=" &amp; DATE($B8,$A8,1),
  Transactions!$A:$A,"&lt;" &amp; DATE($B8,$A8+1,1)
)</f>
        <v>0</v>
      </c>
      <c r="F8" s="10">
        <f>SUMIFS(
  Transactions!$O:$O,
  Transactions!$C:$C,"OUT",
  Transactions!$E:$E,"Cash",
  Transactions!$A:$A,"&gt;=" &amp; DATE($B8,$A8,1),
  Transactions!$A:$A,"&lt;" &amp; DATE($B8,$A8+1,1)
)</f>
        <v>0</v>
      </c>
      <c r="G8" s="10" t="str">
        <f t="shared" si="0"/>
        <v/>
      </c>
    </row>
    <row r="9" spans="1:7" ht="22.5" customHeight="1" x14ac:dyDescent="0.25">
      <c r="C9" s="10" t="str">
        <f>IF(OR($A9="",$B9=""),"",
   SUMIFS(Transactions!$D:$D,
          Transactions!$C:$C,"IN",
          Transactions!$L:$L,"Client",
          Transactions!$Q:$Q,"*Paid*",
          Transactions!$A:$A,"&gt;="&amp;DATE($B9,$A9,1),
          Transactions!$A:$A,"&lt;"&amp;EDATE(DATE($B9,$A9,1),1)
   )
)</f>
        <v/>
      </c>
      <c r="D9" s="10" t="str">
        <f>IF(OR($A9="",$B9=""),"",
   SUMIFS(Transactions!$O:$O,
          Transactions!$C:$C,"IN",
          Transactions!$L:$L,"Client",
          Transactions!$Q:$Q,"*Paid*",
          Transactions!$A:$A,"&gt;="&amp;DATE($B9,$A9,1),
          Transactions!$A:$A,"&lt;"&amp;EDATE(DATE($B9,$A9,1),1)
   )
)</f>
        <v/>
      </c>
      <c r="E9" s="10">
        <f>SUMIFS(
  Transactions!$D:$D,
  Transactions!$C:$C,"OUT",
  Transactions!$E:$E,"Cash",
  Transactions!$A:$A,"&gt;=" &amp; DATE($B9,$A9,1),
  Transactions!$A:$A,"&lt;" &amp; DATE($B9,$A9+1,1)
)</f>
        <v>0</v>
      </c>
      <c r="F9" s="10">
        <f>SUMIFS(
  Transactions!$O:$O,
  Transactions!$C:$C,"OUT",
  Transactions!$E:$E,"Cash",
  Transactions!$A:$A,"&gt;=" &amp; DATE($B9,$A9,1),
  Transactions!$A:$A,"&lt;" &amp; DATE($B9,$A9+1,1)
)</f>
        <v>0</v>
      </c>
      <c r="G9" s="10" t="str">
        <f t="shared" si="0"/>
        <v/>
      </c>
    </row>
    <row r="10" spans="1:7" ht="22.5" customHeight="1" x14ac:dyDescent="0.25">
      <c r="C10" s="10" t="str">
        <f>IF(OR($A10="",$B10=""),"",
   SUMIFS(Transactions!$D:$D,
          Transactions!$C:$C,"IN",
          Transactions!$L:$L,"Client",
          Transactions!$Q:$Q,"*Paid*",
          Transactions!$A:$A,"&gt;="&amp;DATE($B10,$A10,1),
          Transactions!$A:$A,"&lt;"&amp;EDATE(DATE($B10,$A10,1),1)
   )
)</f>
        <v/>
      </c>
      <c r="D10" s="10" t="str">
        <f>IF(OR($A10="",$B10=""),"",
   SUMIFS(Transactions!$O:$O,
          Transactions!$C:$C,"IN",
          Transactions!$L:$L,"Client",
          Transactions!$Q:$Q,"*Paid*",
          Transactions!$A:$A,"&gt;="&amp;DATE($B10,$A10,1),
          Transactions!$A:$A,"&lt;"&amp;EDATE(DATE($B10,$A10,1),1)
   )
)</f>
        <v/>
      </c>
      <c r="E10" s="10">
        <f>SUMIFS(
  Transactions!$D:$D,
  Transactions!$C:$C,"OUT",
  Transactions!$E:$E,"Cash",
  Transactions!$A:$A,"&gt;=" &amp; DATE($B10,$A10,1),
  Transactions!$A:$A,"&lt;" &amp; DATE($B10,$A10+1,1)
)</f>
        <v>0</v>
      </c>
      <c r="F10" s="10">
        <f>SUMIFS(
  Transactions!$O:$O,
  Transactions!$C:$C,"OUT",
  Transactions!$E:$E,"Cash",
  Transactions!$A:$A,"&gt;=" &amp; DATE($B10,$A10,1),
  Transactions!$A:$A,"&lt;" &amp; DATE($B10,$A10+1,1)
)</f>
        <v>0</v>
      </c>
      <c r="G10" s="10" t="str">
        <f t="shared" si="0"/>
        <v/>
      </c>
    </row>
    <row r="11" spans="1:7" ht="22.5" customHeight="1" x14ac:dyDescent="0.25">
      <c r="C11" s="10" t="str">
        <f>IF(OR($A11="",$B11=""),"",
   SUMIFS(Transactions!$D:$D,
          Transactions!$C:$C,"IN",
          Transactions!$L:$L,"Client",
          Transactions!$Q:$Q,"*Paid*",
          Transactions!$A:$A,"&gt;="&amp;DATE($B11,$A11,1),
          Transactions!$A:$A,"&lt;"&amp;EDATE(DATE($B11,$A11,1),1)
   )
)</f>
        <v/>
      </c>
      <c r="D11" s="10" t="str">
        <f>IF(OR($A11="",$B11=""),"",
   SUMIFS(Transactions!$O:$O,
          Transactions!$C:$C,"IN",
          Transactions!$L:$L,"Client",
          Transactions!$Q:$Q,"*Paid*",
          Transactions!$A:$A,"&gt;="&amp;DATE($B11,$A11,1),
          Transactions!$A:$A,"&lt;"&amp;EDATE(DATE($B11,$A11,1),1)
   )
)</f>
        <v/>
      </c>
      <c r="E11" s="10">
        <f>SUMIFS(
  Transactions!$D:$D,
  Transactions!$C:$C,"OUT",
  Transactions!$E:$E,"Cash",
  Transactions!$A:$A,"&gt;=" &amp; DATE($B11,$A11,1),
  Transactions!$A:$A,"&lt;" &amp; DATE($B11,$A11+1,1)
)</f>
        <v>0</v>
      </c>
      <c r="F11" s="10">
        <f>SUMIFS(
  Transactions!$O:$O,
  Transactions!$C:$C,"OUT",
  Transactions!$E:$E,"Cash",
  Transactions!$A:$A,"&gt;=" &amp; DATE($B11,$A11,1),
  Transactions!$A:$A,"&lt;" &amp; DATE($B11,$A11+1,1)
)</f>
        <v>0</v>
      </c>
      <c r="G11" s="10" t="str">
        <f t="shared" si="0"/>
        <v/>
      </c>
    </row>
    <row r="12" spans="1:7" ht="22.5" customHeight="1" x14ac:dyDescent="0.25">
      <c r="C12" s="10" t="str">
        <f>IF(OR($A12="",$B12=""),"",
   SUMIFS(Transactions!$D:$D,
          Transactions!$C:$C,"IN",
          Transactions!$L:$L,"Client",
          Transactions!$Q:$Q,"*Paid*",
          Transactions!$A:$A,"&gt;="&amp;DATE($B12,$A12,1),
          Transactions!$A:$A,"&lt;"&amp;EDATE(DATE($B12,$A12,1),1)
   )
)</f>
        <v/>
      </c>
      <c r="D12" s="10" t="str">
        <f>IF(OR($A12="",$B12=""),"",
   SUMIFS(Transactions!$O:$O,
          Transactions!$C:$C,"IN",
          Transactions!$L:$L,"Client",
          Transactions!$Q:$Q,"*Paid*",
          Transactions!$A:$A,"&gt;="&amp;DATE($B12,$A12,1),
          Transactions!$A:$A,"&lt;"&amp;EDATE(DATE($B12,$A12,1),1)
   )
)</f>
        <v/>
      </c>
      <c r="E12" s="10">
        <f>SUMIFS(
  Transactions!$D:$D,
  Transactions!$C:$C,"OUT",
  Transactions!$E:$E,"Cash",
  Transactions!$A:$A,"&gt;=" &amp; DATE($B12,$A12,1),
  Transactions!$A:$A,"&lt;" &amp; DATE($B12,$A12+1,1)
)</f>
        <v>0</v>
      </c>
      <c r="F12" s="10">
        <f>SUMIFS(
  Transactions!$O:$O,
  Transactions!$C:$C,"OUT",
  Transactions!$E:$E,"Cash",
  Transactions!$A:$A,"&gt;=" &amp; DATE($B12,$A12,1),
  Transactions!$A:$A,"&lt;" &amp; DATE($B12,$A12+1,1)
)</f>
        <v>0</v>
      </c>
      <c r="G12" s="10" t="str">
        <f t="shared" si="0"/>
        <v/>
      </c>
    </row>
    <row r="13" spans="1:7" ht="22.5" customHeight="1" x14ac:dyDescent="0.25">
      <c r="C13" s="10" t="str">
        <f>IF(OR($A13="",$B13=""),"",
   SUMIFS(Transactions!$D:$D,
          Transactions!$C:$C,"IN",
          Transactions!$L:$L,"Client",
          Transactions!$Q:$Q,"*Paid*",
          Transactions!$A:$A,"&gt;="&amp;DATE($B13,$A13,1),
          Transactions!$A:$A,"&lt;"&amp;EDATE(DATE($B13,$A13,1),1)
   )
)</f>
        <v/>
      </c>
      <c r="D13" s="10" t="str">
        <f>IF(OR($A13="",$B13=""),"",
   SUMIFS(Transactions!$O:$O,
          Transactions!$C:$C,"IN",
          Transactions!$L:$L,"Client",
          Transactions!$Q:$Q,"*Paid*",
          Transactions!$A:$A,"&gt;="&amp;DATE($B13,$A13,1),
          Transactions!$A:$A,"&lt;"&amp;EDATE(DATE($B13,$A13,1),1)
   )
)</f>
        <v/>
      </c>
      <c r="E13" s="10">
        <f>SUMIFS(
  Transactions!$D:$D,
  Transactions!$C:$C,"OUT",
  Transactions!$E:$E,"Cash",
  Transactions!$A:$A,"&gt;=" &amp; DATE($B13,$A13,1),
  Transactions!$A:$A,"&lt;" &amp; DATE($B13,$A13+1,1)
)</f>
        <v>0</v>
      </c>
      <c r="F13" s="10">
        <f>SUMIFS(
  Transactions!$O:$O,
  Transactions!$C:$C,"OUT",
  Transactions!$E:$E,"Cash",
  Transactions!$A:$A,"&gt;=" &amp; DATE($B13,$A13,1),
  Transactions!$A:$A,"&lt;" &amp; DATE($B13,$A13+1,1)
)</f>
        <v>0</v>
      </c>
      <c r="G13" s="10" t="str">
        <f t="shared" si="0"/>
        <v/>
      </c>
    </row>
    <row r="14" spans="1:7" ht="22.5" customHeight="1" x14ac:dyDescent="0.25">
      <c r="C14" s="10" t="str">
        <f>IF(OR($A14="",$B14=""),"",
   SUMIFS(Transactions!$D:$D,
          Transactions!$C:$C,"IN",
          Transactions!$L:$L,"Client",
          Transactions!$Q:$Q,"*Paid*",
          Transactions!$A:$A,"&gt;="&amp;DATE($B14,$A14,1),
          Transactions!$A:$A,"&lt;"&amp;EDATE(DATE($B14,$A14,1),1)
   )
)</f>
        <v/>
      </c>
      <c r="D14" s="10" t="str">
        <f>IF(OR($A14="",$B14=""),"",
   SUMIFS(Transactions!$O:$O,
          Transactions!$C:$C,"IN",
          Transactions!$L:$L,"Client",
          Transactions!$Q:$Q,"*Paid*",
          Transactions!$A:$A,"&gt;="&amp;DATE($B14,$A14,1),
          Transactions!$A:$A,"&lt;"&amp;EDATE(DATE($B14,$A14,1),1)
   )
)</f>
        <v/>
      </c>
      <c r="E14" s="10">
        <f>SUMIFS(
  Transactions!$D:$D,
  Transactions!$C:$C,"OUT",
  Transactions!$E:$E,"Cash",
  Transactions!$A:$A,"&gt;=" &amp; DATE($B14,$A14,1),
  Transactions!$A:$A,"&lt;" &amp; DATE($B14,$A14+1,1)
)</f>
        <v>0</v>
      </c>
      <c r="F14" s="10">
        <f>SUMIFS(
  Transactions!$O:$O,
  Transactions!$C:$C,"OUT",
  Transactions!$E:$E,"Cash",
  Transactions!$A:$A,"&gt;=" &amp; DATE($B14,$A14,1),
  Transactions!$A:$A,"&lt;" &amp; DATE($B14,$A14+1,1)
)</f>
        <v>0</v>
      </c>
      <c r="G14" s="10" t="str">
        <f t="shared" si="0"/>
        <v/>
      </c>
    </row>
    <row r="15" spans="1:7" ht="22.5" customHeight="1" x14ac:dyDescent="0.25">
      <c r="C15" s="10" t="str">
        <f>IF(OR($A15="",$B15=""),"",
   SUMIFS(Transactions!$D:$D,
          Transactions!$C:$C,"IN",
          Transactions!$L:$L,"Client",
          Transactions!$Q:$Q,"*Paid*",
          Transactions!$A:$A,"&gt;="&amp;DATE($B15,$A15,1),
          Transactions!$A:$A,"&lt;"&amp;EDATE(DATE($B15,$A15,1),1)
   )
)</f>
        <v/>
      </c>
      <c r="D15" s="10" t="str">
        <f>IF(OR($A15="",$B15=""),"",
   SUMIFS(Transactions!$O:$O,
          Transactions!$C:$C,"IN",
          Transactions!$L:$L,"Client",
          Transactions!$Q:$Q,"*Paid*",
          Transactions!$A:$A,"&gt;="&amp;DATE($B15,$A15,1),
          Transactions!$A:$A,"&lt;"&amp;EDATE(DATE($B15,$A15,1),1)
   )
)</f>
        <v/>
      </c>
      <c r="E15" s="10">
        <f>SUMIFS(
  Transactions!$D:$D,
  Transactions!$C:$C,"OUT",
  Transactions!$E:$E,"Cash",
  Transactions!$A:$A,"&gt;=" &amp; DATE($B15,$A15,1),
  Transactions!$A:$A,"&lt;" &amp; DATE($B15,$A15+1,1)
)</f>
        <v>0</v>
      </c>
      <c r="F15" s="10">
        <f>SUMIFS(
  Transactions!$O:$O,
  Transactions!$C:$C,"OUT",
  Transactions!$E:$E,"Cash",
  Transactions!$A:$A,"&gt;=" &amp; DATE($B15,$A15,1),
  Transactions!$A:$A,"&lt;" &amp; DATE($B15,$A15+1,1)
)</f>
        <v>0</v>
      </c>
      <c r="G15" s="10" t="str">
        <f t="shared" si="0"/>
        <v/>
      </c>
    </row>
    <row r="16" spans="1:7" ht="22.5" customHeight="1" x14ac:dyDescent="0.25">
      <c r="C16" s="10" t="str">
        <f>IF(OR($A16="",$B16=""),"",
   SUMIFS(Transactions!$D:$D,
          Transactions!$C:$C,"IN",
          Transactions!$L:$L,"Client",
          Transactions!$Q:$Q,"*Paid*",
          Transactions!$A:$A,"&gt;="&amp;DATE($B16,$A16,1),
          Transactions!$A:$A,"&lt;"&amp;EDATE(DATE($B16,$A16,1),1)
   )
)</f>
        <v/>
      </c>
      <c r="D16" s="10" t="str">
        <f>IF(OR($A16="",$B16=""),"",
   SUMIFS(Transactions!$O:$O,
          Transactions!$C:$C,"IN",
          Transactions!$L:$L,"Client",
          Transactions!$Q:$Q,"*Paid*",
          Transactions!$A:$A,"&gt;="&amp;DATE($B16,$A16,1),
          Transactions!$A:$A,"&lt;"&amp;EDATE(DATE($B16,$A16,1),1)
   )
)</f>
        <v/>
      </c>
      <c r="E16" s="10">
        <f>SUMIFS(
  Transactions!$D:$D,
  Transactions!$C:$C,"OUT",
  Transactions!$E:$E,"Cash",
  Transactions!$A:$A,"&gt;=" &amp; DATE($B16,$A16,1),
  Transactions!$A:$A,"&lt;" &amp; DATE($B16,$A16+1,1)
)</f>
        <v>0</v>
      </c>
      <c r="F16" s="10">
        <f>SUMIFS(
  Transactions!$O:$O,
  Transactions!$C:$C,"OUT",
  Transactions!$E:$E,"Cash",
  Transactions!$A:$A,"&gt;=" &amp; DATE($B16,$A16,1),
  Transactions!$A:$A,"&lt;" &amp; DATE($B16,$A16+1,1)
)</f>
        <v>0</v>
      </c>
      <c r="G16" s="10" t="str">
        <f t="shared" si="0"/>
        <v/>
      </c>
    </row>
  </sheetData>
  <autoFilter ref="A1:G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zoomScale="92" workbookViewId="0">
      <selection activeCell="H6" sqref="H6"/>
    </sheetView>
  </sheetViews>
  <sheetFormatPr defaultColWidth="18.140625" defaultRowHeight="21.75" customHeight="1" x14ac:dyDescent="0.25"/>
  <cols>
    <col min="1" max="1" width="11.85546875" style="10" customWidth="1"/>
    <col min="2" max="2" width="11.7109375" style="10" customWidth="1"/>
    <col min="3" max="3" width="24.7109375" style="10" customWidth="1"/>
    <col min="4" max="4" width="25.5703125" style="10" customWidth="1"/>
    <col min="5" max="5" width="20" style="10" customWidth="1"/>
    <col min="6" max="16384" width="18.140625" style="10"/>
  </cols>
  <sheetData>
    <row r="1" spans="1:11" s="9" customFormat="1" ht="21.75" customHeight="1" x14ac:dyDescent="0.25">
      <c r="A1" s="1" t="s">
        <v>36</v>
      </c>
      <c r="B1" s="1" t="s">
        <v>37</v>
      </c>
      <c r="C1" s="1" t="s">
        <v>54</v>
      </c>
      <c r="D1" s="1" t="s">
        <v>55</v>
      </c>
      <c r="E1" s="1" t="s">
        <v>35</v>
      </c>
      <c r="F1" s="1" t="s">
        <v>56</v>
      </c>
      <c r="G1" s="1" t="s">
        <v>57</v>
      </c>
      <c r="H1" s="1" t="s">
        <v>115</v>
      </c>
      <c r="I1" s="1" t="s">
        <v>58</v>
      </c>
      <c r="J1" s="1" t="s">
        <v>59</v>
      </c>
      <c r="K1" s="1" t="s">
        <v>281</v>
      </c>
    </row>
    <row r="2" spans="1:11" ht="21.75" customHeight="1" x14ac:dyDescent="0.25">
      <c r="A2" s="10">
        <v>11</v>
      </c>
      <c r="B2" s="10">
        <v>2025</v>
      </c>
      <c r="C2" s="10">
        <f>SUMIFS(
  Transactions!$D:$D,
  Transactions!$C:$C,"IN",
  Transactions!$E:$E,"Cash",
  Transactions!$A:$A,"&gt;=" &amp; DATE($B2,$A2,1),
  Transactions!$A:$A,"&lt;"  &amp; EOMONTH(DATE($B2,$A2,1),0)+1
)</f>
        <v>40425</v>
      </c>
      <c r="D2" s="10">
        <f>SUMIFS(
  Transactions!$D:$D,
  Transactions!$C:$C,"OUT",
  Transactions!$E:$E,"Cash",
  Transactions!$A:$A,"&gt;="&amp;DATE($B2,$A2,1),
  Transactions!$A:$A,"&lt;"&amp;DATE($B2,$A2+1,1)
)</f>
        <v>30410.050000000003</v>
      </c>
      <c r="E2" s="10">
        <f>C2-D2</f>
        <v>10014.949999999997</v>
      </c>
      <c r="F2" s="10">
        <f>SUMIFS(
  Transactions!$D:$D,
  Transactions!$C:$C,"OUT",
  Transactions!$E:$E,"Cash",
  Transactions!$F:$F,"Material Purchase",
  Transactions!$A:$A,"&gt;="&amp;DATE($B2,$A2,1),
  Transactions!$A:$A,"&lt;"&amp;DATE($B2,$A2+1,1)
)</f>
        <v>7996.6999999999989</v>
      </c>
      <c r="G2" s="10">
        <f>SUMIFS(
  Transactions!$D:$D,
  Transactions!$C:$C,"OUT",
  Transactions!$E:$E,"Cash",
  Transactions!$F:$F,"Food Expense",
  Transactions!$A:$A,"&gt;="&amp;DATE($B2,$A2,1),
  Transactions!$A:$A,"&lt;"&amp;DATE($B2,$A2+1,1)
)</f>
        <v>1099.9899999999998</v>
      </c>
      <c r="H2" s="10">
        <f>SUMIFS(
  Transactions!$D:$D,
  Transactions!$C:$C,"OUT",
  Transactions!$E:$E,"Cash",
  Transactions!$F:$F,"Fuel Expense",
  Transactions!$A:$A,"&gt;="&amp;DATE($B2,$A2,1),
  Transactions!$A:$A,"&lt;"&amp;DATE($B2,$A2+1,1)
)</f>
        <v>840.81000000000006</v>
      </c>
      <c r="I2" s="10">
        <f>SUMIFS(
  Transactions!$D:$D,
  Transactions!$C:$C,"OUT",
  Transactions!$E:$E,"Cash",
  Transactions!$F:$F,"Labour Expense",
  Transactions!$A:$A,"&gt;="&amp;DATE($B2,$A2,1),
  Transactions!$A:$A,"&lt;"&amp;DATE($B2,$A2+1,1)
)</f>
        <v>7382.6100000000006</v>
      </c>
      <c r="J2" s="10">
        <f>SUMIFS(
  Transactions!$D:$D,
  Transactions!$C:$C,"OUT",
  Transactions!$E:$E,"Cash",
  Transactions!$F:$F,"Transport Expense",
  Transactions!$A:$A,"&gt;="&amp;DATE($B2,$A2,1),
  Transactions!$A:$A,"&lt;"&amp;DATE($B2,$A2+1,1)
)</f>
        <v>1953.04</v>
      </c>
      <c r="K2" s="10">
        <f>SUMIFS(
  Transactions!$D:$D,
  Transactions!$C:$C,"IN",
  Transactions!$E:$E,"Accounts Receivable",
  Transactions!$A:$A,"&gt;=" &amp; DATE($B2,$A2,1),
  Transactions!$A:$A,"&lt;"  &amp; EOMONTH(DATE($B2,$A2,1),0)+1
)</f>
        <v>9652.5</v>
      </c>
    </row>
    <row r="3" spans="1:11" ht="21.75" customHeight="1" x14ac:dyDescent="0.25">
      <c r="A3" s="10">
        <v>12</v>
      </c>
      <c r="B3" s="10">
        <v>2025</v>
      </c>
      <c r="C3" s="10">
        <f>SUMIFS(
  Transactions!$D:$D,
  Transactions!$C:$C,"IN",
  Transactions!$E:$E,"Cash",
  Transactions!$A:$A,"&gt;=" &amp; DATE($B3,$A3,1),
  Transactions!$A:$A,"&lt;"  &amp; EOMONTH(DATE($B3,$A3,1),0)+1
)</f>
        <v>67827.5</v>
      </c>
      <c r="D3" s="10">
        <f>SUMIFS(
  Transactions!$D:$D,
  Transactions!$C:$C,"OUT",
  Transactions!$E:$E,"Cash",
  Transactions!$A:$A,"&gt;="&amp;DATE($B3,$A3,1),
  Transactions!$A:$A,"&lt;"&amp;DATE($B3,$A3+1,1)
)</f>
        <v>76881.279999999984</v>
      </c>
      <c r="E3" s="10">
        <f>C3-D3</f>
        <v>-9053.7799999999843</v>
      </c>
      <c r="F3" s="10">
        <f>SUMIFS(
  Transactions!$D:$D,
  Transactions!$C:$C,"OUT",
  Transactions!$E:$E,"Cash",
  Transactions!$F:$F,"Material Purchase",
  Transactions!$A:$A,"&gt;="&amp;DATE($B3,$A3,1),
  Transactions!$A:$A,"&lt;"&amp;DATE($B3,$A3+1,1)
)</f>
        <v>22025.95</v>
      </c>
      <c r="G3" s="10">
        <f>SUMIFS(
  Transactions!$D:$D,
  Transactions!$C:$C,"OUT",
  Transactions!$E:$E,"Cash",
  Transactions!$F:$F,"Food Expense",
  Transactions!$A:$A,"&gt;="&amp;DATE($B3,$A3,1),
  Transactions!$A:$A,"&lt;"&amp;DATE($B3,$A3+1,1)
)</f>
        <v>820.56</v>
      </c>
      <c r="H3" s="10">
        <f>SUMIFS(
  Transactions!$D:$D,
  Transactions!$C:$C,"OUT",
  Transactions!$E:$E,"Cash",
  Transactions!$F:$F,"Fuel Expense",
  Transactions!$A:$A,"&gt;="&amp;DATE($B3,$A3,1),
  Transactions!$A:$A,"&lt;"&amp;DATE($B3,$A3+1,1)
)</f>
        <v>1559.6200000000003</v>
      </c>
      <c r="I3" s="10">
        <f>SUMIFS(
  Transactions!$D:$D,
  Transactions!$C:$C,"OUT",
  Transactions!$E:$E,"Cash",
  Transactions!$F:$F,"Labour Expense",
  Transactions!$A:$A,"&gt;="&amp;DATE($B3,$A3,1),
  Transactions!$A:$A,"&lt;"&amp;DATE($B3,$A3+1,1)
)</f>
        <v>3500</v>
      </c>
      <c r="J3" s="10">
        <f>SUMIFS(
  Transactions!$D:$D,
  Transactions!$C:$C,"OUT",
  Transactions!$E:$E,"Cash",
  Transactions!$F:$F,"Transport Expense",
  Transactions!$A:$A,"&gt;="&amp;DATE($B3,$A3,1),
  Transactions!$A:$A,"&lt;"&amp;DATE($B3,$A3+1,1)
)</f>
        <v>2430</v>
      </c>
      <c r="K3" s="10">
        <f>SUMIFS(
  Transactions!$D:$D,
  Transactions!$C:$C,"IN",
  Transactions!$E:$E,"Accounts Receivable",
  Transactions!$A:$A,"&gt;=" &amp; DATE($B3,$A3,1),
  Transactions!$A:$A,"&lt;"  &amp; EOMONTH(DATE($B3,$A3,1),0)+1
)</f>
        <v>20400</v>
      </c>
    </row>
    <row r="4" spans="1:11" ht="21.75" customHeight="1" x14ac:dyDescent="0.25">
      <c r="A4" s="10">
        <v>1</v>
      </c>
      <c r="B4" s="10">
        <v>2026</v>
      </c>
      <c r="C4" s="10">
        <f>SUMIFS(
  Transactions!$D:$D,
  Transactions!$C:$C,"IN",
  Transactions!$E:$E,"Cash",
  Transactions!$A:$A,"&gt;=" &amp; DATE($B4,$A4,1),
  Transactions!$A:$A,"&lt;"  &amp; EOMONTH(DATE($B4,$A4,1),0)+1
)</f>
        <v>63389.57</v>
      </c>
      <c r="D4" s="10">
        <f>SUMIFS(
  Transactions!$D:$D,
  Transactions!$C:$C,"OUT",
  Transactions!$E:$E,"Cash",
  Transactions!$A:$A,"&gt;="&amp;DATE($B4,$A4,1),
  Transactions!$A:$A,"&lt;"&amp;DATE($B4,$A4+1,1)
)</f>
        <v>57420.58</v>
      </c>
      <c r="E4" s="10">
        <f>C4-D4</f>
        <v>5968.989999999998</v>
      </c>
      <c r="F4" s="10">
        <f>SUMIFS(
  Transactions!$D:$D,
  Transactions!$C:$C,"OUT",
  Transactions!$E:$E,"Cash",
  Transactions!$F:$F,"Material Purchase",
  Transactions!$A:$A,"&gt;="&amp;DATE($B4,$A4,1),
  Transactions!$A:$A,"&lt;"&amp;DATE($B4,$A4+1,1)
)</f>
        <v>7401.6999999999989</v>
      </c>
      <c r="G4" s="10">
        <f>SUMIFS(
  Transactions!$D:$D,
  Transactions!$C:$C,"OUT",
  Transactions!$E:$E,"Cash",
  Transactions!$F:$F,"Food Expense",
  Transactions!$A:$A,"&gt;="&amp;DATE($B4,$A4,1),
  Transactions!$A:$A,"&lt;"&amp;DATE($B4,$A4+1,1)
)</f>
        <v>1900.25</v>
      </c>
      <c r="H4" s="10">
        <f>SUMIFS(
  Transactions!$D:$D,
  Transactions!$C:$C,"OUT",
  Transactions!$E:$E,"Cash",
  Transactions!$F:$F,"Fuel Expense",
  Transactions!$A:$A,"&gt;="&amp;DATE($B4,$A4,1),
  Transactions!$A:$A,"&lt;"&amp;DATE($B4,$A4+1,1)
)</f>
        <v>3143.5200000000004</v>
      </c>
      <c r="I4" s="10">
        <f>SUMIFS(
  Transactions!$D:$D,
  Transactions!$C:$C,"OUT",
  Transactions!$E:$E,"Cash",
  Transactions!$F:$F,"Labour Expense",
  Transactions!$A:$A,"&gt;="&amp;DATE($B4,$A4,1),
  Transactions!$A:$A,"&lt;"&amp;DATE($B4,$A4+1,1)
)</f>
        <v>0</v>
      </c>
      <c r="J4" s="10">
        <f>SUMIFS(
  Transactions!$D:$D,
  Transactions!$C:$C,"OUT",
  Transactions!$E:$E,"Cash",
  Transactions!$F:$F,"Transport Expense",
  Transactions!$A:$A,"&gt;="&amp;DATE($B4,$A4,1),
  Transactions!$A:$A,"&lt;"&amp;DATE($B4,$A4+1,1)
)</f>
        <v>700</v>
      </c>
      <c r="K4" s="10">
        <f>SUMIFS(
  Transactions!$D:$D,
  Transactions!$C:$C,"IN",
  Transactions!$E:$E,"Accounts Receivable",
  Transactions!$A:$A,"&gt;=" &amp; DATE($B4,$A4,1),
  Transactions!$A:$A,"&lt;"  &amp; EOMONTH(DATE($B4,$A4,1),0)+1
)</f>
        <v>0</v>
      </c>
    </row>
    <row r="5" spans="1:11" ht="21.75" customHeight="1" x14ac:dyDescent="0.25">
      <c r="A5" s="10">
        <v>2</v>
      </c>
      <c r="B5" s="10">
        <v>2026</v>
      </c>
      <c r="C5" s="10">
        <f>SUMIFS(
  Transactions!$D:$D,
  Transactions!$C:$C,"IN",
  Transactions!$E:$E,"Cash",
  Transactions!$A:$A,"&gt;=" &amp; DATE($B5,$A5,1),
  Transactions!$A:$A,"&lt;"  &amp; EOMONTH(DATE($B5,$A5,1),0)+1
)</f>
        <v>115500</v>
      </c>
      <c r="D5" s="10">
        <f>SUMIFS(
  Transactions!$D:$D,
  Transactions!$C:$C,"OUT",
  Transactions!$E:$E,"Cash",
  Transactions!$A:$A,"&gt;="&amp;DATE($B5,$A5,1),
  Transactions!$A:$A,"&lt;"&amp;DATE($B5,$A5+1,1)
)</f>
        <v>114889.18000000007</v>
      </c>
      <c r="E5" s="10">
        <f t="shared" ref="E5:E17" si="0">C5-D5</f>
        <v>610.81999999993423</v>
      </c>
      <c r="F5" s="10">
        <f>SUMIFS(
  Transactions!$D:$D,
  Transactions!$C:$C,"OUT",
  Transactions!$E:$E,"Cash",
  Transactions!$F:$F,"Material Purchase",
  Transactions!$A:$A,"&gt;="&amp;DATE($B5,$A5,1),
  Transactions!$A:$A,"&lt;"&amp;DATE($B5,$A5+1,1)
)</f>
        <v>30956.219999999994</v>
      </c>
      <c r="G5" s="10">
        <f>SUMIFS(
  Transactions!$D:$D,
  Transactions!$C:$C,"OUT",
  Transactions!$E:$E,"Cash",
  Transactions!$F:$F,"Food Expense",
  Transactions!$A:$A,"&gt;="&amp;DATE($B5,$A5,1),
  Transactions!$A:$A,"&lt;"&amp;DATE($B5,$A5+1,1)
)</f>
        <v>777.67</v>
      </c>
      <c r="H5" s="10">
        <f>SUMIFS(
  Transactions!$D:$D,
  Transactions!$C:$C,"OUT",
  Transactions!$E:$E,"Cash",
  Transactions!$F:$F,"Fuel Expense",
  Transactions!$A:$A,"&gt;="&amp;DATE($B5,$A5,1),
  Transactions!$A:$A,"&lt;"&amp;DATE($B5,$A5+1,1)
)</f>
        <v>2007.7700000000004</v>
      </c>
      <c r="I5" s="10">
        <f>SUMIFS(
  Transactions!$D:$D,
  Transactions!$C:$C,"OUT",
  Transactions!$E:$E,"Cash",
  Transactions!$F:$F,"Labour Expense",
  Transactions!$A:$A,"&gt;="&amp;DATE($B5,$A5,1),
  Transactions!$A:$A,"&lt;"&amp;DATE($B5,$A5+1,1)
)</f>
        <v>0</v>
      </c>
      <c r="J5" s="10">
        <f>SUMIFS(
  Transactions!$D:$D,
  Transactions!$C:$C,"OUT",
  Transactions!$E:$E,"Cash",
  Transactions!$F:$F,"Transport Expense",
  Transactions!$A:$A,"&gt;="&amp;DATE($B5,$A5,1),
  Transactions!$A:$A,"&lt;"&amp;DATE($B5,$A5+1,1)
)</f>
        <v>210</v>
      </c>
      <c r="K5" s="10">
        <f>SUMIFS(
  Transactions!$D:$D,
  Transactions!$C:$C,"IN",
  Transactions!$E:$E,"Accounts Receivable",
  Transactions!$A:$A,"&gt;=" &amp; DATE($B5,$A5,1),
  Transactions!$A:$A,"&lt;"  &amp; EOMONTH(DATE($B5,$A5,1),0)+1
)</f>
        <v>0</v>
      </c>
    </row>
    <row r="6" spans="1:11" ht="21.75" customHeight="1" x14ac:dyDescent="0.25">
      <c r="A6" s="10">
        <v>3</v>
      </c>
      <c r="B6" s="10">
        <v>2026</v>
      </c>
      <c r="C6" s="10">
        <f>SUMIFS(
  Transactions!$D:$D,
  Transactions!$C:$C,"IN",
  Transactions!$E:$E,"Cash",
  Transactions!$A:$A,"&gt;=" &amp; DATE($B6,$A6,1),
  Transactions!$A:$A,"&lt;"  &amp; EOMONTH(DATE($B6,$A6,1),0)+1
)</f>
        <v>83448</v>
      </c>
      <c r="D6" s="10">
        <f>SUMIFS(
  Transactions!$D:$D,
  Transactions!$C:$C,"OUT",
  Transactions!$E:$E,"Cash",
  Transactions!$A:$A,"&gt;="&amp;DATE($B6,$A6,1),
  Transactions!$A:$A,"&lt;"&amp;DATE($B6,$A6+1,1)
)</f>
        <v>129469.78000000001</v>
      </c>
      <c r="E6" s="10">
        <f t="shared" si="0"/>
        <v>-46021.780000000013</v>
      </c>
      <c r="F6" s="10">
        <f>SUMIFS(
  Transactions!$D:$D,
  Transactions!$C:$C,"OUT",
  Transactions!$E:$E,"Cash",
  Transactions!$F:$F,"Material Purchase",
  Transactions!$A:$A,"&gt;="&amp;DATE($B6,$A6,1),
  Transactions!$A:$A,"&lt;"&amp;DATE($B6,$A6+1,1)
)</f>
        <v>14847.36</v>
      </c>
      <c r="G6" s="10">
        <f>SUMIFS(
  Transactions!$D:$D,
  Transactions!$C:$C,"OUT",
  Transactions!$E:$E,"Cash",
  Transactions!$F:$F,"Food Expense",
  Transactions!$A:$A,"&gt;="&amp;DATE($B6,$A6,1),
  Transactions!$A:$A,"&lt;"&amp;DATE($B6,$A6+1,1)
)</f>
        <v>2317.8900000000003</v>
      </c>
      <c r="H6" s="10">
        <f>SUMIFS(
  Transactions!$D:$D,
  Transactions!$C:$C,"OUT",
  Transactions!$E:$E,"Cash",
  Transactions!$F:$F,"Fuel Expense",
  Transactions!$A:$A,"&gt;="&amp;DATE($B6,$A6,1),
  Transactions!$A:$A,"&lt;"&amp;DATE($B6,$A6+1,1)
)</f>
        <v>2328.09</v>
      </c>
      <c r="I6" s="10">
        <f>SUMIFS(
  Transactions!$D:$D,
  Transactions!$C:$C,"OUT",
  Transactions!$E:$E,"Cash",
  Transactions!$F:$F,"Labour Expense",
  Transactions!$A:$A,"&gt;="&amp;DATE($B6,$A6,1),
  Transactions!$A:$A,"&lt;"&amp;DATE($B6,$A6+1,1)
)</f>
        <v>0</v>
      </c>
      <c r="J6" s="10">
        <f>SUMIFS(
  Transactions!$D:$D,
  Transactions!$C:$C,"OUT",
  Transactions!$E:$E,"Cash",
  Transactions!$F:$F,"Transport Expense",
  Transactions!$A:$A,"&gt;="&amp;DATE($B6,$A6,1),
  Transactions!$A:$A,"&lt;"&amp;DATE($B6,$A6+1,1)
)</f>
        <v>600</v>
      </c>
      <c r="K6" s="10">
        <f>SUMIFS(
  Transactions!$D:$D,
  Transactions!$C:$C,"IN",
  Transactions!$E:$E,"Accounts Receivable",
  Transactions!$A:$A,"&gt;=" &amp; DATE($B6,$A6,1),
  Transactions!$A:$A,"&lt;"  &amp; EOMONTH(DATE($B6,$A6,1),0)+1
)</f>
        <v>0</v>
      </c>
    </row>
    <row r="7" spans="1:11" ht="21.75" customHeight="1" x14ac:dyDescent="0.25">
      <c r="C7" s="10">
        <f>SUMIFS(
  Transactions!$D:$D,
  Transactions!$C:$C,"IN",
  Transactions!$E:$E,"Cash",
  Transactions!$A:$A,"&gt;=" &amp; DATE($B7,$A7,1),
  Transactions!$A:$A,"&lt;"  &amp; EOMONTH(DATE($B7,$A7,1),0)+1
)</f>
        <v>0</v>
      </c>
      <c r="D7" s="10">
        <f>SUMIFS(
  Transactions!$D:$D,
  Transactions!$C:$C,"OUT",
  Transactions!$E:$E,"Cash",
  Transactions!$A:$A,"&gt;="&amp;DATE($B7,$A7,1),
  Transactions!$A:$A,"&lt;"&amp;DATE($B7,$A7+1,1)
)</f>
        <v>0</v>
      </c>
      <c r="E7" s="10">
        <f t="shared" si="0"/>
        <v>0</v>
      </c>
      <c r="F7" s="10">
        <f>SUMIFS(
  Transactions!$D:$D,
  Transactions!$C:$C,"OUT",
  Transactions!$E:$E,"Cash",
  Transactions!$F:$F,"Material Purchase",
  Transactions!$A:$A,"&gt;="&amp;DATE($B7,$A7,1),
  Transactions!$A:$A,"&lt;"&amp;DATE($B7,$A7+1,1)
)</f>
        <v>0</v>
      </c>
      <c r="G7" s="10">
        <f>SUMIFS(
  Transactions!$D:$D,
  Transactions!$C:$C,"OUT",
  Transactions!$E:$E,"Cash",
  Transactions!$F:$F,"Food Expense",
  Transactions!$A:$A,"&gt;="&amp;DATE($B7,$A7,1),
  Transactions!$A:$A,"&lt;"&amp;DATE($B7,$A7+1,1)
)</f>
        <v>0</v>
      </c>
      <c r="H7" s="10">
        <f>SUMIFS(
  Transactions!$D:$D,
  Transactions!$C:$C,"OUT",
  Transactions!$E:$E,"Cash",
  Transactions!$F:$F,"Fuel Expense",
  Transactions!$A:$A,"&gt;="&amp;DATE($B7,$A7,1),
  Transactions!$A:$A,"&lt;"&amp;DATE($B7,$A7+1,1)
)</f>
        <v>0</v>
      </c>
      <c r="I7" s="10">
        <f>SUMIFS(
  Transactions!$D:$D,
  Transactions!$C:$C,"OUT",
  Transactions!$E:$E,"Cash",
  Transactions!$F:$F,"Labour Expense",
  Transactions!$A:$A,"&gt;="&amp;DATE($B7,$A7,1),
  Transactions!$A:$A,"&lt;"&amp;DATE($B7,$A7+1,1)
)</f>
        <v>0</v>
      </c>
      <c r="J7" s="10">
        <f>SUMIFS(
  Transactions!$D:$D,
  Transactions!$C:$C,"OUT",
  Transactions!$E:$E,"Cash",
  Transactions!$F:$F,"Transport Expense",
  Transactions!$A:$A,"&gt;="&amp;DATE($B7,$A7,1),
  Transactions!$A:$A,"&lt;"&amp;DATE($B7,$A7+1,1)
)</f>
        <v>0</v>
      </c>
      <c r="K7" s="10">
        <f>SUMIFS(
  Transactions!$D:$D,
  Transactions!$C:$C,"IN",
  Transactions!$E:$E,"Accounts Receivable",
  Transactions!$A:$A,"&gt;=" &amp; DATE($B7,$A7,1),
  Transactions!$A:$A,"&lt;"  &amp; EOMONTH(DATE($B7,$A7,1),0)+1
)</f>
        <v>0</v>
      </c>
    </row>
    <row r="8" spans="1:11" ht="21.75" customHeight="1" x14ac:dyDescent="0.25">
      <c r="C8" s="10">
        <f>SUMIFS(
  Transactions!$D:$D,
  Transactions!$C:$C,"IN",
  Transactions!$E:$E,"Cash",
  Transactions!$A:$A,"&gt;=" &amp; DATE($B8,$A8,1),
  Transactions!$A:$A,"&lt;"  &amp; EOMONTH(DATE($B8,$A8,1),0)+1
)</f>
        <v>0</v>
      </c>
      <c r="D8" s="10">
        <f>SUMIFS(
  Transactions!$D:$D,
  Transactions!$C:$C,"OUT",
  Transactions!$E:$E,"Cash",
  Transactions!$A:$A,"&gt;="&amp;DATE($B8,$A8,1),
  Transactions!$A:$A,"&lt;"&amp;DATE($B8,$A8+1,1)
)</f>
        <v>0</v>
      </c>
      <c r="E8" s="10">
        <f t="shared" si="0"/>
        <v>0</v>
      </c>
      <c r="F8" s="10">
        <f>SUMIFS(
  Transactions!$D:$D,
  Transactions!$C:$C,"OUT",
  Transactions!$E:$E,"Cash",
  Transactions!$F:$F,"Material Purchase",
  Transactions!$A:$A,"&gt;="&amp;DATE($B8,$A8,1),
  Transactions!$A:$A,"&lt;"&amp;DATE($B8,$A8+1,1)
)</f>
        <v>0</v>
      </c>
      <c r="G8" s="10">
        <f>SUMIFS(
  Transactions!$D:$D,
  Transactions!$C:$C,"OUT",
  Transactions!$E:$E,"Cash",
  Transactions!$F:$F,"Food Expense",
  Transactions!$A:$A,"&gt;="&amp;DATE($B8,$A8,1),
  Transactions!$A:$A,"&lt;"&amp;DATE($B8,$A8+1,1)
)</f>
        <v>0</v>
      </c>
      <c r="H8" s="10">
        <f>SUMIFS(
  Transactions!$D:$D,
  Transactions!$C:$C,"OUT",
  Transactions!$E:$E,"Cash",
  Transactions!$F:$F,"Fuel Expense",
  Transactions!$A:$A,"&gt;="&amp;DATE($B8,$A8,1),
  Transactions!$A:$A,"&lt;"&amp;DATE($B8,$A8+1,1)
)</f>
        <v>0</v>
      </c>
      <c r="I8" s="10">
        <f>SUMIFS(
  Transactions!$D:$D,
  Transactions!$C:$C,"OUT",
  Transactions!$E:$E,"Cash",
  Transactions!$F:$F,"Labour Expense",
  Transactions!$A:$A,"&gt;="&amp;DATE($B8,$A8,1),
  Transactions!$A:$A,"&lt;"&amp;DATE($B8,$A8+1,1)
)</f>
        <v>0</v>
      </c>
      <c r="J8" s="10">
        <f>SUMIFS(
  Transactions!$D:$D,
  Transactions!$C:$C,"OUT",
  Transactions!$E:$E,"Cash",
  Transactions!$F:$F,"Transport Expense",
  Transactions!$A:$A,"&gt;="&amp;DATE($B8,$A8,1),
  Transactions!$A:$A,"&lt;"&amp;DATE($B8,$A8+1,1)
)</f>
        <v>0</v>
      </c>
      <c r="K8" s="10">
        <f>SUMIFS(
  Transactions!$D:$D,
  Transactions!$C:$C,"IN",
  Transactions!$E:$E,"Accounts Receivable",
  Transactions!$A:$A,"&gt;=" &amp; DATE($B8,$A8,1),
  Transactions!$A:$A,"&lt;"  &amp; EOMONTH(DATE($B8,$A8,1),0)+1
)</f>
        <v>0</v>
      </c>
    </row>
    <row r="9" spans="1:11" ht="21.75" customHeight="1" x14ac:dyDescent="0.25">
      <c r="C9" s="10">
        <f>SUMIFS(
  Transactions!$D:$D,
  Transactions!$C:$C,"IN",
  Transactions!$E:$E,"Cash",
  Transactions!$A:$A,"&gt;=" &amp; DATE($B9,$A9,1),
  Transactions!$A:$A,"&lt;"  &amp; EOMONTH(DATE($B9,$A9,1),0)+1
)</f>
        <v>0</v>
      </c>
      <c r="D9" s="10">
        <f>SUMIFS(
  Transactions!$D:$D,
  Transactions!$C:$C,"OUT",
  Transactions!$E:$E,"Cash",
  Transactions!$A:$A,"&gt;="&amp;DATE($B9,$A9,1),
  Transactions!$A:$A,"&lt;"&amp;DATE($B9,$A9+1,1)
)</f>
        <v>0</v>
      </c>
      <c r="E9" s="10">
        <f t="shared" si="0"/>
        <v>0</v>
      </c>
      <c r="F9" s="10">
        <f>SUMIFS(
  Transactions!$D:$D,
  Transactions!$C:$C,"OUT",
  Transactions!$E:$E,"Cash",
  Transactions!$F:$F,"Material Purchase",
  Transactions!$A:$A,"&gt;="&amp;DATE($B9,$A9,1),
  Transactions!$A:$A,"&lt;"&amp;DATE($B9,$A9+1,1)
)</f>
        <v>0</v>
      </c>
      <c r="G9" s="10">
        <f>SUMIFS(
  Transactions!$D:$D,
  Transactions!$C:$C,"OUT",
  Transactions!$E:$E,"Cash",
  Transactions!$F:$F,"Food Expense",
  Transactions!$A:$A,"&gt;="&amp;DATE($B9,$A9,1),
  Transactions!$A:$A,"&lt;"&amp;DATE($B9,$A9+1,1)
)</f>
        <v>0</v>
      </c>
      <c r="H9" s="10">
        <f>SUMIFS(
  Transactions!$D:$D,
  Transactions!$C:$C,"OUT",
  Transactions!$E:$E,"Cash",
  Transactions!$F:$F,"Fuel Expense",
  Transactions!$A:$A,"&gt;="&amp;DATE($B9,$A9,1),
  Transactions!$A:$A,"&lt;"&amp;DATE($B9,$A9+1,1)
)</f>
        <v>0</v>
      </c>
      <c r="I9" s="10">
        <f>SUMIFS(
  Transactions!$D:$D,
  Transactions!$C:$C,"OUT",
  Transactions!$E:$E,"Cash",
  Transactions!$F:$F,"Labour Expense",
  Transactions!$A:$A,"&gt;="&amp;DATE($B9,$A9,1),
  Transactions!$A:$A,"&lt;"&amp;DATE($B9,$A9+1,1)
)</f>
        <v>0</v>
      </c>
      <c r="J9" s="10">
        <f>SUMIFS(
  Transactions!$D:$D,
  Transactions!$C:$C,"OUT",
  Transactions!$E:$E,"Cash",
  Transactions!$F:$F,"Transport Expense",
  Transactions!$A:$A,"&gt;="&amp;DATE($B9,$A9,1),
  Transactions!$A:$A,"&lt;"&amp;DATE($B9,$A9+1,1)
)</f>
        <v>0</v>
      </c>
      <c r="K9" s="10">
        <f>SUMIFS(
  Transactions!$D:$D,
  Transactions!$C:$C,"IN",
  Transactions!$E:$E,"Accounts Receivable",
  Transactions!$A:$A,"&gt;=" &amp; DATE($B9,$A9,1),
  Transactions!$A:$A,"&lt;"  &amp; EOMONTH(DATE($B9,$A9,1),0)+1
)</f>
        <v>0</v>
      </c>
    </row>
    <row r="10" spans="1:11" ht="21.75" customHeight="1" x14ac:dyDescent="0.25">
      <c r="C10" s="10">
        <f>SUMIFS(
  Transactions!$D:$D,
  Transactions!$C:$C,"IN",
  Transactions!$E:$E,"Cash",
  Transactions!$A:$A,"&gt;=" &amp; DATE($B10,$A10,1),
  Transactions!$A:$A,"&lt;"  &amp; EOMONTH(DATE($B10,$A10,1),0)+1
)</f>
        <v>0</v>
      </c>
      <c r="D10" s="10">
        <f>SUMIFS(
  Transactions!$D:$D,
  Transactions!$C:$C,"OUT",
  Transactions!$E:$E,"Cash",
  Transactions!$A:$A,"&gt;="&amp;DATE($B10,$A10,1),
  Transactions!$A:$A,"&lt;"&amp;DATE($B10,$A10+1,1)
)</f>
        <v>0</v>
      </c>
      <c r="E10" s="10">
        <f t="shared" si="0"/>
        <v>0</v>
      </c>
      <c r="F10" s="10">
        <f>SUMIFS(
  Transactions!$D:$D,
  Transactions!$C:$C,"OUT",
  Transactions!$E:$E,"Cash",
  Transactions!$F:$F,"Material Purchase",
  Transactions!$A:$A,"&gt;="&amp;DATE($B10,$A10,1),
  Transactions!$A:$A,"&lt;"&amp;DATE($B10,$A10+1,1)
)</f>
        <v>0</v>
      </c>
      <c r="G10" s="10">
        <f>SUMIFS(
  Transactions!$D:$D,
  Transactions!$C:$C,"OUT",
  Transactions!$E:$E,"Cash",
  Transactions!$F:$F,"Food Expense",
  Transactions!$A:$A,"&gt;="&amp;DATE($B10,$A10,1),
  Transactions!$A:$A,"&lt;"&amp;DATE($B10,$A10+1,1)
)</f>
        <v>0</v>
      </c>
      <c r="H10" s="10">
        <f>SUMIFS(
  Transactions!$D:$D,
  Transactions!$C:$C,"OUT",
  Transactions!$E:$E,"Cash",
  Transactions!$F:$F,"Fuel Expense",
  Transactions!$A:$A,"&gt;="&amp;DATE($B10,$A10,1),
  Transactions!$A:$A,"&lt;"&amp;DATE($B10,$A10+1,1)
)</f>
        <v>0</v>
      </c>
      <c r="I10" s="10">
        <f>SUMIFS(
  Transactions!$D:$D,
  Transactions!$C:$C,"OUT",
  Transactions!$E:$E,"Cash",
  Transactions!$F:$F,"Labour Expense",
  Transactions!$A:$A,"&gt;="&amp;DATE($B10,$A10,1),
  Transactions!$A:$A,"&lt;"&amp;DATE($B10,$A10+1,1)
)</f>
        <v>0</v>
      </c>
      <c r="J10" s="10">
        <f>SUMIFS(
  Transactions!$D:$D,
  Transactions!$C:$C,"OUT",
  Transactions!$E:$E,"Cash",
  Transactions!$F:$F,"Transport Expense",
  Transactions!$A:$A,"&gt;="&amp;DATE($B10,$A10,1),
  Transactions!$A:$A,"&lt;"&amp;DATE($B10,$A10+1,1)
)</f>
        <v>0</v>
      </c>
      <c r="K10" s="10">
        <f>SUMIFS(
  Transactions!$D:$D,
  Transactions!$C:$C,"IN",
  Transactions!$E:$E,"Accounts Receivable",
  Transactions!$A:$A,"&gt;=" &amp; DATE($B10,$A10,1),
  Transactions!$A:$A,"&lt;"  &amp; EOMONTH(DATE($B10,$A10,1),0)+1
)</f>
        <v>0</v>
      </c>
    </row>
    <row r="11" spans="1:11" ht="21.75" customHeight="1" x14ac:dyDescent="0.25">
      <c r="C11" s="10">
        <f>SUMIFS(
  Transactions!$D:$D,
  Transactions!$C:$C,"IN",
  Transactions!$E:$E,"Cash",
  Transactions!$A:$A,"&gt;=" &amp; DATE($B11,$A11,1),
  Transactions!$A:$A,"&lt;"  &amp; EOMONTH(DATE($B11,$A11,1),0)+1
)</f>
        <v>0</v>
      </c>
      <c r="D11" s="10">
        <f>SUMIFS(
  Transactions!$D:$D,
  Transactions!$C:$C,"OUT",
  Transactions!$E:$E,"Cash",
  Transactions!$A:$A,"&gt;="&amp;DATE($B11,$A11,1),
  Transactions!$A:$A,"&lt;"&amp;DATE($B11,$A11+1,1)
)</f>
        <v>0</v>
      </c>
      <c r="E11" s="10">
        <f t="shared" si="0"/>
        <v>0</v>
      </c>
      <c r="F11" s="10">
        <f>SUMIFS(
  Transactions!$D:$D,
  Transactions!$C:$C,"OUT",
  Transactions!$E:$E,"Cash",
  Transactions!$F:$F,"Material Purchase",
  Transactions!$A:$A,"&gt;="&amp;DATE($B11,$A11,1),
  Transactions!$A:$A,"&lt;"&amp;DATE($B11,$A11+1,1)
)</f>
        <v>0</v>
      </c>
      <c r="G11" s="10">
        <f>SUMIFS(
  Transactions!$D:$D,
  Transactions!$C:$C,"OUT",
  Transactions!$E:$E,"Cash",
  Transactions!$F:$F,"Food Expense",
  Transactions!$A:$A,"&gt;="&amp;DATE($B11,$A11,1),
  Transactions!$A:$A,"&lt;"&amp;DATE($B11,$A11+1,1)
)</f>
        <v>0</v>
      </c>
      <c r="H11" s="10">
        <f>SUMIFS(
  Transactions!$D:$D,
  Transactions!$C:$C,"OUT",
  Transactions!$E:$E,"Cash",
  Transactions!$F:$F,"Fuel Expense",
  Transactions!$A:$A,"&gt;="&amp;DATE($B11,$A11,1),
  Transactions!$A:$A,"&lt;"&amp;DATE($B11,$A11+1,1)
)</f>
        <v>0</v>
      </c>
      <c r="I11" s="10">
        <f>SUMIFS(
  Transactions!$D:$D,
  Transactions!$C:$C,"OUT",
  Transactions!$E:$E,"Cash",
  Transactions!$F:$F,"Labour Expense",
  Transactions!$A:$A,"&gt;="&amp;DATE($B11,$A11,1),
  Transactions!$A:$A,"&lt;"&amp;DATE($B11,$A11+1,1)
)</f>
        <v>0</v>
      </c>
      <c r="J11" s="10">
        <f>SUMIFS(
  Transactions!$D:$D,
  Transactions!$C:$C,"OUT",
  Transactions!$E:$E,"Cash",
  Transactions!$F:$F,"Transport Expense",
  Transactions!$A:$A,"&gt;="&amp;DATE($B11,$A11,1),
  Transactions!$A:$A,"&lt;"&amp;DATE($B11,$A11+1,1)
)</f>
        <v>0</v>
      </c>
      <c r="K11" s="10">
        <f>SUMIFS(
  Transactions!$D:$D,
  Transactions!$C:$C,"IN",
  Transactions!$E:$E,"Accounts Receivable",
  Transactions!$A:$A,"&gt;=" &amp; DATE($B11,$A11,1),
  Transactions!$A:$A,"&lt;"  &amp; EOMONTH(DATE($B11,$A11,1),0)+1
)</f>
        <v>0</v>
      </c>
    </row>
    <row r="12" spans="1:11" ht="21.75" customHeight="1" x14ac:dyDescent="0.25">
      <c r="C12" s="10">
        <f>SUMIFS(
  Transactions!$D:$D,
  Transactions!$C:$C,"IN",
  Transactions!$E:$E,"Cash",
  Transactions!$A:$A,"&gt;=" &amp; DATE($B12,$A12,1),
  Transactions!$A:$A,"&lt;"  &amp; EOMONTH(DATE($B12,$A12,1),0)+1
)</f>
        <v>0</v>
      </c>
      <c r="D12" s="10">
        <f>SUMIFS(
  Transactions!$D:$D,
  Transactions!$C:$C,"OUT",
  Transactions!$E:$E,"Cash",
  Transactions!$A:$A,"&gt;="&amp;DATE($B12,$A12,1),
  Transactions!$A:$A,"&lt;"&amp;DATE($B12,$A12+1,1)
)</f>
        <v>0</v>
      </c>
      <c r="E12" s="10">
        <f t="shared" si="0"/>
        <v>0</v>
      </c>
      <c r="F12" s="10">
        <f>SUMIFS(
  Transactions!$D:$D,
  Transactions!$C:$C,"OUT",
  Transactions!$E:$E,"Cash",
  Transactions!$F:$F,"Material Purchase",
  Transactions!$A:$A,"&gt;="&amp;DATE($B12,$A12,1),
  Transactions!$A:$A,"&lt;"&amp;DATE($B12,$A12+1,1)
)</f>
        <v>0</v>
      </c>
      <c r="G12" s="10">
        <f>SUMIFS(
  Transactions!$D:$D,
  Transactions!$C:$C,"OUT",
  Transactions!$E:$E,"Cash",
  Transactions!$F:$F,"Food Expense",
  Transactions!$A:$A,"&gt;="&amp;DATE($B12,$A12,1),
  Transactions!$A:$A,"&lt;"&amp;DATE($B12,$A12+1,1)
)</f>
        <v>0</v>
      </c>
      <c r="H12" s="10">
        <f>SUMIFS(
  Transactions!$D:$D,
  Transactions!$C:$C,"OUT",
  Transactions!$E:$E,"Cash",
  Transactions!$F:$F,"Fuel Expense",
  Transactions!$A:$A,"&gt;="&amp;DATE($B12,$A12,1),
  Transactions!$A:$A,"&lt;"&amp;DATE($B12,$A12+1,1)
)</f>
        <v>0</v>
      </c>
      <c r="I12" s="10">
        <f>SUMIFS(
  Transactions!$D:$D,
  Transactions!$C:$C,"OUT",
  Transactions!$E:$E,"Cash",
  Transactions!$F:$F,"Labour Expense",
  Transactions!$A:$A,"&gt;="&amp;DATE($B12,$A12,1),
  Transactions!$A:$A,"&lt;"&amp;DATE($B12,$A12+1,1)
)</f>
        <v>0</v>
      </c>
      <c r="J12" s="10">
        <f>SUMIFS(
  Transactions!$D:$D,
  Transactions!$C:$C,"OUT",
  Transactions!$E:$E,"Cash",
  Transactions!$F:$F,"Transport Expense",
  Transactions!$A:$A,"&gt;="&amp;DATE($B12,$A12,1),
  Transactions!$A:$A,"&lt;"&amp;DATE($B12,$A12+1,1)
)</f>
        <v>0</v>
      </c>
      <c r="K12" s="10">
        <f>SUMIFS(
  Transactions!$D:$D,
  Transactions!$C:$C,"IN",
  Transactions!$E:$E,"Accounts Receivable",
  Transactions!$A:$A,"&gt;=" &amp; DATE($B12,$A12,1),
  Transactions!$A:$A,"&lt;"  &amp; EOMONTH(DATE($B12,$A12,1),0)+1
)</f>
        <v>0</v>
      </c>
    </row>
    <row r="13" spans="1:11" ht="21.75" customHeight="1" x14ac:dyDescent="0.25">
      <c r="C13" s="10">
        <f>SUMIFS(
  Transactions!$D:$D,
  Transactions!$C:$C,"IN",
  Transactions!$E:$E,"Cash",
  Transactions!$A:$A,"&gt;=" &amp; DATE($B13,$A13,1),
  Transactions!$A:$A,"&lt;"  &amp; EOMONTH(DATE($B13,$A13,1),0)+1
)</f>
        <v>0</v>
      </c>
      <c r="D13" s="10">
        <f>SUMIFS(
  Transactions!$D:$D,
  Transactions!$C:$C,"OUT",
  Transactions!$E:$E,"Cash",
  Transactions!$A:$A,"&gt;="&amp;DATE($B13,$A13,1),
  Transactions!$A:$A,"&lt;"&amp;DATE($B13,$A13+1,1)
)</f>
        <v>0</v>
      </c>
      <c r="E13" s="10">
        <f t="shared" si="0"/>
        <v>0</v>
      </c>
      <c r="F13" s="10">
        <f>SUMIFS(
  Transactions!$D:$D,
  Transactions!$C:$C,"OUT",
  Transactions!$E:$E,"Cash",
  Transactions!$F:$F,"Material Purchase",
  Transactions!$A:$A,"&gt;="&amp;DATE($B13,$A13,1),
  Transactions!$A:$A,"&lt;"&amp;DATE($B13,$A13+1,1)
)</f>
        <v>0</v>
      </c>
      <c r="G13" s="10">
        <f>SUMIFS(
  Transactions!$D:$D,
  Transactions!$C:$C,"OUT",
  Transactions!$E:$E,"Cash",
  Transactions!$F:$F,"Food Expense",
  Transactions!$A:$A,"&gt;="&amp;DATE($B13,$A13,1),
  Transactions!$A:$A,"&lt;"&amp;DATE($B13,$A13+1,1)
)</f>
        <v>0</v>
      </c>
      <c r="H13" s="10">
        <f>SUMIFS(
  Transactions!$D:$D,
  Transactions!$C:$C,"OUT",
  Transactions!$E:$E,"Cash",
  Transactions!$F:$F,"Fuel Expense",
  Transactions!$A:$A,"&gt;="&amp;DATE($B13,$A13,1),
  Transactions!$A:$A,"&lt;"&amp;DATE($B13,$A13+1,1)
)</f>
        <v>0</v>
      </c>
      <c r="I13" s="10">
        <f>SUMIFS(
  Transactions!$D:$D,
  Transactions!$C:$C,"OUT",
  Transactions!$E:$E,"Cash",
  Transactions!$F:$F,"Labour Expense",
  Transactions!$A:$A,"&gt;="&amp;DATE($B13,$A13,1),
  Transactions!$A:$A,"&lt;"&amp;DATE($B13,$A13+1,1)
)</f>
        <v>0</v>
      </c>
      <c r="J13" s="10">
        <f>SUMIFS(
  Transactions!$D:$D,
  Transactions!$C:$C,"OUT",
  Transactions!$E:$E,"Cash",
  Transactions!$F:$F,"Transport Expense",
  Transactions!$A:$A,"&gt;="&amp;DATE($B13,$A13,1),
  Transactions!$A:$A,"&lt;"&amp;DATE($B13,$A13+1,1)
)</f>
        <v>0</v>
      </c>
      <c r="K13" s="10">
        <f>SUMIFS(
  Transactions!$D:$D,
  Transactions!$C:$C,"IN",
  Transactions!$E:$E,"Accounts Receivable",
  Transactions!$A:$A,"&gt;=" &amp; DATE($B13,$A13,1),
  Transactions!$A:$A,"&lt;"  &amp; EOMONTH(DATE($B13,$A13,1),0)+1
)</f>
        <v>0</v>
      </c>
    </row>
    <row r="14" spans="1:11" ht="21.75" customHeight="1" x14ac:dyDescent="0.25">
      <c r="C14" s="10">
        <f>SUMIFS(
  Transactions!$D:$D,
  Transactions!$C:$C,"IN",
  Transactions!$E:$E,"Cash",
  Transactions!$A:$A,"&gt;=" &amp; DATE($B14,$A14,1),
  Transactions!$A:$A,"&lt;"  &amp; EOMONTH(DATE($B14,$A14,1),0)+1
)</f>
        <v>0</v>
      </c>
      <c r="D14" s="10">
        <f>SUMIFS(
  Transactions!$D:$D,
  Transactions!$C:$C,"OUT",
  Transactions!$E:$E,"Cash",
  Transactions!$A:$A,"&gt;="&amp;DATE($B14,$A14,1),
  Transactions!$A:$A,"&lt;"&amp;DATE($B14,$A14+1,1)
)</f>
        <v>0</v>
      </c>
      <c r="E14" s="10">
        <f t="shared" si="0"/>
        <v>0</v>
      </c>
      <c r="F14" s="10">
        <f>SUMIFS(
  Transactions!$D:$D,
  Transactions!$C:$C,"OUT",
  Transactions!$E:$E,"Cash",
  Transactions!$F:$F,"Material Purchase",
  Transactions!$A:$A,"&gt;="&amp;DATE($B14,$A14,1),
  Transactions!$A:$A,"&lt;"&amp;DATE($B14,$A14+1,1)
)</f>
        <v>0</v>
      </c>
      <c r="G14" s="10">
        <f>SUMIFS(
  Transactions!$D:$D,
  Transactions!$C:$C,"OUT",
  Transactions!$E:$E,"Cash",
  Transactions!$F:$F,"Food Expense",
  Transactions!$A:$A,"&gt;="&amp;DATE($B14,$A14,1),
  Transactions!$A:$A,"&lt;"&amp;DATE($B14,$A14+1,1)
)</f>
        <v>0</v>
      </c>
      <c r="H14" s="10">
        <f>SUMIFS(
  Transactions!$D:$D,
  Transactions!$C:$C,"OUT",
  Transactions!$E:$E,"Cash",
  Transactions!$F:$F,"Fuel Expense",
  Transactions!$A:$A,"&gt;="&amp;DATE($B14,$A14,1),
  Transactions!$A:$A,"&lt;"&amp;DATE($B14,$A14+1,1)
)</f>
        <v>0</v>
      </c>
      <c r="I14" s="10">
        <f>SUMIFS(
  Transactions!$D:$D,
  Transactions!$C:$C,"OUT",
  Transactions!$E:$E,"Cash",
  Transactions!$F:$F,"Labour Expense",
  Transactions!$A:$A,"&gt;="&amp;DATE($B14,$A14,1),
  Transactions!$A:$A,"&lt;"&amp;DATE($B14,$A14+1,1)
)</f>
        <v>0</v>
      </c>
      <c r="J14" s="10">
        <f>SUMIFS(
  Transactions!$D:$D,
  Transactions!$C:$C,"OUT",
  Transactions!$E:$E,"Cash",
  Transactions!$F:$F,"Transport Expense",
  Transactions!$A:$A,"&gt;="&amp;DATE($B14,$A14,1),
  Transactions!$A:$A,"&lt;"&amp;DATE($B14,$A14+1,1)
)</f>
        <v>0</v>
      </c>
      <c r="K14" s="10">
        <f>SUMIFS(
  Transactions!$D:$D,
  Transactions!$C:$C,"IN",
  Transactions!$E:$E,"Accounts Receivable",
  Transactions!$A:$A,"&gt;=" &amp; DATE($B14,$A14,1),
  Transactions!$A:$A,"&lt;"  &amp; EOMONTH(DATE($B14,$A14,1),0)+1
)</f>
        <v>0</v>
      </c>
    </row>
    <row r="15" spans="1:11" ht="21.75" customHeight="1" x14ac:dyDescent="0.25">
      <c r="C15" s="10">
        <f>SUMIFS(
  Transactions!$D:$D,
  Transactions!$C:$C,"IN",
  Transactions!$E:$E,"Cash",
  Transactions!$A:$A,"&gt;=" &amp; DATE($B15,$A15,1),
  Transactions!$A:$A,"&lt;"  &amp; EOMONTH(DATE($B15,$A15,1),0)+1
)</f>
        <v>0</v>
      </c>
      <c r="D15" s="10">
        <f>SUMIFS(
  Transactions!$D:$D,
  Transactions!$C:$C,"OUT",
  Transactions!$E:$E,"Cash",
  Transactions!$A:$A,"&gt;="&amp;DATE($B15,$A15,1),
  Transactions!$A:$A,"&lt;"&amp;DATE($B15,$A15+1,1)
)</f>
        <v>0</v>
      </c>
      <c r="E15" s="10">
        <f t="shared" si="0"/>
        <v>0</v>
      </c>
      <c r="F15" s="10">
        <f>SUMIFS(
  Transactions!$D:$D,
  Transactions!$C:$C,"OUT",
  Transactions!$E:$E,"Cash",
  Transactions!$F:$F,"Material Purchase",
  Transactions!$A:$A,"&gt;="&amp;DATE($B15,$A15,1),
  Transactions!$A:$A,"&lt;"&amp;DATE($B15,$A15+1,1)
)</f>
        <v>0</v>
      </c>
      <c r="G15" s="10">
        <f>SUMIFS(
  Transactions!$D:$D,
  Transactions!$C:$C,"OUT",
  Transactions!$E:$E,"Cash",
  Transactions!$F:$F,"Food Expense",
  Transactions!$A:$A,"&gt;="&amp;DATE($B15,$A15,1),
  Transactions!$A:$A,"&lt;"&amp;DATE($B15,$A15+1,1)
)</f>
        <v>0</v>
      </c>
      <c r="H15" s="10">
        <f>SUMIFS(
  Transactions!$D:$D,
  Transactions!$C:$C,"OUT",
  Transactions!$E:$E,"Cash",
  Transactions!$F:$F,"Fuel Expense",
  Transactions!$A:$A,"&gt;="&amp;DATE($B15,$A15,1),
  Transactions!$A:$A,"&lt;"&amp;DATE($B15,$A15+1,1)
)</f>
        <v>0</v>
      </c>
      <c r="I15" s="10">
        <f>SUMIFS(
  Transactions!$D:$D,
  Transactions!$C:$C,"OUT",
  Transactions!$E:$E,"Cash",
  Transactions!$F:$F,"Labour Expense",
  Transactions!$A:$A,"&gt;="&amp;DATE($B15,$A15,1),
  Transactions!$A:$A,"&lt;"&amp;DATE($B15,$A15+1,1)
)</f>
        <v>0</v>
      </c>
      <c r="J15" s="10">
        <f>SUMIFS(
  Transactions!$D:$D,
  Transactions!$C:$C,"OUT",
  Transactions!$E:$E,"Cash",
  Transactions!$F:$F,"Transport Expense",
  Transactions!$A:$A,"&gt;="&amp;DATE($B15,$A15,1),
  Transactions!$A:$A,"&lt;"&amp;DATE($B15,$A15+1,1)
)</f>
        <v>0</v>
      </c>
      <c r="K15" s="10">
        <f>SUMIFS(
  Transactions!$D:$D,
  Transactions!$C:$C,"IN",
  Transactions!$E:$E,"Accounts Receivable",
  Transactions!$A:$A,"&gt;=" &amp; DATE($B15,$A15,1),
  Transactions!$A:$A,"&lt;"  &amp; EOMONTH(DATE($B15,$A15,1),0)+1
)</f>
        <v>0</v>
      </c>
    </row>
    <row r="16" spans="1:11" ht="21.75" customHeight="1" x14ac:dyDescent="0.25">
      <c r="C16" s="10">
        <f>SUMIFS(
  Transactions!$D:$D,
  Transactions!$C:$C,"IN",
  Transactions!$E:$E,"Cash",
  Transactions!$A:$A,"&gt;=" &amp; DATE($B16,$A16,1),
  Transactions!$A:$A,"&lt;"  &amp; EOMONTH(DATE($B16,$A16,1),0)+1
)</f>
        <v>0</v>
      </c>
      <c r="D16" s="10">
        <f>SUMIFS(
  Transactions!$D:$D,
  Transactions!$C:$C,"OUT",
  Transactions!$E:$E,"Cash",
  Transactions!$A:$A,"&gt;="&amp;DATE($B16,$A16,1),
  Transactions!$A:$A,"&lt;"&amp;DATE($B16,$A16+1,1)
)</f>
        <v>0</v>
      </c>
      <c r="E16" s="10">
        <f t="shared" si="0"/>
        <v>0</v>
      </c>
      <c r="F16" s="10">
        <f>SUMIFS(
  Transactions!$D:$D,
  Transactions!$C:$C,"OUT",
  Transactions!$E:$E,"Cash",
  Transactions!$F:$F,"Material Purchase",
  Transactions!$A:$A,"&gt;="&amp;DATE($B16,$A16,1),
  Transactions!$A:$A,"&lt;"&amp;DATE($B16,$A16+1,1)
)</f>
        <v>0</v>
      </c>
      <c r="G16" s="10">
        <f>SUMIFS(
  Transactions!$D:$D,
  Transactions!$C:$C,"OUT",
  Transactions!$E:$E,"Cash",
  Transactions!$F:$F,"Food Expense",
  Transactions!$A:$A,"&gt;="&amp;DATE($B16,$A16,1),
  Transactions!$A:$A,"&lt;"&amp;DATE($B16,$A16+1,1)
)</f>
        <v>0</v>
      </c>
      <c r="H16" s="10">
        <f>SUMIFS(
  Transactions!$D:$D,
  Transactions!$C:$C,"OUT",
  Transactions!$E:$E,"Cash",
  Transactions!$F:$F,"Fuel Expense",
  Transactions!$A:$A,"&gt;="&amp;DATE($B16,$A16,1),
  Transactions!$A:$A,"&lt;"&amp;DATE($B16,$A16+1,1)
)</f>
        <v>0</v>
      </c>
      <c r="I16" s="10">
        <f>SUMIFS(
  Transactions!$D:$D,
  Transactions!$C:$C,"OUT",
  Transactions!$E:$E,"Cash",
  Transactions!$F:$F,"Labour Expense",
  Transactions!$A:$A,"&gt;="&amp;DATE($B16,$A16,1),
  Transactions!$A:$A,"&lt;"&amp;DATE($B16,$A16+1,1)
)</f>
        <v>0</v>
      </c>
      <c r="J16" s="10">
        <f>SUMIFS(
  Transactions!$D:$D,
  Transactions!$C:$C,"OUT",
  Transactions!$E:$E,"Cash",
  Transactions!$F:$F,"Transport Expense",
  Transactions!$A:$A,"&gt;="&amp;DATE($B16,$A16,1),
  Transactions!$A:$A,"&lt;"&amp;DATE($B16,$A16+1,1)
)</f>
        <v>0</v>
      </c>
      <c r="K16" s="10">
        <f>SUMIFS(
  Transactions!$D:$D,
  Transactions!$C:$C,"IN",
  Transactions!$E:$E,"Accounts Receivable",
  Transactions!$A:$A,"&gt;=" &amp; DATE($B16,$A16,1),
  Transactions!$A:$A,"&lt;"  &amp; EOMONTH(DATE($B16,$A16,1),0)+1
)</f>
        <v>0</v>
      </c>
    </row>
    <row r="17" spans="3:11" ht="21.75" customHeight="1" x14ac:dyDescent="0.25">
      <c r="C17" s="10">
        <f>SUMIFS(
  Transactions!$D:$D,
  Transactions!$C:$C,"IN",
  Transactions!$E:$E,"Cash",
  Transactions!$A:$A,"&gt;=" &amp; DATE($B17,$A17,1),
  Transactions!$A:$A,"&lt;"  &amp; EOMONTH(DATE($B17,$A17,1),0)+1
)</f>
        <v>0</v>
      </c>
      <c r="D17" s="10">
        <f>SUMIFS(
  Transactions!$D:$D,
  Transactions!$C:$C,"OUT",
  Transactions!$E:$E,"Cash",
  Transactions!$A:$A,"&gt;="&amp;DATE($B17,$A17,1),
  Transactions!$A:$A,"&lt;"&amp;DATE($B17,$A17+1,1)
)</f>
        <v>0</v>
      </c>
      <c r="E17" s="10">
        <f t="shared" si="0"/>
        <v>0</v>
      </c>
      <c r="F17" s="10">
        <f>SUMIFS(
  Transactions!$D:$D,
  Transactions!$C:$C,"OUT",
  Transactions!$E:$E,"Cash",
  Transactions!$F:$F,"Material Purchase",
  Transactions!$A:$A,"&gt;="&amp;DATE($B17,$A17,1),
  Transactions!$A:$A,"&lt;"&amp;DATE($B17,$A17+1,1)
)</f>
        <v>0</v>
      </c>
      <c r="G17" s="10">
        <f>SUMIFS(
  Transactions!$D:$D,
  Transactions!$C:$C,"OUT",
  Transactions!$E:$E,"Cash",
  Transactions!$F:$F,"Food Expense",
  Transactions!$A:$A,"&gt;="&amp;DATE($B17,$A17,1),
  Transactions!$A:$A,"&lt;"&amp;DATE($B17,$A17+1,1)
)</f>
        <v>0</v>
      </c>
      <c r="H17" s="10">
        <f>SUMIFS(
  Transactions!$D:$D,
  Transactions!$C:$C,"OUT",
  Transactions!$E:$E,"Cash",
  Transactions!$F:$F,"Fuel Expense",
  Transactions!$A:$A,"&gt;="&amp;DATE($B17,$A17,1),
  Transactions!$A:$A,"&lt;"&amp;DATE($B17,$A17+1,1)
)</f>
        <v>0</v>
      </c>
      <c r="I17" s="10">
        <f>SUMIFS(
  Transactions!$D:$D,
  Transactions!$C:$C,"OUT",
  Transactions!$E:$E,"Cash",
  Transactions!$F:$F,"Labour Expense",
  Transactions!$A:$A,"&gt;="&amp;DATE($B17,$A17,1),
  Transactions!$A:$A,"&lt;"&amp;DATE($B17,$A17+1,1)
)</f>
        <v>0</v>
      </c>
      <c r="J17" s="10">
        <f>SUMIFS(
  Transactions!$D:$D,
  Transactions!$C:$C,"OUT",
  Transactions!$E:$E,"Cash",
  Transactions!$F:$F,"Transport Expense",
  Transactions!$A:$A,"&gt;="&amp;DATE($B17,$A17,1),
  Transactions!$A:$A,"&lt;"&amp;DATE($B17,$A17+1,1)
)</f>
        <v>0</v>
      </c>
      <c r="K17" s="10">
        <f>SUMIFS(
  Transactions!$D:$D,
  Transactions!$C:$C,"IN",
  Transactions!$E:$E,"Accounts Receivable",
  Transactions!$A:$A,"&gt;=" &amp; DATE($B17,$A17,1),
  Transactions!$A:$A,"&lt;"  &amp; EOMONTH(DATE($B17,$A17,1),0)+1
)</f>
        <v>0</v>
      </c>
    </row>
  </sheetData>
  <autoFilter ref="A1:J1" xr:uid="{00000000-0001-0000-05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zoomScale="74" zoomScaleNormal="81" workbookViewId="0">
      <selection activeCell="G14" sqref="G14"/>
    </sheetView>
  </sheetViews>
  <sheetFormatPr defaultColWidth="21" defaultRowHeight="25.5" customHeight="1" x14ac:dyDescent="0.25"/>
  <cols>
    <col min="1" max="1" width="17.85546875" style="4" customWidth="1"/>
    <col min="2" max="2" width="21" style="4"/>
    <col min="3" max="3" width="16.42578125" style="4" customWidth="1"/>
    <col min="4" max="4" width="12.5703125" style="4" customWidth="1"/>
    <col min="5" max="5" width="26.85546875" style="4" customWidth="1"/>
    <col min="6" max="6" width="23.28515625" style="4" customWidth="1"/>
    <col min="7" max="7" width="29.5703125" style="4" customWidth="1"/>
    <col min="8" max="8" width="24.85546875" style="4" customWidth="1"/>
    <col min="9" max="9" width="21.5703125" style="4" customWidth="1"/>
    <col min="10" max="10" width="24.5703125" style="4" customWidth="1"/>
    <col min="11" max="12" width="21" style="4"/>
    <col min="13" max="13" width="31.42578125" style="4" customWidth="1"/>
    <col min="14" max="14" width="55.7109375" style="4" customWidth="1"/>
    <col min="15" max="16384" width="21" style="4"/>
  </cols>
  <sheetData>
    <row r="1" spans="1:14" s="12" customFormat="1" ht="25.5" customHeight="1" x14ac:dyDescent="0.2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199</v>
      </c>
      <c r="M1" s="3" t="s">
        <v>200</v>
      </c>
      <c r="N1" s="3" t="s">
        <v>234</v>
      </c>
    </row>
    <row r="2" spans="1:14" ht="25.5" customHeight="1" x14ac:dyDescent="0.25">
      <c r="A2" s="4" t="s">
        <v>169</v>
      </c>
      <c r="B2" s="4" t="s">
        <v>170</v>
      </c>
      <c r="C2" s="4">
        <v>1800</v>
      </c>
      <c r="E2" s="4">
        <v>19</v>
      </c>
      <c r="F2" s="4">
        <f>IFERROR(
    IF(B2="Monthly",
        C2,
        IF(B2="Daily",
            D2*E2,
            IF(B2="Weekly",
                C2,
                0
            )
        )
    ),
0)</f>
        <v>1800</v>
      </c>
      <c r="G2" s="4">
        <v>1800</v>
      </c>
      <c r="H2" s="4">
        <f>IFERROR(IF(F2="",0,F2-G2),0)</f>
        <v>0</v>
      </c>
      <c r="K2" s="4">
        <f>IFERROR(IF(I2="",0,I2-J2),0)</f>
        <v>0</v>
      </c>
      <c r="L2" s="4">
        <v>1800</v>
      </c>
      <c r="M2" s="4">
        <f>IFERROR(H2+L2,0)</f>
        <v>1800</v>
      </c>
      <c r="N2" s="4" t="s">
        <v>233</v>
      </c>
    </row>
    <row r="3" spans="1:14" ht="25.5" customHeight="1" x14ac:dyDescent="0.25">
      <c r="A3" s="4" t="s">
        <v>171</v>
      </c>
      <c r="B3" s="4" t="s">
        <v>170</v>
      </c>
      <c r="C3" s="4">
        <v>4560</v>
      </c>
      <c r="F3" s="4">
        <f t="shared" ref="F3:F6" si="0">IFERROR(
    IF(B3="Monthly",
        C3,
        IF(B3="Daily",
            D3*E3,
            IF(B3="Weekly",
                C3,
                0
            )
        )
    ),
0)</f>
        <v>4560</v>
      </c>
      <c r="G3" s="4">
        <v>4060</v>
      </c>
      <c r="H3" s="4">
        <f t="shared" ref="H3:H6" si="1">IFERROR(IF(F3="",0,F3-G3),0)</f>
        <v>500</v>
      </c>
      <c r="K3" s="4">
        <f t="shared" ref="K3:K6" si="2">IFERROR(IF(I3="",0,I3-J3),0)</f>
        <v>0</v>
      </c>
      <c r="M3" s="4">
        <f t="shared" ref="M3:M6" si="3">IFERROR(H3+L3,0)</f>
        <v>500</v>
      </c>
      <c r="N3" s="4" t="s">
        <v>276</v>
      </c>
    </row>
    <row r="4" spans="1:14" ht="25.5" customHeight="1" x14ac:dyDescent="0.25">
      <c r="A4" s="4" t="s">
        <v>141</v>
      </c>
      <c r="B4" s="4" t="s">
        <v>170</v>
      </c>
      <c r="F4" s="4">
        <f t="shared" si="0"/>
        <v>0</v>
      </c>
      <c r="H4" s="4">
        <f t="shared" si="1"/>
        <v>0</v>
      </c>
      <c r="K4" s="4">
        <f t="shared" si="2"/>
        <v>0</v>
      </c>
      <c r="M4" s="4">
        <f t="shared" si="3"/>
        <v>0</v>
      </c>
    </row>
    <row r="5" spans="1:14" ht="25.5" customHeight="1" x14ac:dyDescent="0.25">
      <c r="A5" s="4" t="s">
        <v>172</v>
      </c>
      <c r="B5" s="4" t="s">
        <v>170</v>
      </c>
      <c r="F5" s="4">
        <f t="shared" si="0"/>
        <v>0</v>
      </c>
      <c r="H5" s="4">
        <f t="shared" si="1"/>
        <v>0</v>
      </c>
      <c r="K5" s="4">
        <f t="shared" si="2"/>
        <v>0</v>
      </c>
      <c r="M5" s="4">
        <f t="shared" si="3"/>
        <v>0</v>
      </c>
    </row>
    <row r="6" spans="1:14" ht="25.5" customHeight="1" x14ac:dyDescent="0.25">
      <c r="A6" s="4" t="s">
        <v>153</v>
      </c>
      <c r="B6" s="4" t="s">
        <v>197</v>
      </c>
      <c r="F6" s="4">
        <f t="shared" si="0"/>
        <v>0</v>
      </c>
      <c r="G6" s="20">
        <v>306</v>
      </c>
      <c r="H6" s="20">
        <f t="shared" si="1"/>
        <v>-306</v>
      </c>
      <c r="K6" s="4">
        <f t="shared" si="2"/>
        <v>0</v>
      </c>
      <c r="M6" s="4">
        <f t="shared" si="3"/>
        <v>-306</v>
      </c>
    </row>
    <row r="7" spans="1:14" ht="25.5" customHeight="1" x14ac:dyDescent="0.25">
      <c r="G7" s="4" t="s">
        <v>326</v>
      </c>
      <c r="H7" s="18"/>
    </row>
    <row r="8" spans="1:14" ht="25.5" customHeight="1" x14ac:dyDescent="0.25">
      <c r="G8" s="20" t="s">
        <v>277</v>
      </c>
    </row>
  </sheetData>
  <autoFilter ref="A1:M1" xr:uid="{00000000-0001-0000-04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zoomScale="106" workbookViewId="0">
      <selection activeCell="B2" sqref="B2"/>
    </sheetView>
  </sheetViews>
  <sheetFormatPr defaultColWidth="37" defaultRowHeight="15" x14ac:dyDescent="0.25"/>
  <cols>
    <col min="2" max="2" width="22.28515625" customWidth="1"/>
  </cols>
  <sheetData>
    <row r="1" spans="1:2" s="2" customFormat="1" ht="24.95" customHeight="1" x14ac:dyDescent="0.25">
      <c r="A1" s="1" t="s">
        <v>60</v>
      </c>
      <c r="B1" s="1" t="s">
        <v>61</v>
      </c>
    </row>
    <row r="2" spans="1:2" x14ac:dyDescent="0.25">
      <c r="A2" s="10" t="s">
        <v>62</v>
      </c>
      <c r="B2" s="10">
        <f>Accounts_Summary!D2</f>
        <v>-16219.500000000175</v>
      </c>
    </row>
    <row r="3" spans="1:2" x14ac:dyDescent="0.25">
      <c r="A3" s="10" t="s">
        <v>63</v>
      </c>
      <c r="B3" s="10">
        <f>Accounts_Summary!D3</f>
        <v>0</v>
      </c>
    </row>
    <row r="4" spans="1:2" x14ac:dyDescent="0.25">
      <c r="A4" s="10" t="s">
        <v>173</v>
      </c>
      <c r="B4" s="10">
        <f>Accounts_Summary!D4-Accounts_Summary!D5</f>
        <v>35145</v>
      </c>
    </row>
    <row r="5" spans="1:2" x14ac:dyDescent="0.25">
      <c r="A5" s="10" t="s">
        <v>64</v>
      </c>
      <c r="B5" s="10">
        <f>Accounts_Summary!D6</f>
        <v>12100</v>
      </c>
    </row>
    <row r="6" spans="1:2" x14ac:dyDescent="0.25">
      <c r="A6" s="10" t="s">
        <v>65</v>
      </c>
      <c r="B6" s="10">
        <f>Accounts_Summary!D7</f>
        <v>-5600.0000000000009</v>
      </c>
    </row>
    <row r="7" spans="1:2" x14ac:dyDescent="0.25">
      <c r="A7" s="10" t="s">
        <v>66</v>
      </c>
      <c r="B7" s="10">
        <f>Accounts_Summary!D8</f>
        <v>0</v>
      </c>
    </row>
    <row r="8" spans="1:2" x14ac:dyDescent="0.25">
      <c r="A8" s="10" t="s">
        <v>67</v>
      </c>
      <c r="B8" s="10">
        <f>Accounts_Summary!D9</f>
        <v>-17486</v>
      </c>
    </row>
    <row r="9" spans="1:2" x14ac:dyDescent="0.25">
      <c r="A9" s="10" t="s">
        <v>68</v>
      </c>
      <c r="B9" s="10">
        <f>SUM(Projects!I2:I1000)</f>
        <v>256267.79</v>
      </c>
    </row>
    <row r="10" spans="1:2" x14ac:dyDescent="0.25">
      <c r="A10" s="10" t="s">
        <v>69</v>
      </c>
      <c r="B10" s="10">
        <f>'Tax Report'!G2</f>
        <v>2125.8900000000008</v>
      </c>
    </row>
  </sheetData>
  <autoFilter ref="A1:B1" xr:uid="{00000000-0001-0000-0600-00000000000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477A-D6A1-487C-8C37-F7A7A4B8E3F7}">
  <dimension ref="A1:G200"/>
  <sheetViews>
    <sheetView topLeftCell="A14" zoomScale="104" workbookViewId="0">
      <selection activeCell="A33" sqref="A33"/>
    </sheetView>
  </sheetViews>
  <sheetFormatPr defaultColWidth="18.140625" defaultRowHeight="15" x14ac:dyDescent="0.25"/>
  <cols>
    <col min="1" max="1" width="18.140625" style="4"/>
    <col min="2" max="5" width="18.140625" style="51"/>
    <col min="6" max="6" width="36.28515625" style="4" customWidth="1"/>
    <col min="7" max="16384" width="18.140625" style="4"/>
  </cols>
  <sheetData>
    <row r="1" spans="1:7" s="52" customFormat="1" ht="26.25" customHeight="1" x14ac:dyDescent="0.25">
      <c r="A1" s="52" t="s">
        <v>493</v>
      </c>
      <c r="B1" s="53" t="s">
        <v>494</v>
      </c>
      <c r="C1" s="53" t="s">
        <v>495</v>
      </c>
      <c r="D1" s="53" t="s">
        <v>496</v>
      </c>
      <c r="E1" s="53" t="s">
        <v>612</v>
      </c>
      <c r="F1" s="52" t="s">
        <v>497</v>
      </c>
    </row>
    <row r="2" spans="1:7" s="20" customFormat="1" x14ac:dyDescent="0.25">
      <c r="A2" s="20" t="s">
        <v>483</v>
      </c>
      <c r="B2" s="56">
        <v>1200</v>
      </c>
      <c r="C2" s="56">
        <v>1000</v>
      </c>
      <c r="D2" s="56">
        <f>B2-C2</f>
        <v>200</v>
      </c>
      <c r="E2" s="56"/>
      <c r="F2" s="20" t="s">
        <v>484</v>
      </c>
      <c r="G2" s="20" t="s">
        <v>572</v>
      </c>
    </row>
    <row r="3" spans="1:7" x14ac:dyDescent="0.25">
      <c r="A3" s="4" t="s">
        <v>483</v>
      </c>
      <c r="B3" s="51">
        <v>1400</v>
      </c>
      <c r="C3" s="51">
        <v>0</v>
      </c>
      <c r="D3" s="51">
        <f t="shared" ref="D3:D66" si="0">B3-C3</f>
        <v>1400</v>
      </c>
      <c r="F3" s="4" t="s">
        <v>485</v>
      </c>
    </row>
    <row r="4" spans="1:7" s="54" customFormat="1" x14ac:dyDescent="0.25">
      <c r="A4" s="54" t="s">
        <v>483</v>
      </c>
      <c r="B4" s="55">
        <v>1000</v>
      </c>
      <c r="C4" s="55">
        <v>0</v>
      </c>
      <c r="D4" s="55">
        <f t="shared" si="0"/>
        <v>1000</v>
      </c>
      <c r="E4" s="55"/>
      <c r="F4" s="54" t="s">
        <v>486</v>
      </c>
      <c r="G4" s="54" t="s">
        <v>573</v>
      </c>
    </row>
    <row r="5" spans="1:7" s="54" customFormat="1" x14ac:dyDescent="0.25">
      <c r="A5" s="54" t="s">
        <v>382</v>
      </c>
      <c r="B5" s="55">
        <v>5500</v>
      </c>
      <c r="C5" s="55">
        <v>5500</v>
      </c>
      <c r="D5" s="55">
        <f t="shared" si="0"/>
        <v>0</v>
      </c>
      <c r="E5" s="55"/>
      <c r="F5" s="54" t="s">
        <v>487</v>
      </c>
      <c r="G5" s="54" t="s">
        <v>573</v>
      </c>
    </row>
    <row r="6" spans="1:7" x14ac:dyDescent="0.25">
      <c r="A6" s="4" t="s">
        <v>382</v>
      </c>
      <c r="B6" s="51">
        <v>600</v>
      </c>
      <c r="C6" s="51">
        <v>0</v>
      </c>
      <c r="D6" s="51">
        <f t="shared" si="0"/>
        <v>600</v>
      </c>
      <c r="F6" s="4" t="s">
        <v>488</v>
      </c>
    </row>
    <row r="7" spans="1:7" x14ac:dyDescent="0.25">
      <c r="A7" s="4" t="s">
        <v>489</v>
      </c>
      <c r="B7" s="51">
        <v>2000</v>
      </c>
      <c r="C7" s="51">
        <v>0</v>
      </c>
      <c r="D7" s="51">
        <f t="shared" si="0"/>
        <v>2000</v>
      </c>
      <c r="F7" s="4" t="s">
        <v>490</v>
      </c>
    </row>
    <row r="8" spans="1:7" s="54" customFormat="1" x14ac:dyDescent="0.25">
      <c r="A8" s="54" t="s">
        <v>483</v>
      </c>
      <c r="B8" s="55">
        <v>1000</v>
      </c>
      <c r="C8" s="55">
        <v>0</v>
      </c>
      <c r="D8" s="55">
        <f t="shared" si="0"/>
        <v>1000</v>
      </c>
      <c r="E8" s="55"/>
      <c r="F8" s="54" t="s">
        <v>491</v>
      </c>
      <c r="G8" s="54" t="s">
        <v>573</v>
      </c>
    </row>
    <row r="9" spans="1:7" s="20" customFormat="1" x14ac:dyDescent="0.25">
      <c r="A9" s="20" t="s">
        <v>492</v>
      </c>
      <c r="B9" s="56">
        <v>2600</v>
      </c>
      <c r="C9" s="56">
        <v>2000</v>
      </c>
      <c r="D9" s="56">
        <f t="shared" si="0"/>
        <v>600</v>
      </c>
      <c r="E9" s="56"/>
      <c r="F9" s="20" t="s">
        <v>498</v>
      </c>
      <c r="G9" s="20" t="s">
        <v>572</v>
      </c>
    </row>
    <row r="10" spans="1:7" x14ac:dyDescent="0.25">
      <c r="A10" s="4" t="s">
        <v>489</v>
      </c>
      <c r="B10" s="51">
        <v>2400</v>
      </c>
      <c r="C10" s="51">
        <v>0</v>
      </c>
      <c r="D10" s="51">
        <f t="shared" si="0"/>
        <v>2400</v>
      </c>
      <c r="F10" s="4" t="s">
        <v>499</v>
      </c>
    </row>
    <row r="11" spans="1:7" s="54" customFormat="1" x14ac:dyDescent="0.25">
      <c r="A11" s="54" t="s">
        <v>500</v>
      </c>
      <c r="B11" s="55">
        <v>700</v>
      </c>
      <c r="C11" s="55">
        <v>0</v>
      </c>
      <c r="D11" s="55">
        <f t="shared" si="0"/>
        <v>700</v>
      </c>
      <c r="E11" s="55"/>
      <c r="F11" s="54" t="s">
        <v>501</v>
      </c>
      <c r="G11" s="54" t="s">
        <v>573</v>
      </c>
    </row>
    <row r="12" spans="1:7" x14ac:dyDescent="0.25">
      <c r="A12" s="4" t="s">
        <v>502</v>
      </c>
      <c r="B12" s="51">
        <v>10000</v>
      </c>
      <c r="C12" s="51">
        <v>0</v>
      </c>
      <c r="D12" s="51">
        <f t="shared" si="0"/>
        <v>10000</v>
      </c>
      <c r="F12" s="4" t="s">
        <v>503</v>
      </c>
    </row>
    <row r="13" spans="1:7" x14ac:dyDescent="0.25">
      <c r="A13" s="4" t="s">
        <v>504</v>
      </c>
      <c r="B13" s="51">
        <v>5000</v>
      </c>
      <c r="C13" s="51">
        <v>0</v>
      </c>
      <c r="D13" s="51">
        <f t="shared" si="0"/>
        <v>5000</v>
      </c>
      <c r="F13" s="4" t="s">
        <v>505</v>
      </c>
    </row>
    <row r="14" spans="1:7" x14ac:dyDescent="0.25">
      <c r="A14" s="4" t="s">
        <v>506</v>
      </c>
      <c r="B14" s="51">
        <v>3500</v>
      </c>
      <c r="C14" s="51">
        <v>0</v>
      </c>
      <c r="D14" s="51">
        <f t="shared" si="0"/>
        <v>3500</v>
      </c>
      <c r="F14" s="4" t="s">
        <v>503</v>
      </c>
    </row>
    <row r="15" spans="1:7" x14ac:dyDescent="0.25">
      <c r="A15" s="4" t="s">
        <v>507</v>
      </c>
      <c r="B15" s="51">
        <v>800</v>
      </c>
      <c r="C15" s="51">
        <v>0</v>
      </c>
      <c r="D15" s="51">
        <f t="shared" si="0"/>
        <v>800</v>
      </c>
      <c r="F15" s="4" t="s">
        <v>503</v>
      </c>
    </row>
    <row r="16" spans="1:7" x14ac:dyDescent="0.25">
      <c r="A16" s="4" t="s">
        <v>508</v>
      </c>
      <c r="B16" s="51">
        <v>1500</v>
      </c>
      <c r="C16" s="51">
        <v>0</v>
      </c>
      <c r="D16" s="51">
        <f t="shared" si="0"/>
        <v>1500</v>
      </c>
      <c r="F16" s="4" t="s">
        <v>503</v>
      </c>
    </row>
    <row r="17" spans="1:7" s="20" customFormat="1" x14ac:dyDescent="0.25">
      <c r="A17" s="20" t="s">
        <v>421</v>
      </c>
      <c r="B17" s="56">
        <v>10000</v>
      </c>
      <c r="C17" s="56">
        <v>5000</v>
      </c>
      <c r="D17" s="56">
        <f t="shared" si="0"/>
        <v>5000</v>
      </c>
      <c r="E17" s="56"/>
      <c r="F17" s="20" t="s">
        <v>503</v>
      </c>
      <c r="G17" s="20" t="s">
        <v>572</v>
      </c>
    </row>
    <row r="18" spans="1:7" x14ac:dyDescent="0.25">
      <c r="A18" s="4" t="s">
        <v>509</v>
      </c>
      <c r="B18" s="51">
        <v>10000</v>
      </c>
      <c r="C18" s="51">
        <v>0</v>
      </c>
      <c r="D18" s="51">
        <f t="shared" si="0"/>
        <v>10000</v>
      </c>
      <c r="F18" s="4" t="s">
        <v>503</v>
      </c>
    </row>
    <row r="19" spans="1:7" x14ac:dyDescent="0.25">
      <c r="A19" s="4" t="s">
        <v>510</v>
      </c>
      <c r="B19" s="51">
        <v>3000</v>
      </c>
      <c r="C19" s="51">
        <v>300</v>
      </c>
      <c r="D19" s="51">
        <f t="shared" si="0"/>
        <v>2700</v>
      </c>
      <c r="F19" s="4" t="s">
        <v>503</v>
      </c>
    </row>
    <row r="20" spans="1:7" s="20" customFormat="1" x14ac:dyDescent="0.25">
      <c r="A20" s="20" t="s">
        <v>441</v>
      </c>
      <c r="B20" s="56">
        <v>41272</v>
      </c>
      <c r="C20" s="56">
        <v>12000</v>
      </c>
      <c r="D20" s="56">
        <f t="shared" si="0"/>
        <v>29272</v>
      </c>
      <c r="E20" s="56"/>
      <c r="F20" s="20" t="s">
        <v>611</v>
      </c>
    </row>
    <row r="21" spans="1:7" x14ac:dyDescent="0.25">
      <c r="A21" s="4" t="s">
        <v>511</v>
      </c>
      <c r="B21" s="51">
        <v>1500</v>
      </c>
      <c r="C21" s="51">
        <v>0</v>
      </c>
      <c r="D21" s="51">
        <f t="shared" si="0"/>
        <v>1500</v>
      </c>
      <c r="F21" s="4" t="s">
        <v>503</v>
      </c>
    </row>
    <row r="22" spans="1:7" x14ac:dyDescent="0.25">
      <c r="A22" s="4" t="s">
        <v>512</v>
      </c>
      <c r="B22" s="51">
        <v>1000</v>
      </c>
      <c r="C22" s="51">
        <v>0</v>
      </c>
      <c r="D22" s="51">
        <f t="shared" si="0"/>
        <v>1000</v>
      </c>
      <c r="F22" s="4" t="s">
        <v>503</v>
      </c>
    </row>
    <row r="23" spans="1:7" x14ac:dyDescent="0.25">
      <c r="A23" s="4" t="s">
        <v>513</v>
      </c>
      <c r="B23" s="51">
        <v>3500</v>
      </c>
      <c r="C23" s="51">
        <v>0</v>
      </c>
      <c r="D23" s="51">
        <f t="shared" si="0"/>
        <v>3500</v>
      </c>
      <c r="F23" s="4" t="s">
        <v>503</v>
      </c>
    </row>
    <row r="24" spans="1:7" s="20" customFormat="1" x14ac:dyDescent="0.25">
      <c r="A24" s="20" t="s">
        <v>231</v>
      </c>
      <c r="B24" s="56">
        <v>3500</v>
      </c>
      <c r="C24" s="56">
        <v>2000</v>
      </c>
      <c r="D24" s="56">
        <f t="shared" si="0"/>
        <v>1500</v>
      </c>
      <c r="E24" s="56"/>
      <c r="F24" s="20" t="s">
        <v>503</v>
      </c>
      <c r="G24" s="20" t="s">
        <v>572</v>
      </c>
    </row>
    <row r="25" spans="1:7" x14ac:dyDescent="0.25">
      <c r="A25" s="4" t="s">
        <v>514</v>
      </c>
      <c r="B25" s="51">
        <v>8000</v>
      </c>
      <c r="C25" s="51">
        <v>0</v>
      </c>
      <c r="D25" s="51">
        <f t="shared" si="0"/>
        <v>8000</v>
      </c>
      <c r="F25" s="4" t="s">
        <v>503</v>
      </c>
    </row>
    <row r="26" spans="1:7" s="54" customFormat="1" x14ac:dyDescent="0.25">
      <c r="A26" s="54" t="s">
        <v>515</v>
      </c>
      <c r="B26" s="55">
        <v>300</v>
      </c>
      <c r="C26" s="55">
        <v>300</v>
      </c>
      <c r="D26" s="55">
        <f t="shared" si="0"/>
        <v>0</v>
      </c>
      <c r="E26" s="55"/>
      <c r="F26" s="54" t="s">
        <v>503</v>
      </c>
      <c r="G26" s="54" t="s">
        <v>573</v>
      </c>
    </row>
    <row r="27" spans="1:7" x14ac:dyDescent="0.25">
      <c r="A27" s="4" t="s">
        <v>516</v>
      </c>
      <c r="B27" s="51">
        <v>21000</v>
      </c>
      <c r="C27" s="51">
        <v>0</v>
      </c>
      <c r="D27" s="51">
        <f t="shared" si="0"/>
        <v>21000</v>
      </c>
      <c r="F27" s="4" t="s">
        <v>503</v>
      </c>
    </row>
    <row r="28" spans="1:7" x14ac:dyDescent="0.25">
      <c r="A28" s="4" t="s">
        <v>639</v>
      </c>
      <c r="B28" s="51">
        <v>1000</v>
      </c>
      <c r="C28" s="51">
        <v>0</v>
      </c>
      <c r="D28" s="51">
        <f t="shared" si="0"/>
        <v>1000</v>
      </c>
      <c r="F28" s="4" t="s">
        <v>503</v>
      </c>
    </row>
    <row r="29" spans="1:7" x14ac:dyDescent="0.25">
      <c r="A29" s="4" t="s">
        <v>640</v>
      </c>
      <c r="B29" s="51">
        <v>3000</v>
      </c>
      <c r="C29" s="51">
        <v>0</v>
      </c>
      <c r="D29" s="51">
        <f t="shared" si="0"/>
        <v>3000</v>
      </c>
      <c r="F29" s="4" t="s">
        <v>503</v>
      </c>
    </row>
    <row r="30" spans="1:7" x14ac:dyDescent="0.25">
      <c r="A30" s="4" t="s">
        <v>511</v>
      </c>
      <c r="B30" s="51">
        <v>3300</v>
      </c>
      <c r="C30" s="51">
        <v>0</v>
      </c>
      <c r="D30" s="51">
        <f t="shared" si="0"/>
        <v>3300</v>
      </c>
      <c r="F30" s="4" t="s">
        <v>641</v>
      </c>
    </row>
    <row r="31" spans="1:7" x14ac:dyDescent="0.25">
      <c r="A31" s="4" t="s">
        <v>511</v>
      </c>
      <c r="B31" s="51">
        <v>900</v>
      </c>
      <c r="C31" s="51">
        <v>0</v>
      </c>
      <c r="D31" s="51">
        <f t="shared" si="0"/>
        <v>900</v>
      </c>
      <c r="F31" s="4" t="s">
        <v>642</v>
      </c>
    </row>
    <row r="32" spans="1:7" x14ac:dyDescent="0.25">
      <c r="A32" s="4" t="s">
        <v>643</v>
      </c>
      <c r="B32" s="51">
        <v>3000</v>
      </c>
      <c r="C32" s="51">
        <v>0</v>
      </c>
      <c r="D32" s="51">
        <f t="shared" si="0"/>
        <v>3000</v>
      </c>
      <c r="E32" s="51" t="s">
        <v>645</v>
      </c>
      <c r="F32" s="4" t="s">
        <v>644</v>
      </c>
    </row>
    <row r="33" spans="4:4" x14ac:dyDescent="0.25">
      <c r="D33" s="51">
        <f t="shared" si="0"/>
        <v>0</v>
      </c>
    </row>
    <row r="34" spans="4:4" x14ac:dyDescent="0.25">
      <c r="D34" s="51">
        <f t="shared" si="0"/>
        <v>0</v>
      </c>
    </row>
    <row r="35" spans="4:4" x14ac:dyDescent="0.25">
      <c r="D35" s="51">
        <f t="shared" si="0"/>
        <v>0</v>
      </c>
    </row>
    <row r="36" spans="4:4" x14ac:dyDescent="0.25">
      <c r="D36" s="51">
        <f t="shared" si="0"/>
        <v>0</v>
      </c>
    </row>
    <row r="37" spans="4:4" x14ac:dyDescent="0.25">
      <c r="D37" s="51">
        <f t="shared" si="0"/>
        <v>0</v>
      </c>
    </row>
    <row r="38" spans="4:4" x14ac:dyDescent="0.25">
      <c r="D38" s="51">
        <f t="shared" si="0"/>
        <v>0</v>
      </c>
    </row>
    <row r="39" spans="4:4" x14ac:dyDescent="0.25">
      <c r="D39" s="51">
        <f t="shared" si="0"/>
        <v>0</v>
      </c>
    </row>
    <row r="40" spans="4:4" x14ac:dyDescent="0.25">
      <c r="D40" s="51">
        <f t="shared" si="0"/>
        <v>0</v>
      </c>
    </row>
    <row r="41" spans="4:4" x14ac:dyDescent="0.25">
      <c r="D41" s="51">
        <f t="shared" si="0"/>
        <v>0</v>
      </c>
    </row>
    <row r="42" spans="4:4" x14ac:dyDescent="0.25">
      <c r="D42" s="51">
        <f t="shared" si="0"/>
        <v>0</v>
      </c>
    </row>
    <row r="43" spans="4:4" x14ac:dyDescent="0.25">
      <c r="D43" s="51">
        <f t="shared" si="0"/>
        <v>0</v>
      </c>
    </row>
    <row r="44" spans="4:4" x14ac:dyDescent="0.25">
      <c r="D44" s="51">
        <f t="shared" si="0"/>
        <v>0</v>
      </c>
    </row>
    <row r="45" spans="4:4" x14ac:dyDescent="0.25">
      <c r="D45" s="51">
        <f t="shared" si="0"/>
        <v>0</v>
      </c>
    </row>
    <row r="46" spans="4:4" x14ac:dyDescent="0.25">
      <c r="D46" s="51">
        <f t="shared" si="0"/>
        <v>0</v>
      </c>
    </row>
    <row r="47" spans="4:4" x14ac:dyDescent="0.25">
      <c r="D47" s="51">
        <f t="shared" si="0"/>
        <v>0</v>
      </c>
    </row>
    <row r="48" spans="4:4" x14ac:dyDescent="0.25">
      <c r="D48" s="51">
        <f t="shared" si="0"/>
        <v>0</v>
      </c>
    </row>
    <row r="49" spans="4:4" x14ac:dyDescent="0.25">
      <c r="D49" s="51">
        <f t="shared" si="0"/>
        <v>0</v>
      </c>
    </row>
    <row r="50" spans="4:4" x14ac:dyDescent="0.25">
      <c r="D50" s="51">
        <f t="shared" si="0"/>
        <v>0</v>
      </c>
    </row>
    <row r="51" spans="4:4" x14ac:dyDescent="0.25">
      <c r="D51" s="51">
        <f t="shared" si="0"/>
        <v>0</v>
      </c>
    </row>
    <row r="52" spans="4:4" x14ac:dyDescent="0.25">
      <c r="D52" s="51">
        <f t="shared" si="0"/>
        <v>0</v>
      </c>
    </row>
    <row r="53" spans="4:4" x14ac:dyDescent="0.25">
      <c r="D53" s="51">
        <f t="shared" si="0"/>
        <v>0</v>
      </c>
    </row>
    <row r="54" spans="4:4" x14ac:dyDescent="0.25">
      <c r="D54" s="51">
        <f t="shared" si="0"/>
        <v>0</v>
      </c>
    </row>
    <row r="55" spans="4:4" x14ac:dyDescent="0.25">
      <c r="D55" s="51">
        <f t="shared" si="0"/>
        <v>0</v>
      </c>
    </row>
    <row r="56" spans="4:4" x14ac:dyDescent="0.25">
      <c r="D56" s="51">
        <f t="shared" si="0"/>
        <v>0</v>
      </c>
    </row>
    <row r="57" spans="4:4" x14ac:dyDescent="0.25">
      <c r="D57" s="51">
        <f t="shared" si="0"/>
        <v>0</v>
      </c>
    </row>
    <row r="58" spans="4:4" x14ac:dyDescent="0.25">
      <c r="D58" s="51">
        <f t="shared" si="0"/>
        <v>0</v>
      </c>
    </row>
    <row r="59" spans="4:4" x14ac:dyDescent="0.25">
      <c r="D59" s="51">
        <f t="shared" si="0"/>
        <v>0</v>
      </c>
    </row>
    <row r="60" spans="4:4" x14ac:dyDescent="0.25">
      <c r="D60" s="51">
        <f t="shared" si="0"/>
        <v>0</v>
      </c>
    </row>
    <row r="61" spans="4:4" x14ac:dyDescent="0.25">
      <c r="D61" s="51">
        <f t="shared" si="0"/>
        <v>0</v>
      </c>
    </row>
    <row r="62" spans="4:4" x14ac:dyDescent="0.25">
      <c r="D62" s="51">
        <f t="shared" si="0"/>
        <v>0</v>
      </c>
    </row>
    <row r="63" spans="4:4" x14ac:dyDescent="0.25">
      <c r="D63" s="51">
        <f t="shared" si="0"/>
        <v>0</v>
      </c>
    </row>
    <row r="64" spans="4:4" x14ac:dyDescent="0.25">
      <c r="D64" s="51">
        <f t="shared" si="0"/>
        <v>0</v>
      </c>
    </row>
    <row r="65" spans="4:4" x14ac:dyDescent="0.25">
      <c r="D65" s="51">
        <f t="shared" si="0"/>
        <v>0</v>
      </c>
    </row>
    <row r="66" spans="4:4" x14ac:dyDescent="0.25">
      <c r="D66" s="51">
        <f t="shared" si="0"/>
        <v>0</v>
      </c>
    </row>
    <row r="67" spans="4:4" x14ac:dyDescent="0.25">
      <c r="D67" s="51">
        <f t="shared" ref="D67:D130" si="1">B67-C67</f>
        <v>0</v>
      </c>
    </row>
    <row r="68" spans="4:4" x14ac:dyDescent="0.25">
      <c r="D68" s="51">
        <f t="shared" si="1"/>
        <v>0</v>
      </c>
    </row>
    <row r="69" spans="4:4" x14ac:dyDescent="0.25">
      <c r="D69" s="51">
        <f t="shared" si="1"/>
        <v>0</v>
      </c>
    </row>
    <row r="70" spans="4:4" x14ac:dyDescent="0.25">
      <c r="D70" s="51">
        <f t="shared" si="1"/>
        <v>0</v>
      </c>
    </row>
    <row r="71" spans="4:4" x14ac:dyDescent="0.25">
      <c r="D71" s="51">
        <f t="shared" si="1"/>
        <v>0</v>
      </c>
    </row>
    <row r="72" spans="4:4" x14ac:dyDescent="0.25">
      <c r="D72" s="51">
        <f t="shared" si="1"/>
        <v>0</v>
      </c>
    </row>
    <row r="73" spans="4:4" x14ac:dyDescent="0.25">
      <c r="D73" s="51">
        <f t="shared" si="1"/>
        <v>0</v>
      </c>
    </row>
    <row r="74" spans="4:4" x14ac:dyDescent="0.25">
      <c r="D74" s="51">
        <f t="shared" si="1"/>
        <v>0</v>
      </c>
    </row>
    <row r="75" spans="4:4" x14ac:dyDescent="0.25">
      <c r="D75" s="51">
        <f t="shared" si="1"/>
        <v>0</v>
      </c>
    </row>
    <row r="76" spans="4:4" x14ac:dyDescent="0.25">
      <c r="D76" s="51">
        <f t="shared" si="1"/>
        <v>0</v>
      </c>
    </row>
    <row r="77" spans="4:4" x14ac:dyDescent="0.25">
      <c r="D77" s="51">
        <f t="shared" si="1"/>
        <v>0</v>
      </c>
    </row>
    <row r="78" spans="4:4" x14ac:dyDescent="0.25">
      <c r="D78" s="51">
        <f t="shared" si="1"/>
        <v>0</v>
      </c>
    </row>
    <row r="79" spans="4:4" x14ac:dyDescent="0.25">
      <c r="D79" s="51">
        <f t="shared" si="1"/>
        <v>0</v>
      </c>
    </row>
    <row r="80" spans="4:4" x14ac:dyDescent="0.25">
      <c r="D80" s="51">
        <f t="shared" si="1"/>
        <v>0</v>
      </c>
    </row>
    <row r="81" spans="4:4" x14ac:dyDescent="0.25">
      <c r="D81" s="51">
        <f t="shared" si="1"/>
        <v>0</v>
      </c>
    </row>
    <row r="82" spans="4:4" x14ac:dyDescent="0.25">
      <c r="D82" s="51">
        <f t="shared" si="1"/>
        <v>0</v>
      </c>
    </row>
    <row r="83" spans="4:4" x14ac:dyDescent="0.25">
      <c r="D83" s="51">
        <f t="shared" si="1"/>
        <v>0</v>
      </c>
    </row>
    <row r="84" spans="4:4" x14ac:dyDescent="0.25">
      <c r="D84" s="51">
        <f t="shared" si="1"/>
        <v>0</v>
      </c>
    </row>
    <row r="85" spans="4:4" x14ac:dyDescent="0.25">
      <c r="D85" s="51">
        <f t="shared" si="1"/>
        <v>0</v>
      </c>
    </row>
    <row r="86" spans="4:4" x14ac:dyDescent="0.25">
      <c r="D86" s="51">
        <f t="shared" si="1"/>
        <v>0</v>
      </c>
    </row>
    <row r="87" spans="4:4" x14ac:dyDescent="0.25">
      <c r="D87" s="51">
        <f t="shared" si="1"/>
        <v>0</v>
      </c>
    </row>
    <row r="88" spans="4:4" x14ac:dyDescent="0.25">
      <c r="D88" s="51">
        <f t="shared" si="1"/>
        <v>0</v>
      </c>
    </row>
    <row r="89" spans="4:4" x14ac:dyDescent="0.25">
      <c r="D89" s="51">
        <f t="shared" si="1"/>
        <v>0</v>
      </c>
    </row>
    <row r="90" spans="4:4" x14ac:dyDescent="0.25">
      <c r="D90" s="51">
        <f t="shared" si="1"/>
        <v>0</v>
      </c>
    </row>
    <row r="91" spans="4:4" x14ac:dyDescent="0.25">
      <c r="D91" s="51">
        <f t="shared" si="1"/>
        <v>0</v>
      </c>
    </row>
    <row r="92" spans="4:4" x14ac:dyDescent="0.25">
      <c r="D92" s="51">
        <f t="shared" si="1"/>
        <v>0</v>
      </c>
    </row>
    <row r="93" spans="4:4" x14ac:dyDescent="0.25">
      <c r="D93" s="51">
        <f t="shared" si="1"/>
        <v>0</v>
      </c>
    </row>
    <row r="94" spans="4:4" x14ac:dyDescent="0.25">
      <c r="D94" s="51">
        <f t="shared" si="1"/>
        <v>0</v>
      </c>
    </row>
    <row r="95" spans="4:4" x14ac:dyDescent="0.25">
      <c r="D95" s="51">
        <f t="shared" si="1"/>
        <v>0</v>
      </c>
    </row>
    <row r="96" spans="4:4" x14ac:dyDescent="0.25">
      <c r="D96" s="51">
        <f t="shared" si="1"/>
        <v>0</v>
      </c>
    </row>
    <row r="97" spans="4:4" x14ac:dyDescent="0.25">
      <c r="D97" s="51">
        <f t="shared" si="1"/>
        <v>0</v>
      </c>
    </row>
    <row r="98" spans="4:4" x14ac:dyDescent="0.25">
      <c r="D98" s="51">
        <f t="shared" si="1"/>
        <v>0</v>
      </c>
    </row>
    <row r="99" spans="4:4" x14ac:dyDescent="0.25">
      <c r="D99" s="51">
        <f t="shared" si="1"/>
        <v>0</v>
      </c>
    </row>
    <row r="100" spans="4:4" x14ac:dyDescent="0.25">
      <c r="D100" s="51">
        <f t="shared" si="1"/>
        <v>0</v>
      </c>
    </row>
    <row r="101" spans="4:4" x14ac:dyDescent="0.25">
      <c r="D101" s="51">
        <f t="shared" si="1"/>
        <v>0</v>
      </c>
    </row>
    <row r="102" spans="4:4" x14ac:dyDescent="0.25">
      <c r="D102" s="51">
        <f t="shared" si="1"/>
        <v>0</v>
      </c>
    </row>
    <row r="103" spans="4:4" x14ac:dyDescent="0.25">
      <c r="D103" s="51">
        <f t="shared" si="1"/>
        <v>0</v>
      </c>
    </row>
    <row r="104" spans="4:4" x14ac:dyDescent="0.25">
      <c r="D104" s="51">
        <f t="shared" si="1"/>
        <v>0</v>
      </c>
    </row>
    <row r="105" spans="4:4" x14ac:dyDescent="0.25">
      <c r="D105" s="51">
        <f t="shared" si="1"/>
        <v>0</v>
      </c>
    </row>
    <row r="106" spans="4:4" x14ac:dyDescent="0.25">
      <c r="D106" s="51">
        <f t="shared" si="1"/>
        <v>0</v>
      </c>
    </row>
    <row r="107" spans="4:4" x14ac:dyDescent="0.25">
      <c r="D107" s="51">
        <f t="shared" si="1"/>
        <v>0</v>
      </c>
    </row>
    <row r="108" spans="4:4" x14ac:dyDescent="0.25">
      <c r="D108" s="51">
        <f t="shared" si="1"/>
        <v>0</v>
      </c>
    </row>
    <row r="109" spans="4:4" x14ac:dyDescent="0.25">
      <c r="D109" s="51">
        <f t="shared" si="1"/>
        <v>0</v>
      </c>
    </row>
    <row r="110" spans="4:4" x14ac:dyDescent="0.25">
      <c r="D110" s="51">
        <f t="shared" si="1"/>
        <v>0</v>
      </c>
    </row>
    <row r="111" spans="4:4" x14ac:dyDescent="0.25">
      <c r="D111" s="51">
        <f t="shared" si="1"/>
        <v>0</v>
      </c>
    </row>
    <row r="112" spans="4:4" x14ac:dyDescent="0.25">
      <c r="D112" s="51">
        <f t="shared" si="1"/>
        <v>0</v>
      </c>
    </row>
    <row r="113" spans="4:4" x14ac:dyDescent="0.25">
      <c r="D113" s="51">
        <f t="shared" si="1"/>
        <v>0</v>
      </c>
    </row>
    <row r="114" spans="4:4" x14ac:dyDescent="0.25">
      <c r="D114" s="51">
        <f t="shared" si="1"/>
        <v>0</v>
      </c>
    </row>
    <row r="115" spans="4:4" x14ac:dyDescent="0.25">
      <c r="D115" s="51">
        <f t="shared" si="1"/>
        <v>0</v>
      </c>
    </row>
    <row r="116" spans="4:4" x14ac:dyDescent="0.25">
      <c r="D116" s="51">
        <f t="shared" si="1"/>
        <v>0</v>
      </c>
    </row>
    <row r="117" spans="4:4" x14ac:dyDescent="0.25">
      <c r="D117" s="51">
        <f t="shared" si="1"/>
        <v>0</v>
      </c>
    </row>
    <row r="118" spans="4:4" x14ac:dyDescent="0.25">
      <c r="D118" s="51">
        <f t="shared" si="1"/>
        <v>0</v>
      </c>
    </row>
    <row r="119" spans="4:4" x14ac:dyDescent="0.25">
      <c r="D119" s="51">
        <f t="shared" si="1"/>
        <v>0</v>
      </c>
    </row>
    <row r="120" spans="4:4" x14ac:dyDescent="0.25">
      <c r="D120" s="51">
        <f t="shared" si="1"/>
        <v>0</v>
      </c>
    </row>
    <row r="121" spans="4:4" x14ac:dyDescent="0.25">
      <c r="D121" s="51">
        <f t="shared" si="1"/>
        <v>0</v>
      </c>
    </row>
    <row r="122" spans="4:4" x14ac:dyDescent="0.25">
      <c r="D122" s="51">
        <f t="shared" si="1"/>
        <v>0</v>
      </c>
    </row>
    <row r="123" spans="4:4" x14ac:dyDescent="0.25">
      <c r="D123" s="51">
        <f t="shared" si="1"/>
        <v>0</v>
      </c>
    </row>
    <row r="124" spans="4:4" x14ac:dyDescent="0.25">
      <c r="D124" s="51">
        <f t="shared" si="1"/>
        <v>0</v>
      </c>
    </row>
    <row r="125" spans="4:4" x14ac:dyDescent="0.25">
      <c r="D125" s="51">
        <f t="shared" si="1"/>
        <v>0</v>
      </c>
    </row>
    <row r="126" spans="4:4" x14ac:dyDescent="0.25">
      <c r="D126" s="51">
        <f t="shared" si="1"/>
        <v>0</v>
      </c>
    </row>
    <row r="127" spans="4:4" x14ac:dyDescent="0.25">
      <c r="D127" s="51">
        <f t="shared" si="1"/>
        <v>0</v>
      </c>
    </row>
    <row r="128" spans="4:4" x14ac:dyDescent="0.25">
      <c r="D128" s="51">
        <f t="shared" si="1"/>
        <v>0</v>
      </c>
    </row>
    <row r="129" spans="4:4" x14ac:dyDescent="0.25">
      <c r="D129" s="51">
        <f t="shared" si="1"/>
        <v>0</v>
      </c>
    </row>
    <row r="130" spans="4:4" x14ac:dyDescent="0.25">
      <c r="D130" s="51">
        <f t="shared" si="1"/>
        <v>0</v>
      </c>
    </row>
    <row r="131" spans="4:4" x14ac:dyDescent="0.25">
      <c r="D131" s="51">
        <f t="shared" ref="D131:D194" si="2">B131-C131</f>
        <v>0</v>
      </c>
    </row>
    <row r="132" spans="4:4" x14ac:dyDescent="0.25">
      <c r="D132" s="51">
        <f t="shared" si="2"/>
        <v>0</v>
      </c>
    </row>
    <row r="133" spans="4:4" x14ac:dyDescent="0.25">
      <c r="D133" s="51">
        <f t="shared" si="2"/>
        <v>0</v>
      </c>
    </row>
    <row r="134" spans="4:4" x14ac:dyDescent="0.25">
      <c r="D134" s="51">
        <f t="shared" si="2"/>
        <v>0</v>
      </c>
    </row>
    <row r="135" spans="4:4" x14ac:dyDescent="0.25">
      <c r="D135" s="51">
        <f t="shared" si="2"/>
        <v>0</v>
      </c>
    </row>
    <row r="136" spans="4:4" x14ac:dyDescent="0.25">
      <c r="D136" s="51">
        <f t="shared" si="2"/>
        <v>0</v>
      </c>
    </row>
    <row r="137" spans="4:4" x14ac:dyDescent="0.25">
      <c r="D137" s="51">
        <f t="shared" si="2"/>
        <v>0</v>
      </c>
    </row>
    <row r="138" spans="4:4" x14ac:dyDescent="0.25">
      <c r="D138" s="51">
        <f t="shared" si="2"/>
        <v>0</v>
      </c>
    </row>
    <row r="139" spans="4:4" x14ac:dyDescent="0.25">
      <c r="D139" s="51">
        <f t="shared" si="2"/>
        <v>0</v>
      </c>
    </row>
    <row r="140" spans="4:4" x14ac:dyDescent="0.25">
      <c r="D140" s="51">
        <f t="shared" si="2"/>
        <v>0</v>
      </c>
    </row>
    <row r="141" spans="4:4" x14ac:dyDescent="0.25">
      <c r="D141" s="51">
        <f t="shared" si="2"/>
        <v>0</v>
      </c>
    </row>
    <row r="142" spans="4:4" x14ac:dyDescent="0.25">
      <c r="D142" s="51">
        <f t="shared" si="2"/>
        <v>0</v>
      </c>
    </row>
    <row r="143" spans="4:4" x14ac:dyDescent="0.25">
      <c r="D143" s="51">
        <f t="shared" si="2"/>
        <v>0</v>
      </c>
    </row>
    <row r="144" spans="4:4" x14ac:dyDescent="0.25">
      <c r="D144" s="51">
        <f t="shared" si="2"/>
        <v>0</v>
      </c>
    </row>
    <row r="145" spans="4:4" x14ac:dyDescent="0.25">
      <c r="D145" s="51">
        <f t="shared" si="2"/>
        <v>0</v>
      </c>
    </row>
    <row r="146" spans="4:4" x14ac:dyDescent="0.25">
      <c r="D146" s="51">
        <f t="shared" si="2"/>
        <v>0</v>
      </c>
    </row>
    <row r="147" spans="4:4" x14ac:dyDescent="0.25">
      <c r="D147" s="51">
        <f t="shared" si="2"/>
        <v>0</v>
      </c>
    </row>
    <row r="148" spans="4:4" x14ac:dyDescent="0.25">
      <c r="D148" s="51">
        <f t="shared" si="2"/>
        <v>0</v>
      </c>
    </row>
    <row r="149" spans="4:4" x14ac:dyDescent="0.25">
      <c r="D149" s="51">
        <f t="shared" si="2"/>
        <v>0</v>
      </c>
    </row>
    <row r="150" spans="4:4" x14ac:dyDescent="0.25">
      <c r="D150" s="51">
        <f t="shared" si="2"/>
        <v>0</v>
      </c>
    </row>
    <row r="151" spans="4:4" x14ac:dyDescent="0.25">
      <c r="D151" s="51">
        <f t="shared" si="2"/>
        <v>0</v>
      </c>
    </row>
    <row r="152" spans="4:4" x14ac:dyDescent="0.25">
      <c r="D152" s="51">
        <f t="shared" si="2"/>
        <v>0</v>
      </c>
    </row>
    <row r="153" spans="4:4" x14ac:dyDescent="0.25">
      <c r="D153" s="51">
        <f t="shared" si="2"/>
        <v>0</v>
      </c>
    </row>
    <row r="154" spans="4:4" x14ac:dyDescent="0.25">
      <c r="D154" s="51">
        <f t="shared" si="2"/>
        <v>0</v>
      </c>
    </row>
    <row r="155" spans="4:4" x14ac:dyDescent="0.25">
      <c r="D155" s="51">
        <f t="shared" si="2"/>
        <v>0</v>
      </c>
    </row>
    <row r="156" spans="4:4" x14ac:dyDescent="0.25">
      <c r="D156" s="51">
        <f t="shared" si="2"/>
        <v>0</v>
      </c>
    </row>
    <row r="157" spans="4:4" x14ac:dyDescent="0.25">
      <c r="D157" s="51">
        <f t="shared" si="2"/>
        <v>0</v>
      </c>
    </row>
    <row r="158" spans="4:4" x14ac:dyDescent="0.25">
      <c r="D158" s="51">
        <f t="shared" si="2"/>
        <v>0</v>
      </c>
    </row>
    <row r="159" spans="4:4" x14ac:dyDescent="0.25">
      <c r="D159" s="51">
        <f t="shared" si="2"/>
        <v>0</v>
      </c>
    </row>
    <row r="160" spans="4:4" x14ac:dyDescent="0.25">
      <c r="D160" s="51">
        <f t="shared" si="2"/>
        <v>0</v>
      </c>
    </row>
    <row r="161" spans="4:4" x14ac:dyDescent="0.25">
      <c r="D161" s="51">
        <f t="shared" si="2"/>
        <v>0</v>
      </c>
    </row>
    <row r="162" spans="4:4" x14ac:dyDescent="0.25">
      <c r="D162" s="51">
        <f t="shared" si="2"/>
        <v>0</v>
      </c>
    </row>
    <row r="163" spans="4:4" x14ac:dyDescent="0.25">
      <c r="D163" s="51">
        <f t="shared" si="2"/>
        <v>0</v>
      </c>
    </row>
    <row r="164" spans="4:4" x14ac:dyDescent="0.25">
      <c r="D164" s="51">
        <f t="shared" si="2"/>
        <v>0</v>
      </c>
    </row>
    <row r="165" spans="4:4" x14ac:dyDescent="0.25">
      <c r="D165" s="51">
        <f t="shared" si="2"/>
        <v>0</v>
      </c>
    </row>
    <row r="166" spans="4:4" x14ac:dyDescent="0.25">
      <c r="D166" s="51">
        <f t="shared" si="2"/>
        <v>0</v>
      </c>
    </row>
    <row r="167" spans="4:4" x14ac:dyDescent="0.25">
      <c r="D167" s="51">
        <f t="shared" si="2"/>
        <v>0</v>
      </c>
    </row>
    <row r="168" spans="4:4" x14ac:dyDescent="0.25">
      <c r="D168" s="51">
        <f t="shared" si="2"/>
        <v>0</v>
      </c>
    </row>
    <row r="169" spans="4:4" x14ac:dyDescent="0.25">
      <c r="D169" s="51">
        <f t="shared" si="2"/>
        <v>0</v>
      </c>
    </row>
    <row r="170" spans="4:4" x14ac:dyDescent="0.25">
      <c r="D170" s="51">
        <f t="shared" si="2"/>
        <v>0</v>
      </c>
    </row>
    <row r="171" spans="4:4" x14ac:dyDescent="0.25">
      <c r="D171" s="51">
        <f t="shared" si="2"/>
        <v>0</v>
      </c>
    </row>
    <row r="172" spans="4:4" x14ac:dyDescent="0.25">
      <c r="D172" s="51">
        <f t="shared" si="2"/>
        <v>0</v>
      </c>
    </row>
    <row r="173" spans="4:4" x14ac:dyDescent="0.25">
      <c r="D173" s="51">
        <f t="shared" si="2"/>
        <v>0</v>
      </c>
    </row>
    <row r="174" spans="4:4" x14ac:dyDescent="0.25">
      <c r="D174" s="51">
        <f t="shared" si="2"/>
        <v>0</v>
      </c>
    </row>
    <row r="175" spans="4:4" x14ac:dyDescent="0.25">
      <c r="D175" s="51">
        <f t="shared" si="2"/>
        <v>0</v>
      </c>
    </row>
    <row r="176" spans="4:4" x14ac:dyDescent="0.25">
      <c r="D176" s="51">
        <f t="shared" si="2"/>
        <v>0</v>
      </c>
    </row>
    <row r="177" spans="4:4" x14ac:dyDescent="0.25">
      <c r="D177" s="51">
        <f t="shared" si="2"/>
        <v>0</v>
      </c>
    </row>
    <row r="178" spans="4:4" x14ac:dyDescent="0.25">
      <c r="D178" s="51">
        <f t="shared" si="2"/>
        <v>0</v>
      </c>
    </row>
    <row r="179" spans="4:4" x14ac:dyDescent="0.25">
      <c r="D179" s="51">
        <f t="shared" si="2"/>
        <v>0</v>
      </c>
    </row>
    <row r="180" spans="4:4" x14ac:dyDescent="0.25">
      <c r="D180" s="51">
        <f t="shared" si="2"/>
        <v>0</v>
      </c>
    </row>
    <row r="181" spans="4:4" x14ac:dyDescent="0.25">
      <c r="D181" s="51">
        <f t="shared" si="2"/>
        <v>0</v>
      </c>
    </row>
    <row r="182" spans="4:4" x14ac:dyDescent="0.25">
      <c r="D182" s="51">
        <f t="shared" si="2"/>
        <v>0</v>
      </c>
    </row>
    <row r="183" spans="4:4" x14ac:dyDescent="0.25">
      <c r="D183" s="51">
        <f t="shared" si="2"/>
        <v>0</v>
      </c>
    </row>
    <row r="184" spans="4:4" x14ac:dyDescent="0.25">
      <c r="D184" s="51">
        <f t="shared" si="2"/>
        <v>0</v>
      </c>
    </row>
    <row r="185" spans="4:4" x14ac:dyDescent="0.25">
      <c r="D185" s="51">
        <f t="shared" si="2"/>
        <v>0</v>
      </c>
    </row>
    <row r="186" spans="4:4" x14ac:dyDescent="0.25">
      <c r="D186" s="51">
        <f t="shared" si="2"/>
        <v>0</v>
      </c>
    </row>
    <row r="187" spans="4:4" x14ac:dyDescent="0.25">
      <c r="D187" s="51">
        <f t="shared" si="2"/>
        <v>0</v>
      </c>
    </row>
    <row r="188" spans="4:4" x14ac:dyDescent="0.25">
      <c r="D188" s="51">
        <f t="shared" si="2"/>
        <v>0</v>
      </c>
    </row>
    <row r="189" spans="4:4" x14ac:dyDescent="0.25">
      <c r="D189" s="51">
        <f t="shared" si="2"/>
        <v>0</v>
      </c>
    </row>
    <row r="190" spans="4:4" x14ac:dyDescent="0.25">
      <c r="D190" s="51">
        <f t="shared" si="2"/>
        <v>0</v>
      </c>
    </row>
    <row r="191" spans="4:4" x14ac:dyDescent="0.25">
      <c r="D191" s="51">
        <f t="shared" si="2"/>
        <v>0</v>
      </c>
    </row>
    <row r="192" spans="4:4" x14ac:dyDescent="0.25">
      <c r="D192" s="51">
        <f t="shared" si="2"/>
        <v>0</v>
      </c>
    </row>
    <row r="193" spans="4:4" x14ac:dyDescent="0.25">
      <c r="D193" s="51">
        <f t="shared" si="2"/>
        <v>0</v>
      </c>
    </row>
    <row r="194" spans="4:4" x14ac:dyDescent="0.25">
      <c r="D194" s="51">
        <f t="shared" si="2"/>
        <v>0</v>
      </c>
    </row>
    <row r="195" spans="4:4" x14ac:dyDescent="0.25">
      <c r="D195" s="51">
        <f t="shared" ref="D195:D200" si="3">B195-C195</f>
        <v>0</v>
      </c>
    </row>
    <row r="196" spans="4:4" x14ac:dyDescent="0.25">
      <c r="D196" s="51">
        <f t="shared" si="3"/>
        <v>0</v>
      </c>
    </row>
    <row r="197" spans="4:4" x14ac:dyDescent="0.25">
      <c r="D197" s="51">
        <f t="shared" si="3"/>
        <v>0</v>
      </c>
    </row>
    <row r="198" spans="4:4" x14ac:dyDescent="0.25">
      <c r="D198" s="51">
        <f t="shared" si="3"/>
        <v>0</v>
      </c>
    </row>
    <row r="199" spans="4:4" x14ac:dyDescent="0.25">
      <c r="D199" s="51">
        <f t="shared" si="3"/>
        <v>0</v>
      </c>
    </row>
    <row r="200" spans="4:4" x14ac:dyDescent="0.25">
      <c r="D200" s="51">
        <f t="shared" si="3"/>
        <v>0</v>
      </c>
    </row>
  </sheetData>
  <autoFilter ref="A1:G1" xr:uid="{F279477A-D6A1-487C-8C37-F7A7A4B8E3F7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Projects</vt:lpstr>
      <vt:lpstr>Accounts_Summary</vt:lpstr>
      <vt:lpstr>Tax Report</vt:lpstr>
      <vt:lpstr>Monthly_Report</vt:lpstr>
      <vt:lpstr>Employees</vt:lpstr>
      <vt:lpstr>Dashboard</vt:lpstr>
      <vt:lpstr>Old Accounts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Younus Umer</cp:lastModifiedBy>
  <dcterms:created xsi:type="dcterms:W3CDTF">2025-11-27T11:30:08Z</dcterms:created>
  <dcterms:modified xsi:type="dcterms:W3CDTF">2026-04-05T09:41:10Z</dcterms:modified>
</cp:coreProperties>
</file>