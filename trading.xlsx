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71" firstSheet="0" activeTab="0" autoFilterDateGrouping="1"/>
  </bookViews>
  <sheets>
    <sheet name="Transactions" sheetId="1" state="visible" r:id="rId1"/>
    <sheet name="Projects" sheetId="2" state="visible" r:id="rId2"/>
    <sheet name="Accounts_Summary" sheetId="3" state="visible" r:id="rId3"/>
    <sheet name="Tax Report" sheetId="4" state="visible" r:id="rId4"/>
    <sheet name="Monthly_Report" sheetId="5" state="visible" r:id="rId5"/>
    <sheet name="Employees" sheetId="6" state="visible" r:id="rId6"/>
    <sheet name="Dashboard" sheetId="7" state="visible" r:id="rId7"/>
    <sheet name="Old Accounts Payable" sheetId="8" state="visible" r:id="rId8"/>
  </sheets>
  <definedNames>
    <definedName name="_xlchart.v1.0" hidden="1">Dashboard!$A$2:$A$10</definedName>
    <definedName name="_xlchart.v1.1" hidden="1">Dashboard!$B$2:$B$10</definedName>
    <definedName name="CategoryList">#REF!</definedName>
    <definedName name="_xlnm._FilterDatabase" localSheetId="0" hidden="1">'Transactions'!$A$1:$R$2025</definedName>
    <definedName name="_xlnm._FilterDatabase" localSheetId="1" hidden="1">'Projects'!$A$1:$J$2000</definedName>
    <definedName name="_xlnm._FilterDatabase" localSheetId="2" hidden="1">'Accounts_Summary'!$A$1:$D$1</definedName>
    <definedName name="_xlnm._FilterDatabase" localSheetId="3" hidden="1">'Tax Report'!$A$1:$G$1</definedName>
    <definedName name="_xlnm._FilterDatabase" localSheetId="4" hidden="1">'Monthly_Report'!$A$1:$J$1</definedName>
    <definedName name="_xlnm._FilterDatabase" localSheetId="5" hidden="1">'Employees'!$A$1:$M$1</definedName>
    <definedName name="_xlnm._FilterDatabase" localSheetId="6" hidden="1">'Dashboard'!$A$1:$B$1</definedName>
    <definedName name="_xlnm._FilterDatabase" localSheetId="7" hidden="1">'Old Accounts Payable'!$A$1:$G$1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\-mm\-d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Segoe UI"/>
      <family val="2"/>
      <color rgb="FF111827"/>
      <sz val="11"/>
    </font>
    <font>
      <name val="Calibri"/>
      <family val="2"/>
      <b val="1"/>
      <color rgb="FF111827"/>
      <sz val="11"/>
      <scheme val="minor"/>
    </font>
    <font>
      <name val="Calibri"/>
      <family val="2"/>
      <b val="1"/>
      <color theme="1"/>
      <sz val="12"/>
      <scheme val="minor"/>
    </font>
    <font>
      <name val="Segoe UI"/>
      <family val="2"/>
      <b val="1"/>
      <color rgb="FF111827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74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2" fontId="1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2" fontId="1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5" borderId="1" pivotButton="0" quotePrefix="0" xfId="0"/>
    <xf numFmtId="0" fontId="1" fillId="0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/>
    </xf>
    <xf numFmtId="0" fontId="0" fillId="4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2" fontId="0" fillId="2" borderId="1" applyAlignment="1" pivotButton="0" quotePrefix="0" xfId="0">
      <alignment horizontal="left" vertical="center"/>
    </xf>
    <xf numFmtId="2" fontId="1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2" fontId="4" fillId="2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7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2" fontId="0" fillId="8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3" fontId="1" fillId="9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left" vertical="center"/>
    </xf>
    <xf numFmtId="4" fontId="1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4" fontId="1" fillId="5" borderId="1" applyAlignment="1" pivotButton="0" quotePrefix="0" xfId="0">
      <alignment horizontal="left" vertical="center"/>
    </xf>
    <xf numFmtId="4" fontId="4" fillId="2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left" vertical="center"/>
    </xf>
    <xf numFmtId="4" fontId="0" fillId="2" borderId="1" applyAlignment="1" pivotButton="0" quotePrefix="0" xfId="0">
      <alignment horizontal="left" vertical="center"/>
    </xf>
    <xf numFmtId="4" fontId="1" fillId="4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left" vertical="center"/>
    </xf>
    <xf numFmtId="4" fontId="0" fillId="8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4" fontId="5" fillId="6" borderId="1" applyAlignment="1" pivotButton="0" quotePrefix="0" xfId="0">
      <alignment horizontal="left" vertical="center"/>
    </xf>
    <xf numFmtId="4" fontId="1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left" vertical="center"/>
    </xf>
    <xf numFmtId="4" fontId="1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left" vertical="center"/>
    </xf>
    <xf numFmtId="4" fontId="1" fillId="10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left" vertical="center"/>
    </xf>
    <xf numFmtId="164" fontId="6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topLeftCell="A716" zoomScale="85" zoomScaleNormal="113" workbookViewId="0">
      <selection activeCell="H728" sqref="H728"/>
    </sheetView>
  </sheetViews>
  <sheetFormatPr baseColWidth="8" defaultColWidth="16.5703125" defaultRowHeight="22.5" customHeight="1"/>
  <cols>
    <col width="16.5703125" customWidth="1" style="80" min="1" max="1"/>
    <col width="27.42578125" customWidth="1" style="4" min="2" max="2"/>
    <col width="16.5703125" customWidth="1" style="4" min="3" max="3"/>
    <col width="16.5703125" customWidth="1" style="59" min="4" max="4"/>
    <col width="16.5703125" customWidth="1" style="4" min="5" max="5"/>
    <col width="19.28515625" customWidth="1" style="4" min="6" max="6"/>
    <col width="28.28515625" customWidth="1" style="18" min="7" max="7"/>
    <col width="22" customWidth="1" style="4" min="8" max="8"/>
    <col width="9.42578125" customWidth="1" style="4" min="9" max="9"/>
    <col width="9.140625" customWidth="1" style="4" min="10" max="10"/>
    <col width="16.5703125" customWidth="1" style="4" min="11" max="13"/>
    <col width="16.5703125" customWidth="1" style="13" min="14" max="14"/>
    <col width="16.5703125" customWidth="1" style="4" min="15" max="15"/>
    <col width="16.5703125" customWidth="1" style="59" min="16" max="16"/>
    <col width="16.5703125" customWidth="1" style="4" min="17" max="17"/>
    <col width="32.85546875" customWidth="1" style="4" min="18" max="18"/>
    <col width="16.5703125" customWidth="1" style="4" min="19" max="16384"/>
  </cols>
  <sheetData>
    <row r="1" ht="24.95" customFormat="1" customHeight="1" s="12">
      <c r="A1" s="77" t="inlineStr">
        <is>
          <t>Date</t>
        </is>
      </c>
      <c r="B1" s="3" t="inlineStr">
        <is>
          <t>Description</t>
        </is>
      </c>
      <c r="C1" s="3" t="inlineStr">
        <is>
          <t>Type (IN/OUT)</t>
        </is>
      </c>
      <c r="D1" s="58" t="inlineStr">
        <is>
          <t>Amount (Excl. VAT)</t>
        </is>
      </c>
      <c r="E1" s="3" t="inlineStr">
        <is>
          <t>Account</t>
        </is>
      </c>
      <c r="F1" s="3" t="inlineStr">
        <is>
          <t>Category</t>
        </is>
      </c>
      <c r="G1" s="3" t="inlineStr">
        <is>
          <t>Project</t>
        </is>
      </c>
      <c r="H1" s="3" t="inlineStr">
        <is>
          <t>Material Item</t>
        </is>
      </c>
      <c r="I1" s="3" t="inlineStr">
        <is>
          <t>Qty</t>
        </is>
      </c>
      <c r="J1" s="3" t="inlineStr">
        <is>
          <t>Rate</t>
        </is>
      </c>
      <c r="K1" s="3" t="inlineStr">
        <is>
          <t>Party Name</t>
        </is>
      </c>
      <c r="L1" s="3" t="inlineStr">
        <is>
          <t>Party Type</t>
        </is>
      </c>
      <c r="M1" s="3" t="inlineStr">
        <is>
          <t>Invoice #</t>
        </is>
      </c>
      <c r="N1" s="11" t="inlineStr">
        <is>
          <t>Tax %</t>
        </is>
      </c>
      <c r="O1" s="3" t="inlineStr">
        <is>
          <t>Tax Amount</t>
        </is>
      </c>
      <c r="P1" s="58" t="inlineStr">
        <is>
          <t>Total Amount</t>
        </is>
      </c>
      <c r="Q1" s="3" t="inlineStr">
        <is>
          <t>Payment Status</t>
        </is>
      </c>
      <c r="R1" s="3" t="inlineStr">
        <is>
          <t>Notes</t>
        </is>
      </c>
    </row>
    <row r="2" ht="22.5" customHeight="1">
      <c r="A2" s="80" t="n">
        <v>45965</v>
      </c>
      <c r="B2" s="4" t="inlineStr">
        <is>
          <t>chemicals</t>
        </is>
      </c>
      <c r="C2" s="4" t="inlineStr">
        <is>
          <t>OUT</t>
        </is>
      </c>
      <c r="D2" s="59" t="n">
        <v>220</v>
      </c>
      <c r="E2" s="4" t="inlineStr">
        <is>
          <t>Cash</t>
        </is>
      </c>
      <c r="F2" s="4" t="inlineStr">
        <is>
          <t>Material Purchase</t>
        </is>
      </c>
      <c r="G2" s="18" t="inlineStr">
        <is>
          <t>SS316 Pipeline Work</t>
        </is>
      </c>
      <c r="H2" s="4" t="inlineStr">
        <is>
          <t>Material/Tools</t>
        </is>
      </c>
      <c r="K2" s="4" t="inlineStr">
        <is>
          <t>TBD</t>
        </is>
      </c>
      <c r="L2" s="4" t="inlineStr">
        <is>
          <t>Supplier</t>
        </is>
      </c>
      <c r="N2" s="13" t="n">
        <v>15</v>
      </c>
      <c r="O2" s="4">
        <f>IF(OR(D2="", N2=""), "", ROUND(D2 * N2 / 100, 2))</f>
        <v/>
      </c>
      <c r="P2" s="59">
        <f>IF(D2="", "", D2 + O2)</f>
        <v/>
      </c>
      <c r="Q2" s="4" t="inlineStr">
        <is>
          <t>Paid</t>
        </is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Format="1" customHeight="1" s="6"/>
    <row r="12" ht="22.5" customFormat="1" customHeight="1" s="6"/>
    <row r="13" ht="22.5" customHeight="1"/>
    <row r="14" ht="22.5" customHeight="1"/>
    <row r="15" ht="22.5" customHeight="1"/>
    <row r="16" ht="22.5" customHeight="1"/>
    <row r="17" ht="22.5" customFormat="1" customHeight="1" s="6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Format="1" customHeight="1" s="27"/>
    <row r="28" ht="22.5" customFormat="1" customHeight="1" s="21"/>
    <row r="29" ht="22.5" customFormat="1" customHeight="1" s="6"/>
    <row r="30" ht="22.5" customHeight="1"/>
    <row r="31" ht="22.5" customFormat="1" customHeight="1" s="24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Format="1" customHeight="1" s="21"/>
    <row r="60" ht="22.5" customHeight="1"/>
    <row r="61" ht="22.5" customHeight="1"/>
    <row r="62" ht="22.5" customFormat="1" customHeight="1" s="21"/>
    <row r="63" ht="22.5" customFormat="1" customHeight="1" s="21"/>
    <row r="64" ht="22.5" customFormat="1" customHeight="1" s="21"/>
    <row r="65" ht="22.5" customFormat="1" customHeight="1" s="21"/>
    <row r="66" ht="22.5" customHeight="1"/>
    <row r="67" ht="22.5" customHeight="1"/>
    <row r="68" ht="22.5" customHeight="1"/>
    <row r="69" ht="22.5" customFormat="1" customHeight="1" s="6"/>
    <row r="70" ht="22.5" customFormat="1" customHeight="1" s="21"/>
    <row r="71" ht="22.5" customFormat="1" customHeight="1" s="21"/>
    <row r="72" ht="22.5" customHeight="1"/>
    <row r="73" ht="22.5" customFormat="1" customHeight="1" s="6"/>
    <row r="74" ht="22.5" customHeight="1"/>
    <row r="75" ht="22.5" customHeight="1"/>
    <row r="76" ht="22.5" customHeight="1"/>
    <row r="77" ht="22.5" customFormat="1" customHeight="1" s="6"/>
    <row r="78" ht="22.5" customHeight="1"/>
    <row r="79" ht="22.5" customFormat="1" customHeight="1" s="24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Format="1" customHeight="1" s="6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Format="1" customHeight="1" s="6"/>
    <row r="101" ht="22.5" customFormat="1" customHeight="1" s="21"/>
    <row r="102" ht="22.5" customFormat="1" customHeight="1" s="21"/>
    <row r="103" ht="22.5" customHeight="1"/>
    <row r="104" ht="22.5" customHeight="1"/>
    <row r="105" ht="22.5" customHeight="1"/>
    <row r="106" ht="22.5" customHeight="1"/>
    <row r="107" ht="22.5" customHeight="1"/>
    <row r="108" ht="22.5" customFormat="1" customHeight="1" s="21"/>
    <row r="109" ht="22.5" customFormat="1" customHeight="1" s="6"/>
    <row r="110" ht="22.5" customHeight="1"/>
    <row r="111" ht="22.5" customFormat="1" customHeight="1" s="6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Format="1" customHeight="1" s="5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Format="1" customHeight="1" s="5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Format="1" customHeight="1" s="27"/>
    <row r="145" ht="22.5" customFormat="1" customHeight="1" s="6"/>
    <row r="146" ht="22.5" customHeight="1"/>
    <row r="147" ht="22.5" customFormat="1" customHeight="1" s="5"/>
    <row r="148" ht="22.5" customHeight="1"/>
    <row r="149" ht="22.5" customHeight="1"/>
    <row r="150" ht="22.5" customHeight="1"/>
    <row r="151" ht="22.5" customHeight="1"/>
    <row r="152" ht="22.5" customFormat="1" customHeight="1" s="5"/>
    <row r="153" ht="22.5" customFormat="1" customHeight="1" s="6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Format="1" customHeight="1" s="6"/>
    <row r="171" ht="22.5" customFormat="1" customHeight="1" s="6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Format="1" customHeight="1" s="8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Format="1" customHeight="1" s="42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Format="1" customHeight="1" s="6"/>
    <row r="213" ht="22.5" customHeight="1"/>
    <row r="214" ht="22.5" customFormat="1" customHeight="1" s="24"/>
    <row r="215" ht="22.5" customHeight="1"/>
    <row r="216" ht="22.5" customFormat="1" customHeight="1" s="24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Format="1" customHeight="1" s="21"/>
    <row r="230" ht="22.5" customFormat="1" customHeight="1" s="6"/>
    <row r="231" ht="22.5" customFormat="1" customHeight="1" s="6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Format="1" customHeight="1" s="24"/>
    <row r="251" ht="22.5" customFormat="1" customHeight="1" s="24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Format="1" customHeight="1" s="6"/>
    <row r="285" ht="22.5" customHeight="1"/>
    <row r="286" ht="22.5" customHeight="1"/>
    <row r="287" ht="22.5" customHeight="1"/>
    <row r="288" ht="22.5" customHeight="1"/>
    <row r="289" ht="22.5" customFormat="1" customHeight="1" s="6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Format="1" customHeight="1" s="6"/>
    <row r="301" ht="22.5" customFormat="1" customHeight="1" s="6"/>
    <row r="302" ht="22.5" customHeight="1"/>
    <row r="303" ht="22.5" customFormat="1" customHeight="1" s="21"/>
    <row r="304" ht="22.5" customFormat="1" customHeight="1" s="21"/>
    <row r="305" ht="22.5" customFormat="1" customHeight="1" s="21"/>
    <row r="306" ht="22.5" customFormat="1" customHeight="1" s="21"/>
    <row r="307" ht="22.5" customFormat="1" customHeight="1" s="21"/>
    <row r="308" ht="22.5" customFormat="1" customHeight="1" s="21"/>
    <row r="309" ht="22.5" customFormat="1" customHeight="1" s="21"/>
    <row r="310" ht="22.5" customFormat="1" customHeight="1" s="21"/>
    <row r="311" ht="22.5" customFormat="1" customHeight="1" s="21"/>
    <row r="312" ht="22.5" customFormat="1" customHeight="1" s="21"/>
    <row r="313" ht="22.5" customFormat="1" customHeight="1" s="21"/>
    <row r="314" ht="22.5" customFormat="1" customHeight="1" s="21"/>
    <row r="315" ht="22.5" customFormat="1" customHeight="1" s="21"/>
    <row r="316" ht="22.5" customFormat="1" customHeight="1" s="21"/>
    <row r="317" ht="22.5" customFormat="1" customHeight="1" s="21"/>
    <row r="318" ht="22.5" customFormat="1" customHeight="1" s="21"/>
    <row r="319" ht="22.5" customFormat="1" customHeight="1" s="21"/>
    <row r="320" ht="22.5" customFormat="1" customHeight="1" s="21"/>
    <row r="321" ht="22.5" customFormat="1" customHeight="1" s="21"/>
    <row r="322" ht="22.5" customFormat="1" customHeight="1" s="21"/>
    <row r="323" ht="22.5" customFormat="1" customHeight="1" s="21"/>
    <row r="324" ht="22.5" customFormat="1" customHeight="1" s="21"/>
    <row r="325" ht="22.5" customFormat="1" customHeight="1" s="21"/>
    <row r="326" ht="22.5" customFormat="1" customHeight="1" s="21"/>
    <row r="327" ht="22.5" customFormat="1" customHeight="1" s="21"/>
    <row r="328" ht="22.5" customFormat="1" customHeight="1" s="21"/>
    <row r="329" ht="22.5" customFormat="1" customHeight="1" s="2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Format="1" customHeight="1" s="8"/>
    <row r="383" ht="22.5" customHeight="1"/>
    <row r="384" ht="22.5" customHeight="1"/>
    <row r="385" ht="22.5" customHeight="1"/>
    <row r="386" ht="22.5" customFormat="1" customHeight="1" s="6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Format="1" customHeight="1" s="34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Format="1" customHeight="1" s="6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Format="1" customHeight="1" s="6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Format="1" customHeight="1" s="6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Format="1" customHeight="1" s="6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Format="1" customHeight="1" s="6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Format="1" customHeight="1" s="6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Format="1" customHeight="1" s="6"/>
    <row r="653" ht="22.5" customFormat="1" customHeight="1" s="6"/>
    <row r="654" ht="22.5" customFormat="1" customHeight="1" s="6"/>
    <row r="655" ht="22.5" customFormat="1" customHeight="1" s="6"/>
    <row r="656" ht="22.5" customFormat="1" customHeight="1" s="2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Format="1" customHeight="1" s="6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Format="1" customHeight="1" s="6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  <row r="1078" ht="22.5" customHeight="1"/>
    <row r="1079" ht="22.5" customHeight="1"/>
    <row r="1080" ht="22.5" customHeight="1"/>
    <row r="1081" ht="22.5" customHeight="1"/>
    <row r="1082" ht="22.5" customHeight="1"/>
    <row r="1083" ht="22.5" customHeight="1"/>
    <row r="1084" ht="22.5" customHeight="1"/>
    <row r="1085" ht="22.5" customHeight="1"/>
    <row r="1086" ht="22.5" customHeight="1"/>
    <row r="1087" ht="22.5" customHeight="1"/>
    <row r="1088" ht="22.5" customHeight="1"/>
    <row r="1089" ht="22.5" customHeight="1"/>
    <row r="1090" ht="22.5" customHeight="1"/>
    <row r="1091" ht="22.5" customHeight="1"/>
    <row r="1092" ht="22.5" customHeight="1"/>
    <row r="1093" ht="22.5" customHeight="1"/>
    <row r="1094" ht="22.5" customHeight="1"/>
    <row r="1095" ht="22.5" customHeight="1"/>
    <row r="1096" ht="22.5" customHeight="1"/>
    <row r="1097" ht="22.5" customHeight="1"/>
    <row r="1098" ht="22.5" customHeight="1"/>
    <row r="1099" ht="22.5" customHeight="1"/>
    <row r="1100" ht="22.5" customHeight="1"/>
    <row r="1101" ht="22.5" customHeight="1"/>
    <row r="1102" ht="22.5" customHeight="1"/>
    <row r="1103" ht="22.5" customHeight="1"/>
    <row r="1104" ht="22.5" customHeight="1"/>
    <row r="1105" ht="22.5" customHeight="1"/>
    <row r="1106" ht="22.5" customHeight="1"/>
    <row r="1107" ht="22.5" customHeight="1"/>
    <row r="1108" ht="22.5" customHeight="1"/>
    <row r="1109" ht="22.5" customHeight="1"/>
    <row r="1110" ht="22.5" customHeight="1"/>
    <row r="1111" ht="22.5" customHeight="1"/>
    <row r="1112" ht="22.5" customHeight="1"/>
    <row r="1113" ht="22.5" customHeight="1"/>
    <row r="1114" ht="22.5" customHeight="1"/>
    <row r="1115" ht="22.5" customHeight="1"/>
    <row r="1116" ht="22.5" customHeight="1"/>
    <row r="1117" ht="22.5" customHeight="1"/>
    <row r="1118" ht="22.5" customHeight="1"/>
    <row r="1119" ht="22.5" customHeight="1"/>
    <row r="1120" ht="22.5" customHeight="1"/>
    <row r="1121" ht="22.5" customHeight="1"/>
    <row r="1122" ht="22.5" customHeight="1"/>
    <row r="1123" ht="22.5" customHeight="1"/>
    <row r="1124" ht="22.5" customHeight="1"/>
    <row r="1125" ht="22.5" customHeight="1"/>
    <row r="1126" ht="22.5" customHeight="1"/>
    <row r="1127" ht="22.5" customHeight="1"/>
    <row r="1128" ht="22.5" customHeight="1"/>
    <row r="1129" ht="22.5" customHeight="1"/>
    <row r="1130" ht="22.5" customHeight="1"/>
    <row r="1131" ht="22.5" customHeight="1"/>
    <row r="1132" ht="22.5" customHeight="1"/>
    <row r="1133" ht="22.5" customHeight="1"/>
    <row r="1134" ht="22.5" customHeight="1"/>
    <row r="1135" ht="22.5" customHeight="1"/>
    <row r="1136" ht="22.5" customHeight="1"/>
    <row r="1137" ht="22.5" customHeight="1"/>
    <row r="1138" ht="22.5" customHeight="1"/>
    <row r="1139" ht="22.5" customHeight="1"/>
    <row r="1140" ht="22.5" customHeight="1"/>
    <row r="1141" ht="22.5" customHeight="1"/>
    <row r="1142" ht="22.5" customHeight="1"/>
    <row r="1143" ht="22.5" customHeight="1"/>
    <row r="1144" ht="22.5" customHeight="1"/>
    <row r="1145" ht="22.5" customHeight="1"/>
    <row r="1146" ht="22.5" customHeight="1"/>
    <row r="1147" ht="22.5" customHeight="1"/>
    <row r="1148" ht="22.5" customHeight="1"/>
    <row r="1149" ht="22.5" customHeight="1"/>
    <row r="1150" ht="22.5" customHeight="1"/>
    <row r="1151" ht="22.5" customHeight="1"/>
    <row r="1152" ht="22.5" customHeight="1"/>
    <row r="1153" ht="22.5" customHeight="1"/>
    <row r="1154" ht="22.5" customHeight="1"/>
    <row r="1155" ht="22.5" customHeight="1"/>
    <row r="1156" ht="22.5" customHeight="1"/>
    <row r="1157" ht="22.5" customHeight="1"/>
    <row r="1158" ht="22.5" customHeight="1"/>
    <row r="1159" ht="22.5" customHeight="1"/>
    <row r="1160" ht="22.5" customHeight="1"/>
    <row r="1161" ht="22.5" customHeight="1"/>
    <row r="1162" ht="22.5" customHeight="1"/>
    <row r="1163" ht="22.5" customHeight="1"/>
    <row r="1164" ht="22.5" customHeight="1"/>
    <row r="1165" ht="22.5" customHeight="1"/>
    <row r="1166" ht="22.5" customHeight="1"/>
    <row r="1167" ht="22.5" customHeight="1"/>
    <row r="1168" ht="22.5" customHeight="1"/>
    <row r="1169" ht="22.5" customHeight="1"/>
    <row r="1170" ht="22.5" customHeight="1"/>
    <row r="1171" ht="22.5" customHeight="1"/>
    <row r="1172" ht="22.5" customHeight="1"/>
    <row r="1173" ht="22.5" customHeight="1"/>
    <row r="1174" ht="22.5" customHeight="1"/>
    <row r="1175" ht="22.5" customHeight="1"/>
    <row r="1176" ht="22.5" customHeight="1"/>
    <row r="1177" ht="22.5" customHeight="1"/>
    <row r="1178" ht="22.5" customHeight="1"/>
    <row r="1179" ht="22.5" customHeight="1"/>
    <row r="1180" ht="22.5" customHeight="1"/>
    <row r="1181" ht="22.5" customHeight="1"/>
    <row r="1182" ht="22.5" customHeight="1"/>
    <row r="1183" ht="22.5" customHeight="1"/>
    <row r="1184" ht="22.5" customHeight="1"/>
    <row r="1185" ht="22.5" customHeight="1"/>
    <row r="1186" ht="22.5" customHeight="1"/>
    <row r="1187" ht="22.5" customHeight="1"/>
    <row r="1188" ht="22.5" customHeight="1"/>
    <row r="1189" ht="22.5" customHeight="1"/>
    <row r="1190" ht="22.5" customHeight="1"/>
    <row r="1191" ht="22.5" customHeight="1"/>
    <row r="1192" ht="22.5" customHeight="1"/>
    <row r="1193" ht="22.5" customHeight="1"/>
    <row r="1194" ht="22.5" customHeight="1"/>
    <row r="1195" ht="22.5" customHeight="1"/>
    <row r="1196" ht="22.5" customHeight="1"/>
    <row r="1197" ht="22.5" customHeight="1"/>
    <row r="1198" ht="22.5" customHeight="1"/>
    <row r="1199" ht="22.5" customHeight="1"/>
    <row r="1200" ht="22.5" customHeight="1"/>
    <row r="1201" ht="22.5" customHeight="1"/>
    <row r="1202" ht="22.5" customHeight="1"/>
    <row r="1203" ht="22.5" customHeight="1"/>
    <row r="1204" ht="22.5" customHeight="1"/>
    <row r="1205" ht="22.5" customHeight="1"/>
    <row r="1206" ht="22.5" customHeight="1"/>
    <row r="1207" ht="22.5" customHeight="1"/>
    <row r="1208" ht="22.5" customHeight="1"/>
    <row r="1209" ht="22.5" customHeight="1"/>
    <row r="1210" ht="22.5" customHeight="1"/>
    <row r="1211" ht="22.5" customHeight="1"/>
    <row r="1212" ht="22.5" customHeight="1"/>
    <row r="1213" ht="22.5" customHeight="1"/>
    <row r="1214" ht="22.5" customHeight="1"/>
    <row r="1215" ht="22.5" customHeight="1"/>
    <row r="1216" ht="22.5" customHeight="1"/>
    <row r="1217" ht="22.5" customHeight="1"/>
    <row r="1218" ht="22.5" customHeight="1"/>
    <row r="1219" ht="22.5" customHeight="1"/>
    <row r="1220" ht="22.5" customHeight="1"/>
    <row r="1221" ht="22.5" customHeight="1"/>
    <row r="1222" ht="22.5" customHeight="1"/>
    <row r="1223" ht="22.5" customHeight="1"/>
    <row r="1224" ht="22.5" customHeight="1"/>
    <row r="1225" ht="22.5" customHeight="1"/>
    <row r="1226" ht="22.5" customHeight="1"/>
    <row r="1227" ht="22.5" customHeight="1"/>
    <row r="1228" ht="22.5" customHeight="1"/>
    <row r="1229" ht="22.5" customHeight="1"/>
    <row r="1230" ht="22.5" customHeight="1"/>
    <row r="1231" ht="22.5" customHeight="1"/>
    <row r="1232" ht="22.5" customHeight="1"/>
    <row r="1233" ht="22.5" customHeight="1"/>
    <row r="1234" ht="22.5" customHeight="1"/>
    <row r="1235" ht="22.5" customHeight="1"/>
    <row r="1236" ht="22.5" customHeight="1"/>
    <row r="1237" ht="22.5" customHeight="1"/>
    <row r="1238" ht="22.5" customHeight="1"/>
    <row r="1239" ht="22.5" customHeight="1"/>
    <row r="1240" ht="22.5" customHeight="1"/>
    <row r="1241" ht="22.5" customHeight="1"/>
    <row r="1242" ht="22.5" customHeight="1"/>
    <row r="1243" ht="22.5" customHeight="1"/>
    <row r="1244" ht="22.5" customHeight="1"/>
    <row r="1245" ht="22.5" customHeight="1"/>
    <row r="1246" ht="22.5" customHeight="1"/>
    <row r="1247" ht="22.5" customHeight="1"/>
    <row r="1248" ht="22.5" customHeight="1"/>
    <row r="1249" ht="22.5" customHeight="1"/>
    <row r="1250" ht="22.5" customHeight="1"/>
    <row r="1251" ht="22.5" customHeight="1"/>
    <row r="1252" ht="22.5" customHeight="1"/>
    <row r="1253" ht="22.5" customHeight="1"/>
    <row r="1254" ht="22.5" customHeight="1"/>
    <row r="1255" ht="22.5" customHeight="1"/>
    <row r="1256" ht="22.5" customHeight="1"/>
    <row r="1257" ht="22.5" customHeight="1"/>
    <row r="1258" ht="22.5" customHeight="1"/>
    <row r="1259" ht="22.5" customHeight="1"/>
    <row r="1260" ht="22.5" customHeight="1"/>
    <row r="1261" ht="22.5" customHeight="1"/>
    <row r="1262" ht="22.5" customHeight="1"/>
    <row r="1263" ht="22.5" customHeight="1"/>
    <row r="1264" ht="22.5" customHeight="1"/>
    <row r="1265" ht="22.5" customHeight="1"/>
    <row r="1266" ht="22.5" customHeight="1"/>
    <row r="1267" ht="22.5" customHeight="1"/>
    <row r="1268" ht="22.5" customHeight="1"/>
    <row r="1269" ht="22.5" customHeight="1"/>
    <row r="1270" ht="22.5" customHeight="1"/>
    <row r="1271" ht="22.5" customHeight="1"/>
    <row r="1272" ht="22.5" customHeight="1"/>
    <row r="1273" ht="22.5" customHeight="1"/>
    <row r="1274" ht="22.5" customHeight="1"/>
    <row r="1275" ht="22.5" customHeight="1"/>
    <row r="1276" ht="22.5" customHeight="1"/>
    <row r="1277" ht="22.5" customHeight="1"/>
    <row r="1278" ht="22.5" customHeight="1"/>
    <row r="1279" ht="22.5" customHeight="1"/>
    <row r="1280" ht="22.5" customHeight="1"/>
    <row r="1281" ht="22.5" customHeight="1"/>
    <row r="1282" ht="22.5" customHeight="1"/>
    <row r="1283" ht="22.5" customHeight="1"/>
    <row r="1284" ht="22.5" customHeight="1"/>
    <row r="1285" ht="22.5" customHeight="1"/>
    <row r="1286" ht="22.5" customHeight="1"/>
    <row r="1287" ht="22.5" customHeight="1"/>
    <row r="1288" ht="22.5" customHeight="1"/>
    <row r="1289" ht="22.5" customHeight="1"/>
    <row r="1290" ht="22.5" customHeight="1"/>
    <row r="1291" ht="22.5" customHeight="1"/>
    <row r="1292" ht="22.5" customHeight="1"/>
    <row r="1293" ht="22.5" customHeight="1"/>
    <row r="1294" ht="22.5" customHeight="1"/>
    <row r="1295" ht="22.5" customHeight="1"/>
    <row r="1296" ht="22.5" customHeight="1"/>
    <row r="1297" ht="22.5" customHeight="1"/>
    <row r="1298" ht="22.5" customHeight="1"/>
    <row r="1299" ht="22.5" customHeight="1"/>
    <row r="1300" ht="22.5" customHeight="1"/>
    <row r="1301" ht="22.5" customHeight="1"/>
    <row r="1302" ht="22.5" customHeight="1"/>
    <row r="1303" ht="22.5" customHeight="1"/>
    <row r="1304" ht="22.5" customHeight="1"/>
    <row r="1305" ht="22.5" customHeight="1"/>
    <row r="1306" ht="22.5" customHeight="1"/>
    <row r="1307" ht="22.5" customHeight="1"/>
    <row r="1308" ht="22.5" customHeight="1"/>
    <row r="1309" ht="22.5" customHeight="1"/>
    <row r="1310" ht="22.5" customHeight="1"/>
    <row r="1311" ht="22.5" customHeight="1"/>
    <row r="1312" ht="22.5" customHeight="1"/>
    <row r="1313" ht="22.5" customHeight="1"/>
    <row r="1314" ht="22.5" customHeight="1"/>
    <row r="1315" ht="22.5" customHeight="1"/>
    <row r="1316" ht="22.5" customHeight="1"/>
    <row r="1317" ht="22.5" customHeight="1"/>
    <row r="1318" ht="22.5" customHeight="1"/>
    <row r="1319" ht="22.5" customHeight="1"/>
    <row r="1320" ht="22.5" customHeight="1"/>
    <row r="1321" ht="22.5" customHeight="1"/>
    <row r="1322" ht="22.5" customHeight="1"/>
    <row r="1323" ht="22.5" customHeight="1"/>
    <row r="1324" ht="22.5" customHeight="1"/>
    <row r="1325" ht="22.5" customHeight="1"/>
    <row r="1326" ht="22.5" customHeight="1"/>
    <row r="1327" ht="22.5" customHeight="1"/>
    <row r="1328" ht="22.5" customHeight="1"/>
    <row r="1329" ht="22.5" customHeight="1"/>
    <row r="1330" ht="22.5" customHeight="1"/>
    <row r="1331" ht="22.5" customHeight="1"/>
    <row r="1332" ht="22.5" customHeight="1"/>
    <row r="1333" ht="22.5" customHeight="1"/>
    <row r="1334" ht="22.5" customHeight="1"/>
    <row r="1335" ht="22.5" customHeight="1"/>
    <row r="1336" ht="22.5" customHeight="1"/>
    <row r="1337" ht="22.5" customHeight="1"/>
    <row r="1338" ht="22.5" customHeight="1"/>
    <row r="1339" ht="22.5" customHeight="1"/>
    <row r="1340" ht="22.5" customHeight="1"/>
    <row r="1341" ht="22.5" customHeight="1"/>
    <row r="1342" ht="22.5" customHeight="1"/>
    <row r="1343" ht="22.5" customHeight="1"/>
    <row r="1344" ht="22.5" customHeight="1"/>
    <row r="1345" ht="22.5" customHeight="1"/>
    <row r="1346" ht="22.5" customHeight="1"/>
    <row r="1347" ht="22.5" customHeight="1"/>
    <row r="1348" ht="22.5" customHeight="1"/>
    <row r="1349" ht="22.5" customHeight="1"/>
    <row r="1350" ht="22.5" customHeight="1"/>
    <row r="1351" ht="22.5" customHeight="1"/>
    <row r="1352" ht="22.5" customHeight="1"/>
    <row r="1353" ht="22.5" customHeight="1"/>
    <row r="1354" ht="22.5" customHeight="1"/>
    <row r="1355" ht="22.5" customHeight="1"/>
    <row r="1356" ht="22.5" customHeight="1"/>
    <row r="1357" ht="22.5" customHeight="1"/>
    <row r="1358" ht="22.5" customHeight="1"/>
    <row r="1359" ht="22.5" customHeight="1"/>
    <row r="1360" ht="22.5" customHeight="1"/>
    <row r="1361" ht="22.5" customHeight="1"/>
    <row r="1362" ht="22.5" customHeight="1"/>
    <row r="1363" ht="22.5" customHeight="1"/>
    <row r="1364" ht="22.5" customHeight="1"/>
    <row r="1365" ht="22.5" customHeight="1"/>
    <row r="1366" ht="22.5" customHeight="1"/>
    <row r="1367" ht="22.5" customHeight="1"/>
    <row r="1368" ht="22.5" customHeight="1"/>
    <row r="1369" ht="22.5" customHeight="1"/>
    <row r="1370" ht="22.5" customHeight="1"/>
    <row r="1371" ht="22.5" customHeight="1"/>
    <row r="1372" ht="22.5" customHeight="1"/>
    <row r="1373" ht="22.5" customHeight="1"/>
    <row r="1374" ht="22.5" customHeight="1"/>
    <row r="1375" ht="22.5" customHeight="1"/>
    <row r="1376" ht="22.5" customHeight="1"/>
    <row r="1377" ht="22.5" customHeight="1"/>
    <row r="1378" ht="22.5" customHeight="1"/>
    <row r="1379" ht="22.5" customHeight="1"/>
    <row r="1380" ht="22.5" customHeight="1"/>
    <row r="1381" ht="22.5" customHeight="1"/>
    <row r="1382" ht="22.5" customHeight="1"/>
    <row r="1383" ht="22.5" customHeight="1"/>
    <row r="1384" ht="22.5" customHeight="1"/>
    <row r="1385" ht="22.5" customHeight="1"/>
    <row r="1386" ht="22.5" customHeight="1"/>
    <row r="1387" ht="22.5" customHeight="1"/>
    <row r="1388" ht="22.5" customHeight="1"/>
    <row r="1389" ht="22.5" customHeight="1"/>
    <row r="1390" ht="22.5" customHeight="1"/>
    <row r="1391" ht="22.5" customHeight="1"/>
    <row r="1392" ht="22.5" customHeight="1"/>
    <row r="1393" ht="22.5" customHeight="1"/>
    <row r="1394" ht="22.5" customHeight="1"/>
    <row r="1395" ht="22.5" customHeight="1"/>
    <row r="1396" ht="22.5" customHeight="1"/>
    <row r="1397" ht="22.5" customHeight="1"/>
    <row r="1398" ht="22.5" customHeight="1"/>
    <row r="1399" ht="22.5" customHeight="1"/>
    <row r="1400" ht="22.5" customHeight="1"/>
    <row r="1401" ht="22.5" customHeight="1"/>
    <row r="1402" ht="22.5" customHeight="1"/>
    <row r="1403" ht="22.5" customHeight="1"/>
    <row r="1404" ht="22.5" customHeight="1"/>
    <row r="1405" ht="22.5" customHeight="1"/>
    <row r="1406" ht="22.5" customHeight="1"/>
    <row r="1407" ht="22.5" customHeight="1"/>
    <row r="1408" ht="22.5" customHeight="1"/>
    <row r="1409" ht="22.5" customHeight="1"/>
    <row r="1410" ht="22.5" customHeight="1"/>
    <row r="1411" ht="22.5" customHeight="1"/>
    <row r="1412" ht="22.5" customHeight="1"/>
    <row r="1413" ht="22.5" customHeight="1"/>
    <row r="1414" ht="22.5" customHeight="1"/>
    <row r="1415" ht="22.5" customHeight="1"/>
    <row r="1416" ht="22.5" customHeight="1"/>
    <row r="1417" ht="22.5" customHeight="1"/>
    <row r="1418" ht="22.5" customHeight="1"/>
    <row r="1419" ht="22.5" customHeight="1"/>
    <row r="1420" ht="22.5" customHeight="1"/>
    <row r="1421" ht="22.5" customHeight="1"/>
    <row r="1422" ht="22.5" customHeight="1"/>
    <row r="1423" ht="22.5" customHeight="1"/>
    <row r="1424" ht="22.5" customHeight="1"/>
    <row r="1425" ht="22.5" customHeight="1"/>
    <row r="1426" ht="22.5" customHeight="1"/>
    <row r="1427" ht="22.5" customHeight="1"/>
    <row r="1428" ht="22.5" customHeight="1"/>
    <row r="1429" ht="22.5" customHeight="1"/>
    <row r="1430" ht="22.5" customHeight="1"/>
    <row r="1431" ht="22.5" customHeight="1"/>
    <row r="1432" ht="22.5" customHeight="1"/>
    <row r="1433" ht="22.5" customHeight="1"/>
    <row r="1434" ht="22.5" customHeight="1"/>
    <row r="1435" ht="22.5" customHeight="1"/>
    <row r="1436" ht="22.5" customHeight="1"/>
    <row r="1437" ht="22.5" customHeight="1"/>
    <row r="1438" ht="22.5" customHeight="1"/>
    <row r="1439" ht="22.5" customHeight="1"/>
    <row r="1440" ht="22.5" customHeight="1"/>
    <row r="1441" ht="22.5" customHeight="1"/>
    <row r="1442" ht="22.5" customHeight="1"/>
    <row r="1443" ht="22.5" customHeight="1"/>
    <row r="1444" ht="22.5" customHeight="1"/>
    <row r="1445" ht="22.5" customHeight="1"/>
    <row r="1446" ht="22.5" customHeight="1"/>
    <row r="1447" ht="22.5" customHeight="1"/>
    <row r="1448" ht="22.5" customHeight="1"/>
    <row r="1449" ht="22.5" customHeight="1"/>
    <row r="1450" ht="22.5" customHeight="1"/>
    <row r="1451" ht="22.5" customHeight="1"/>
    <row r="1452" ht="22.5" customHeight="1"/>
    <row r="1453" ht="22.5" customHeight="1"/>
    <row r="1454" ht="22.5" customHeight="1"/>
    <row r="1455" ht="22.5" customHeight="1"/>
    <row r="1456" ht="22.5" customHeight="1"/>
    <row r="1457" ht="22.5" customHeight="1"/>
    <row r="1458" ht="22.5" customHeight="1"/>
    <row r="1459" ht="22.5" customHeight="1"/>
    <row r="1460" ht="22.5" customHeight="1"/>
    <row r="1461" ht="22.5" customHeight="1"/>
    <row r="1462" ht="22.5" customHeight="1"/>
    <row r="1463" ht="22.5" customHeight="1"/>
    <row r="1464" ht="22.5" customHeight="1"/>
    <row r="1465" ht="22.5" customHeight="1"/>
    <row r="1466" ht="22.5" customHeight="1"/>
    <row r="1467" ht="22.5" customHeight="1"/>
    <row r="1468" ht="22.5" customHeight="1"/>
    <row r="1469" ht="22.5" customHeight="1"/>
    <row r="1470" ht="22.5" customHeight="1"/>
    <row r="1471" ht="22.5" customHeight="1"/>
    <row r="1472" ht="22.5" customHeight="1"/>
    <row r="1473" ht="22.5" customHeight="1"/>
    <row r="1474" ht="22.5" customHeight="1"/>
    <row r="1475" ht="22.5" customHeight="1"/>
    <row r="1476" ht="22.5" customHeight="1"/>
    <row r="1477" ht="22.5" customHeight="1"/>
    <row r="1478" ht="22.5" customHeight="1"/>
    <row r="1479" ht="22.5" customHeight="1"/>
    <row r="1480" ht="22.5" customHeight="1"/>
    <row r="1481" ht="22.5" customHeight="1"/>
    <row r="1482" ht="22.5" customHeight="1"/>
    <row r="1483" ht="22.5" customHeight="1"/>
    <row r="1484" ht="22.5" customHeight="1"/>
    <row r="1485" ht="22.5" customHeight="1"/>
    <row r="1486" ht="22.5" customHeight="1"/>
    <row r="1487" ht="22.5" customHeight="1"/>
    <row r="1488" ht="22.5" customHeight="1"/>
    <row r="1489" ht="22.5" customHeight="1"/>
    <row r="1490" ht="22.5" customHeight="1"/>
    <row r="1491" ht="22.5" customHeight="1"/>
    <row r="1492" ht="22.5" customHeight="1"/>
    <row r="1493" ht="22.5" customHeight="1"/>
    <row r="1494" ht="22.5" customHeight="1"/>
    <row r="1495" ht="22.5" customHeight="1"/>
    <row r="1496" ht="22.5" customHeight="1"/>
    <row r="1497" ht="22.5" customHeight="1"/>
    <row r="1498" ht="22.5" customHeight="1"/>
    <row r="1499" ht="22.5" customHeight="1"/>
    <row r="1500" ht="22.5" customHeight="1"/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  <row r="1517" ht="22.5" customHeight="1"/>
    <row r="1518" ht="22.5" customHeight="1"/>
    <row r="1519" ht="22.5" customHeight="1"/>
    <row r="1520" ht="22.5" customHeight="1"/>
    <row r="1521" ht="22.5" customHeight="1"/>
    <row r="1522" ht="22.5" customHeight="1"/>
    <row r="1523" ht="22.5" customHeight="1"/>
    <row r="1524" ht="22.5" customHeight="1"/>
    <row r="1525" ht="22.5" customHeight="1"/>
    <row r="1526" ht="22.5" customHeight="1"/>
    <row r="1527" ht="22.5" customHeight="1"/>
    <row r="1528" ht="22.5" customHeight="1"/>
    <row r="1529" ht="22.5" customHeight="1"/>
    <row r="1530" ht="22.5" customHeight="1"/>
    <row r="1531" ht="22.5" customHeight="1"/>
    <row r="1532" ht="22.5" customHeight="1"/>
    <row r="1533" ht="22.5" customHeight="1"/>
    <row r="1534" ht="22.5" customHeight="1"/>
    <row r="1535" ht="22.5" customHeight="1"/>
    <row r="1536" ht="22.5" customHeight="1"/>
    <row r="1537" ht="22.5" customHeight="1"/>
    <row r="1538" ht="22.5" customHeight="1"/>
    <row r="1539" ht="22.5" customHeight="1"/>
    <row r="1540" ht="22.5" customHeight="1"/>
    <row r="1541" ht="22.5" customHeight="1"/>
    <row r="1542" ht="22.5" customHeight="1"/>
    <row r="1543" ht="22.5" customHeight="1"/>
    <row r="1544" ht="22.5" customHeight="1"/>
    <row r="1545" ht="22.5" customHeight="1"/>
    <row r="1546" ht="22.5" customHeight="1"/>
    <row r="1547" ht="22.5" customHeight="1"/>
    <row r="1548" ht="22.5" customHeight="1"/>
    <row r="1549" ht="22.5" customHeight="1"/>
    <row r="1550" ht="22.5" customHeight="1"/>
    <row r="1551" ht="22.5" customHeight="1"/>
    <row r="1552" ht="22.5" customHeight="1"/>
    <row r="1553" ht="22.5" customHeight="1"/>
    <row r="1554" ht="22.5" customHeight="1"/>
    <row r="1555" ht="22.5" customHeight="1"/>
    <row r="1556" ht="22.5" customHeight="1"/>
    <row r="1557" ht="22.5" customHeight="1"/>
    <row r="1558" ht="22.5" customHeight="1"/>
    <row r="1559" ht="22.5" customHeight="1"/>
    <row r="1560" ht="22.5" customHeight="1"/>
    <row r="1561" ht="22.5" customHeight="1"/>
    <row r="1562" ht="22.5" customHeight="1"/>
    <row r="1563" ht="22.5" customHeight="1"/>
    <row r="1564" ht="22.5" customHeight="1"/>
    <row r="1565" ht="22.5" customHeight="1"/>
    <row r="1566" ht="22.5" customHeight="1"/>
    <row r="1567" ht="22.5" customHeight="1"/>
    <row r="1568" ht="22.5" customHeight="1"/>
    <row r="1569" ht="22.5" customHeight="1"/>
    <row r="1570" ht="22.5" customHeight="1"/>
    <row r="1571" ht="22.5" customHeight="1"/>
    <row r="1572" ht="22.5" customHeight="1"/>
    <row r="1573" ht="22.5" customHeight="1"/>
    <row r="1574" ht="22.5" customHeight="1"/>
    <row r="1575" ht="22.5" customHeight="1"/>
    <row r="1576" ht="22.5" customHeight="1"/>
    <row r="1577" ht="22.5" customHeight="1"/>
    <row r="1578" ht="22.5" customHeight="1"/>
    <row r="1579" ht="22.5" customHeight="1"/>
    <row r="1580" ht="22.5" customHeight="1"/>
    <row r="1581" ht="22.5" customHeight="1"/>
    <row r="1582" ht="22.5" customHeight="1"/>
    <row r="1583" ht="22.5" customHeight="1"/>
    <row r="1584" ht="22.5" customHeight="1"/>
    <row r="1585" ht="22.5" customHeight="1"/>
    <row r="1586" ht="22.5" customHeight="1"/>
    <row r="1587" ht="22.5" customHeight="1"/>
    <row r="1588" ht="22.5" customHeight="1"/>
    <row r="1589" ht="22.5" customHeight="1"/>
    <row r="1590" ht="22.5" customHeight="1"/>
    <row r="1591" ht="22.5" customHeight="1"/>
    <row r="1592" ht="22.5" customHeight="1"/>
    <row r="1593" ht="22.5" customHeight="1"/>
    <row r="1594" ht="22.5" customHeight="1"/>
    <row r="1595" ht="22.5" customHeight="1"/>
    <row r="1596" ht="22.5" customHeight="1"/>
    <row r="1597" ht="22.5" customHeight="1"/>
    <row r="1598" ht="22.5" customHeight="1"/>
    <row r="1599" ht="22.5" customHeight="1"/>
    <row r="1600" ht="22.5" customHeight="1"/>
    <row r="1601" ht="22.5" customHeight="1"/>
    <row r="1602" ht="22.5" customHeight="1"/>
    <row r="1603" ht="22.5" customHeight="1"/>
    <row r="1604" ht="22.5" customHeight="1"/>
    <row r="1605" ht="22.5" customHeight="1"/>
    <row r="1606" ht="22.5" customHeight="1"/>
    <row r="1607" ht="22.5" customHeight="1"/>
    <row r="1608" ht="22.5" customHeight="1"/>
    <row r="1609" ht="22.5" customHeight="1"/>
    <row r="1610" ht="22.5" customHeight="1"/>
    <row r="1611" ht="22.5" customHeight="1"/>
    <row r="1612" ht="22.5" customHeight="1"/>
    <row r="1613" ht="22.5" customHeight="1"/>
    <row r="1614" ht="22.5" customHeight="1"/>
    <row r="1615" ht="22.5" customHeight="1"/>
    <row r="1616" ht="22.5" customHeight="1"/>
    <row r="1617" ht="22.5" customHeight="1"/>
    <row r="1618" ht="22.5" customHeight="1"/>
    <row r="1619" ht="22.5" customHeight="1"/>
    <row r="1620" ht="22.5" customHeight="1"/>
    <row r="1621" ht="22.5" customHeight="1"/>
    <row r="1622" ht="22.5" customHeight="1"/>
    <row r="1623" ht="22.5" customHeight="1"/>
    <row r="1624" ht="22.5" customHeight="1"/>
    <row r="1625" ht="22.5" customHeight="1"/>
    <row r="1626" ht="22.5" customHeight="1"/>
    <row r="1627" ht="22.5" customHeight="1"/>
    <row r="1628" ht="22.5" customHeight="1"/>
    <row r="1629" ht="22.5" customHeight="1"/>
    <row r="1630" ht="22.5" customHeight="1"/>
    <row r="1631" ht="22.5" customHeight="1"/>
    <row r="1632" ht="22.5" customHeight="1"/>
    <row r="1633" ht="22.5" customHeight="1"/>
    <row r="1634" ht="22.5" customHeight="1"/>
    <row r="1635" ht="22.5" customHeight="1"/>
    <row r="1636" ht="22.5" customHeight="1"/>
    <row r="1637" ht="22.5" customHeight="1"/>
    <row r="1638" ht="22.5" customHeight="1"/>
    <row r="1639" ht="22.5" customHeight="1"/>
    <row r="1640" ht="22.5" customHeight="1"/>
    <row r="1641" ht="22.5" customHeight="1"/>
    <row r="1642" ht="22.5" customHeight="1"/>
    <row r="1643" ht="22.5" customHeight="1"/>
    <row r="1644" ht="22.5" customHeight="1"/>
    <row r="1645" ht="22.5" customHeight="1"/>
    <row r="1646" ht="22.5" customHeight="1"/>
    <row r="1647" ht="22.5" customHeight="1"/>
    <row r="1648" ht="22.5" customHeight="1"/>
    <row r="1649" ht="22.5" customHeight="1"/>
    <row r="1650" ht="22.5" customHeight="1"/>
    <row r="1651" ht="22.5" customHeight="1"/>
    <row r="1652" ht="22.5" customHeight="1"/>
    <row r="1653" ht="22.5" customHeight="1"/>
    <row r="1654" ht="22.5" customHeight="1"/>
    <row r="1655" ht="22.5" customHeight="1"/>
    <row r="1656" ht="22.5" customHeight="1"/>
    <row r="1657" ht="22.5" customHeight="1"/>
    <row r="1658" ht="22.5" customHeight="1"/>
    <row r="1659" ht="22.5" customHeight="1"/>
    <row r="1660" ht="22.5" customHeight="1"/>
    <row r="1661" ht="22.5" customHeight="1"/>
    <row r="1662" ht="22.5" customHeight="1"/>
    <row r="1663" ht="22.5" customHeight="1"/>
    <row r="1664" ht="22.5" customHeight="1"/>
    <row r="1665" ht="22.5" customHeight="1"/>
    <row r="1666" ht="22.5" customHeight="1"/>
    <row r="1667" ht="22.5" customHeight="1"/>
    <row r="1668" ht="22.5" customHeight="1"/>
    <row r="1669" ht="22.5" customHeight="1"/>
    <row r="1670" ht="22.5" customHeight="1"/>
    <row r="1671" ht="22.5" customHeight="1"/>
    <row r="1672" ht="22.5" customHeight="1"/>
    <row r="1673" ht="22.5" customHeight="1"/>
    <row r="1674" ht="22.5" customHeight="1"/>
    <row r="1675" ht="22.5" customHeight="1"/>
    <row r="1676" ht="22.5" customHeight="1"/>
    <row r="1677" ht="22.5" customHeight="1"/>
    <row r="1678" ht="22.5" customHeight="1"/>
    <row r="1679" ht="22.5" customHeight="1"/>
    <row r="1680" ht="22.5" customHeight="1"/>
    <row r="1681" ht="22.5" customHeight="1"/>
    <row r="1682" ht="22.5" customHeight="1"/>
    <row r="1683" ht="22.5" customHeight="1"/>
    <row r="1684" ht="22.5" customHeight="1"/>
    <row r="1685" ht="22.5" customHeight="1"/>
    <row r="1686" ht="22.5" customHeight="1"/>
    <row r="1687" ht="22.5" customHeight="1"/>
    <row r="1688" ht="22.5" customHeight="1"/>
    <row r="1689" ht="22.5" customHeight="1"/>
    <row r="1690" ht="22.5" customHeight="1"/>
    <row r="1691" ht="22.5" customHeight="1"/>
    <row r="1692" ht="22.5" customHeight="1"/>
    <row r="1693" ht="22.5" customHeight="1"/>
    <row r="1694" ht="22.5" customHeight="1"/>
    <row r="1695" ht="22.5" customHeight="1"/>
    <row r="1696" ht="22.5" customHeight="1"/>
    <row r="1697" ht="22.5" customHeight="1"/>
    <row r="1698" ht="22.5" customHeight="1"/>
    <row r="1699" ht="22.5" customHeight="1"/>
    <row r="1700" ht="22.5" customHeight="1"/>
    <row r="1701" ht="22.5" customHeight="1"/>
    <row r="1702" ht="22.5" customHeight="1"/>
    <row r="1703" ht="22.5" customHeight="1"/>
    <row r="1704" ht="22.5" customHeight="1"/>
    <row r="1705" ht="22.5" customHeight="1"/>
    <row r="1706" ht="22.5" customHeight="1"/>
    <row r="1707" ht="22.5" customHeight="1"/>
    <row r="1708" ht="22.5" customHeight="1"/>
    <row r="1709" ht="22.5" customHeight="1"/>
    <row r="1710" ht="22.5" customHeight="1"/>
    <row r="1711" ht="22.5" customHeight="1"/>
    <row r="1712" ht="22.5" customHeight="1"/>
    <row r="1713" ht="22.5" customHeight="1"/>
    <row r="1714" ht="22.5" customHeight="1"/>
    <row r="1715" ht="22.5" customHeight="1"/>
    <row r="1716" ht="22.5" customHeight="1"/>
    <row r="1717" ht="22.5" customHeight="1"/>
    <row r="1718" ht="22.5" customHeight="1"/>
    <row r="1719" ht="22.5" customHeight="1"/>
    <row r="1720" ht="22.5" customHeight="1"/>
    <row r="1721" ht="22.5" customHeight="1"/>
    <row r="1722" ht="22.5" customHeight="1"/>
    <row r="1723" ht="22.5" customHeight="1"/>
    <row r="1724" ht="22.5" customHeight="1"/>
    <row r="1725" ht="22.5" customHeight="1"/>
    <row r="1726" ht="22.5" customHeight="1"/>
    <row r="1727" ht="22.5" customHeight="1"/>
    <row r="1728" ht="22.5" customHeight="1"/>
    <row r="1729" ht="22.5" customHeight="1"/>
    <row r="1730" ht="22.5" customHeight="1"/>
    <row r="1731" ht="22.5" customHeight="1"/>
    <row r="1732" ht="22.5" customHeight="1"/>
    <row r="1733" ht="22.5" customHeight="1"/>
    <row r="1734" ht="22.5" customHeight="1"/>
    <row r="1735" ht="22.5" customHeight="1"/>
    <row r="1736" ht="22.5" customHeight="1"/>
    <row r="1737" ht="22.5" customHeight="1"/>
    <row r="1738" ht="22.5" customHeight="1"/>
    <row r="1739" ht="22.5" customHeight="1"/>
    <row r="1740" ht="22.5" customHeight="1"/>
    <row r="1741" ht="22.5" customHeight="1"/>
    <row r="1742" ht="22.5" customHeight="1"/>
    <row r="1743" ht="22.5" customHeight="1"/>
    <row r="1744" ht="22.5" customHeight="1"/>
    <row r="1745" ht="22.5" customHeight="1"/>
    <row r="1746" ht="22.5" customHeight="1"/>
    <row r="1747" ht="22.5" customHeight="1"/>
    <row r="1748" ht="22.5" customHeight="1"/>
    <row r="1749" ht="22.5" customHeight="1"/>
    <row r="1750" ht="22.5" customHeight="1"/>
    <row r="1751" ht="22.5" customHeight="1"/>
    <row r="1752" ht="22.5" customHeight="1"/>
    <row r="1753" ht="22.5" customHeight="1"/>
    <row r="1754" ht="22.5" customHeight="1"/>
    <row r="1755" ht="22.5" customHeight="1"/>
    <row r="1756" ht="22.5" customHeight="1"/>
    <row r="1757" ht="22.5" customHeight="1"/>
    <row r="1758" ht="22.5" customHeight="1"/>
    <row r="1759" ht="22.5" customHeight="1"/>
    <row r="1760" ht="22.5" customHeight="1"/>
    <row r="1761" ht="22.5" customHeight="1"/>
    <row r="1762" ht="22.5" customHeight="1"/>
    <row r="1763" ht="22.5" customHeight="1"/>
    <row r="1764" ht="22.5" customHeight="1"/>
    <row r="1765" ht="22.5" customHeight="1"/>
    <row r="1766" ht="22.5" customHeight="1"/>
    <row r="1767" ht="22.5" customHeight="1"/>
    <row r="1768" ht="22.5" customHeight="1"/>
    <row r="1769" ht="22.5" customHeight="1"/>
    <row r="1770" ht="22.5" customHeight="1"/>
    <row r="1771" ht="22.5" customHeight="1"/>
    <row r="1772" ht="22.5" customHeight="1"/>
    <row r="1773" ht="22.5" customHeight="1"/>
    <row r="1774" ht="22.5" customHeight="1"/>
    <row r="1775" ht="22.5" customHeight="1"/>
    <row r="1776" ht="22.5" customHeight="1"/>
    <row r="1777" ht="22.5" customHeight="1"/>
    <row r="1778" ht="22.5" customHeight="1"/>
    <row r="1779" ht="22.5" customHeight="1"/>
    <row r="1780" ht="22.5" customHeight="1"/>
    <row r="1781" ht="22.5" customHeight="1"/>
    <row r="1782" ht="22.5" customHeight="1"/>
    <row r="1783" ht="22.5" customHeight="1"/>
    <row r="1784" ht="22.5" customHeight="1"/>
    <row r="1785" ht="22.5" customHeight="1"/>
    <row r="1786" ht="22.5" customHeight="1"/>
    <row r="1787" ht="22.5" customHeight="1"/>
    <row r="1788" ht="22.5" customHeight="1"/>
    <row r="1789" ht="22.5" customHeight="1"/>
    <row r="1790" ht="22.5" customHeight="1"/>
    <row r="1791" ht="22.5" customHeight="1"/>
    <row r="1792" ht="22.5" customHeight="1"/>
    <row r="1793" ht="22.5" customHeight="1"/>
    <row r="1794" ht="22.5" customHeight="1"/>
    <row r="1795" ht="22.5" customHeight="1"/>
    <row r="1796" ht="22.5" customHeight="1"/>
    <row r="1797" ht="22.5" customHeight="1"/>
    <row r="1798" ht="22.5" customHeight="1"/>
    <row r="1799" ht="22.5" customHeight="1"/>
    <row r="1800" ht="22.5" customHeight="1"/>
    <row r="1801" ht="22.5" customHeight="1"/>
    <row r="1802" ht="22.5" customHeight="1"/>
    <row r="1803" ht="22.5" customHeight="1"/>
    <row r="1804" ht="22.5" customHeight="1"/>
    <row r="1805" ht="22.5" customHeight="1"/>
    <row r="1806" ht="22.5" customHeight="1"/>
    <row r="1807" ht="22.5" customHeight="1"/>
    <row r="1808" ht="22.5" customHeight="1"/>
    <row r="1809" ht="22.5" customHeight="1"/>
    <row r="1810" ht="22.5" customHeight="1"/>
    <row r="1811" ht="22.5" customHeight="1"/>
    <row r="1812" ht="22.5" customHeight="1"/>
    <row r="1813" ht="22.5" customHeight="1"/>
    <row r="1814" ht="22.5" customHeight="1"/>
    <row r="1815" ht="22.5" customHeight="1"/>
    <row r="1816" ht="22.5" customHeight="1"/>
    <row r="1817" ht="22.5" customHeight="1"/>
    <row r="1818" ht="22.5" customHeight="1"/>
    <row r="1819" ht="22.5" customHeight="1"/>
    <row r="1820" ht="22.5" customHeight="1"/>
    <row r="1821" ht="22.5" customHeight="1"/>
    <row r="1822" ht="22.5" customHeight="1"/>
    <row r="1823" ht="22.5" customHeight="1"/>
    <row r="1824" ht="22.5" customHeight="1"/>
    <row r="1825" ht="22.5" customHeight="1"/>
    <row r="1826" ht="22.5" customHeight="1"/>
    <row r="1827" ht="22.5" customHeight="1"/>
    <row r="1828" ht="22.5" customHeight="1"/>
    <row r="1829" ht="22.5" customHeight="1"/>
    <row r="1830" ht="22.5" customHeight="1"/>
    <row r="1831" ht="22.5" customHeight="1"/>
    <row r="1832" ht="22.5" customHeight="1"/>
    <row r="1833" ht="22.5" customHeight="1"/>
    <row r="1834" ht="22.5" customHeight="1"/>
    <row r="1835" ht="22.5" customHeight="1"/>
    <row r="1836" ht="22.5" customHeight="1"/>
    <row r="1837" ht="22.5" customHeight="1"/>
    <row r="1838" ht="22.5" customHeight="1"/>
    <row r="1839" ht="22.5" customHeight="1"/>
    <row r="1840" ht="22.5" customHeight="1"/>
    <row r="1841" ht="22.5" customHeight="1"/>
    <row r="1842" ht="22.5" customHeight="1"/>
    <row r="1843" ht="22.5" customHeight="1"/>
    <row r="1844" ht="22.5" customHeight="1"/>
    <row r="1845" ht="22.5" customHeight="1"/>
    <row r="1846" ht="22.5" customHeight="1"/>
    <row r="1847" ht="22.5" customHeight="1"/>
    <row r="1848" ht="22.5" customHeight="1"/>
    <row r="1849" ht="22.5" customHeight="1"/>
    <row r="1850" ht="22.5" customHeight="1"/>
    <row r="1851" ht="22.5" customHeight="1"/>
    <row r="1852" ht="22.5" customHeight="1"/>
    <row r="1853" ht="22.5" customHeight="1"/>
    <row r="1854" ht="22.5" customHeight="1"/>
    <row r="1855" ht="22.5" customHeight="1"/>
    <row r="1856" ht="22.5" customHeight="1"/>
    <row r="1857" ht="22.5" customHeight="1"/>
    <row r="1858" ht="22.5" customHeight="1"/>
    <row r="1859" ht="22.5" customHeight="1"/>
    <row r="1860" ht="22.5" customHeight="1"/>
    <row r="1861" ht="22.5" customHeight="1"/>
    <row r="1862" ht="22.5" customHeight="1"/>
    <row r="1863" ht="22.5" customHeight="1"/>
    <row r="1864" ht="22.5" customHeight="1"/>
    <row r="1865" ht="22.5" customHeight="1"/>
    <row r="1866" ht="22.5" customHeight="1"/>
    <row r="1867" ht="22.5" customHeight="1"/>
    <row r="1868" ht="22.5" customHeight="1"/>
    <row r="1869" ht="22.5" customHeight="1"/>
    <row r="1870" ht="22.5" customHeight="1"/>
    <row r="1871" ht="22.5" customHeight="1"/>
    <row r="1872" ht="22.5" customHeight="1"/>
    <row r="1873" ht="22.5" customHeight="1"/>
    <row r="1874" ht="22.5" customHeight="1"/>
    <row r="1875" ht="22.5" customHeight="1"/>
    <row r="1876" ht="22.5" customHeight="1"/>
    <row r="1877" ht="22.5" customHeight="1"/>
    <row r="1878" ht="22.5" customHeight="1"/>
    <row r="1879" ht="22.5" customHeight="1"/>
    <row r="1880" ht="22.5" customHeight="1"/>
    <row r="1881" ht="22.5" customHeight="1"/>
    <row r="1882" ht="22.5" customHeight="1"/>
    <row r="1883" ht="22.5" customHeight="1"/>
    <row r="1884" ht="22.5" customHeight="1"/>
    <row r="1885" ht="22.5" customHeight="1"/>
    <row r="1886" ht="22.5" customHeight="1"/>
    <row r="1887" ht="22.5" customHeight="1"/>
    <row r="1888" ht="22.5" customHeight="1"/>
    <row r="1889" ht="22.5" customHeight="1"/>
    <row r="1890" ht="22.5" customHeight="1"/>
    <row r="1891" ht="22.5" customHeight="1"/>
    <row r="1892" ht="22.5" customHeight="1"/>
    <row r="1893" ht="22.5" customHeight="1"/>
    <row r="1894" ht="22.5" customHeight="1"/>
    <row r="1895" ht="22.5" customHeight="1"/>
    <row r="1896" ht="22.5" customHeight="1"/>
    <row r="1897" ht="22.5" customHeight="1"/>
    <row r="1898" ht="22.5" customHeight="1"/>
    <row r="1899" ht="22.5" customHeight="1"/>
    <row r="1900" ht="22.5" customHeight="1"/>
    <row r="1901" ht="22.5" customHeight="1"/>
    <row r="1902" ht="22.5" customHeight="1"/>
    <row r="1903" ht="22.5" customHeight="1"/>
    <row r="1904" ht="22.5" customHeight="1"/>
    <row r="1905" ht="22.5" customHeight="1"/>
    <row r="1906" ht="22.5" customHeight="1"/>
    <row r="1907" ht="22.5" customHeight="1"/>
    <row r="1908" ht="22.5" customHeight="1"/>
    <row r="1909" ht="22.5" customHeight="1"/>
    <row r="1910" ht="22.5" customHeight="1"/>
    <row r="1911" ht="22.5" customHeight="1"/>
    <row r="1912" ht="22.5" customHeight="1"/>
    <row r="1913" ht="22.5" customHeight="1"/>
    <row r="1914" ht="22.5" customHeight="1"/>
    <row r="1915" ht="22.5" customHeight="1"/>
    <row r="1916" ht="22.5" customHeight="1"/>
    <row r="1917" ht="22.5" customHeight="1"/>
    <row r="1918" ht="22.5" customHeight="1"/>
    <row r="1919" ht="22.5" customHeight="1"/>
    <row r="1920" ht="22.5" customHeight="1"/>
    <row r="1921" ht="22.5" customHeight="1"/>
    <row r="1922" ht="22.5" customHeight="1"/>
    <row r="1923" ht="22.5" customHeight="1"/>
    <row r="1924" ht="22.5" customHeight="1"/>
    <row r="1925" ht="22.5" customHeight="1"/>
    <row r="1926" ht="22.5" customHeight="1"/>
    <row r="1927" ht="22.5" customHeight="1"/>
    <row r="1928" ht="22.5" customHeight="1"/>
    <row r="1929" ht="22.5" customHeight="1"/>
    <row r="1930" ht="22.5" customHeight="1"/>
    <row r="1931" ht="22.5" customHeight="1"/>
    <row r="1932" ht="22.5" customHeight="1"/>
    <row r="1933" ht="22.5" customHeight="1"/>
    <row r="1934" ht="22.5" customHeight="1"/>
    <row r="1935" ht="22.5" customHeight="1"/>
    <row r="1936" ht="22.5" customHeight="1"/>
    <row r="1937" ht="22.5" customHeight="1"/>
    <row r="1938" ht="22.5" customHeight="1"/>
    <row r="1939" ht="22.5" customHeight="1"/>
    <row r="1940" ht="22.5" customHeight="1"/>
    <row r="1941" ht="22.5" customHeight="1"/>
    <row r="1942" ht="22.5" customHeight="1"/>
    <row r="1943" ht="22.5" customHeight="1"/>
    <row r="1944" ht="22.5" customHeight="1"/>
    <row r="1945" ht="22.5" customHeight="1"/>
    <row r="1946" ht="22.5" customHeight="1"/>
    <row r="1947" ht="22.5" customHeight="1"/>
    <row r="1948" ht="22.5" customHeight="1"/>
    <row r="1949" ht="22.5" customHeight="1"/>
    <row r="1950" ht="22.5" customHeight="1"/>
    <row r="1951" ht="22.5" customHeight="1"/>
    <row r="1952" ht="22.5" customHeight="1"/>
    <row r="1953" ht="22.5" customHeight="1"/>
    <row r="1954" ht="22.5" customHeight="1"/>
    <row r="1955" ht="22.5" customHeight="1"/>
    <row r="1956" ht="22.5" customHeight="1"/>
    <row r="1957" ht="22.5" customHeight="1"/>
    <row r="1958" ht="22.5" customHeight="1"/>
    <row r="1959" ht="22.5" customHeight="1"/>
    <row r="1960" ht="22.5" customHeight="1"/>
    <row r="1961" ht="22.5" customHeight="1"/>
    <row r="1962" ht="22.5" customHeight="1"/>
    <row r="1963" ht="22.5" customHeight="1"/>
    <row r="1964" ht="22.5" customHeight="1"/>
    <row r="1965" ht="22.5" customHeight="1"/>
    <row r="1966" ht="22.5" customHeight="1"/>
    <row r="1967" ht="22.5" customHeight="1"/>
    <row r="1968" ht="22.5" customHeight="1"/>
    <row r="1969" ht="22.5" customHeight="1"/>
    <row r="1970" ht="22.5" customHeight="1"/>
    <row r="1971" ht="22.5" customHeight="1"/>
    <row r="1972" ht="22.5" customHeight="1"/>
    <row r="1973" ht="22.5" customHeight="1"/>
    <row r="1974" ht="22.5" customHeight="1"/>
    <row r="1975" ht="22.5" customHeight="1"/>
    <row r="1976" ht="22.5" customHeight="1"/>
    <row r="1977" ht="22.5" customHeight="1"/>
    <row r="1978" ht="22.5" customHeight="1"/>
    <row r="1979" ht="22.5" customHeight="1"/>
    <row r="1980" ht="22.5" customHeight="1"/>
    <row r="1981" ht="22.5" customHeight="1"/>
    <row r="1982" ht="22.5" customHeight="1"/>
    <row r="1983" ht="22.5" customHeight="1"/>
    <row r="1984" ht="22.5" customHeight="1"/>
    <row r="1985" ht="22.5" customHeight="1"/>
    <row r="1986" ht="22.5" customHeight="1"/>
    <row r="1987" ht="22.5" customHeight="1"/>
    <row r="1988" ht="22.5" customHeight="1"/>
    <row r="1989" ht="22.5" customHeight="1"/>
    <row r="1990" ht="22.5" customHeight="1"/>
    <row r="1991" ht="22.5" customHeight="1"/>
    <row r="1992" ht="22.5" customHeight="1"/>
    <row r="1993" ht="22.5" customHeight="1"/>
    <row r="1994" ht="22.5" customHeight="1"/>
    <row r="1995" ht="22.5" customHeight="1"/>
    <row r="1996" ht="22.5" customHeight="1"/>
    <row r="1997" ht="22.5" customHeight="1"/>
    <row r="1998" ht="22.5" customHeight="1"/>
    <row r="1999" ht="22.5" customHeight="1"/>
    <row r="2000" ht="22.5" customHeight="1"/>
    <row r="2001" ht="22.5" customHeight="1"/>
    <row r="2002" ht="22.5" customHeight="1"/>
    <row r="2003" ht="22.5" customHeight="1"/>
    <row r="2004" ht="22.5" customHeight="1"/>
    <row r="2005" ht="22.5" customHeight="1"/>
    <row r="2006" ht="22.5" customHeight="1"/>
    <row r="2007" ht="22.5" customHeight="1"/>
    <row r="2008" ht="22.5" customHeight="1"/>
    <row r="2009" ht="22.5" customHeight="1"/>
    <row r="2010" ht="22.5" customHeight="1"/>
    <row r="2011" ht="22.5" customHeight="1"/>
    <row r="2012" ht="22.5" customHeight="1"/>
    <row r="2013" ht="22.5" customHeight="1"/>
    <row r="2014" ht="22.5" customHeight="1"/>
    <row r="2015" ht="22.5" customHeight="1"/>
    <row r="2016" ht="22.5" customHeight="1"/>
    <row r="2017" ht="22.5" customHeight="1"/>
    <row r="2018" ht="22.5" customHeight="1"/>
    <row r="2019" ht="22.5" customHeight="1"/>
    <row r="2020" ht="22.5" customHeight="1"/>
    <row r="2021" ht="22.5" customHeight="1"/>
    <row r="2022" ht="22.5" customHeight="1"/>
    <row r="2023" ht="22.5" customHeight="1"/>
    <row r="2024" ht="22.5" customHeight="1"/>
    <row r="2025" ht="22.5" customHeight="1"/>
  </sheetData>
  <autoFilter ref="A1:R2025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="85" workbookViewId="0">
      <selection activeCell="H25" sqref="H25"/>
    </sheetView>
  </sheetViews>
  <sheetFormatPr baseColWidth="8" defaultColWidth="20.7109375" defaultRowHeight="22.5" customHeight="1"/>
  <cols>
    <col width="36" customWidth="1" style="4" min="1" max="1"/>
    <col width="29.140625" customWidth="1" style="15" min="2" max="2"/>
    <col width="20.7109375" customWidth="1" style="59" min="3" max="3"/>
    <col width="11.42578125" customWidth="1" style="59" min="4" max="4"/>
    <col width="18.140625" customWidth="1" style="59" min="5" max="5"/>
    <col width="18.85546875" customWidth="1" style="59" min="6" max="6"/>
    <col width="20.7109375" customWidth="1" style="59" min="7" max="7"/>
    <col width="17.85546875" customWidth="1" style="59" min="8" max="8"/>
    <col width="20.140625" customWidth="1" style="59" min="9" max="9"/>
    <col width="20.7109375" customWidth="1" style="59" min="10" max="10"/>
    <col width="20.7109375" customWidth="1" style="4" min="11" max="16384"/>
  </cols>
  <sheetData>
    <row r="1" ht="24.95" customFormat="1" customHeight="1" s="3">
      <c r="A1" s="3" t="inlineStr">
        <is>
          <t>Project Name</t>
        </is>
      </c>
      <c r="B1" s="3" t="inlineStr">
        <is>
          <t>Client Name</t>
        </is>
      </c>
      <c r="C1" s="58" t="inlineStr">
        <is>
          <t>Contract Value (Excl. VAT)</t>
        </is>
      </c>
      <c r="D1" s="58" t="inlineStr">
        <is>
          <t>VAT 15%</t>
        </is>
      </c>
      <c r="E1" s="58" t="inlineStr">
        <is>
          <t>Contract Incl. VAT</t>
        </is>
      </c>
      <c r="F1" s="58" t="inlineStr">
        <is>
          <t>Required 50% Advance (Incl. VAT)</t>
        </is>
      </c>
      <c r="G1" s="58" t="inlineStr">
        <is>
          <t>Total Income</t>
        </is>
      </c>
      <c r="H1" s="58" t="inlineStr">
        <is>
          <t>Total Expense</t>
        </is>
      </c>
      <c r="I1" s="58" t="inlineStr">
        <is>
          <t>Net Profit / Loss</t>
        </is>
      </c>
      <c r="J1" s="58" t="inlineStr">
        <is>
          <t>Remaining Amount</t>
        </is>
      </c>
    </row>
    <row r="2" ht="22.5" customFormat="1" customHeight="1" s="6">
      <c r="A2" s="33" t="inlineStr">
        <is>
          <t>SS316 Pipeline Work</t>
        </is>
      </c>
      <c r="B2" s="6" t="inlineStr">
        <is>
          <t>Oud Lover Factory</t>
        </is>
      </c>
      <c r="C2" s="60" t="n">
        <v>4000</v>
      </c>
      <c r="D2" s="60">
        <f>IF(C2="","",ROUND(C2*0.15,2))</f>
        <v/>
      </c>
      <c r="E2" s="60">
        <f>IF(C2="","",C2+D2)</f>
        <v/>
      </c>
      <c r="F2" s="60">
        <f>IF(E2="","",E2*0.5)</f>
        <v/>
      </c>
      <c r="G2" s="60">
        <f>IF($A2="","",
   SUMIFS(Transactions!$P:$P,
          Transactions!$G:$G,$A2,
          Transactions!$C:$C,"IN",
          Transactions!$Q:$Q,"*Paid*"))</f>
        <v/>
      </c>
      <c r="H2" s="60">
        <f>IF($A2="","",
   SUMIFS(Transactions!$P:$P,
          Transactions!$G:$G,$A2,
          Transactions!$C:$C,"OUT"))</f>
        <v/>
      </c>
      <c r="I2" s="69">
        <f>IF(C2="","",C2-H2)</f>
        <v/>
      </c>
      <c r="J2" s="60">
        <f>IF(E2="","",E2-G2)</f>
        <v/>
      </c>
    </row>
    <row r="3" ht="22.5" customFormat="1" customHeight="1" s="6"/>
    <row r="4" ht="22.5" customFormat="1" customHeight="1" s="6"/>
    <row r="5" ht="22.5" customFormat="1" customHeight="1" s="6"/>
    <row r="6" ht="22.5" customFormat="1" customHeight="1" s="6"/>
    <row r="7" ht="22.5" customFormat="1" customHeight="1" s="6"/>
    <row r="8" ht="22.5" customFormat="1" customHeight="1" s="39"/>
    <row r="9" ht="22.5" customFormat="1" customHeight="1" s="6"/>
    <row r="10" ht="22.5" customFormat="1" customHeight="1" s="6"/>
    <row r="11" ht="22.5" customFormat="1" customHeight="1" s="6"/>
    <row r="12" ht="22.5" customFormat="1" customHeight="1" s="6"/>
    <row r="13" ht="22.5" customFormat="1" customHeight="1" s="6"/>
    <row r="14" ht="22.5" customFormat="1" customHeight="1" s="37"/>
    <row r="15" ht="22.5" customFormat="1" customHeight="1" s="39"/>
    <row r="16" ht="22.5" customFormat="1" customHeight="1" s="6"/>
    <row r="17" ht="22.5" customFormat="1" customHeight="1" s="6"/>
    <row r="18" ht="22.5" customFormat="1" customHeight="1" s="6"/>
    <row r="19" ht="22.5" customFormat="1" customHeight="1" s="6"/>
    <row r="20" ht="22.5" customFormat="1" customHeight="1" s="6"/>
    <row r="21" ht="22.5" customFormat="1" customHeight="1" s="6"/>
    <row r="22" ht="22.5" customFormat="1" customHeight="1" s="6"/>
    <row r="23" ht="22.5" customFormat="1" customHeight="1" s="6"/>
    <row r="24" ht="22.5" customFormat="1" customHeight="1" s="6"/>
    <row r="25" ht="22.5" customFormat="1" customHeight="1" s="39"/>
    <row r="26" ht="22.5" customFormat="1" customHeight="1" s="6"/>
    <row r="27" ht="22.5" customFormat="1" customHeight="1" s="6"/>
    <row r="28" ht="22.5" customFormat="1" customHeight="1" s="6"/>
    <row r="29" ht="22.5" customFormat="1" customHeight="1" s="6"/>
    <row r="30" ht="22.5" customFormat="1" customHeight="1" s="6"/>
    <row r="31" ht="22.5" customFormat="1" customHeight="1" s="39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  <row r="1078" ht="22.5" customHeight="1"/>
    <row r="1079" ht="22.5" customHeight="1"/>
    <row r="1080" ht="22.5" customHeight="1"/>
    <row r="1081" ht="22.5" customHeight="1"/>
    <row r="1082" ht="22.5" customHeight="1"/>
    <row r="1083" ht="22.5" customHeight="1"/>
    <row r="1084" ht="22.5" customHeight="1"/>
    <row r="1085" ht="22.5" customHeight="1"/>
    <row r="1086" ht="22.5" customHeight="1"/>
    <row r="1087" ht="22.5" customHeight="1"/>
    <row r="1088" ht="22.5" customHeight="1"/>
    <row r="1089" ht="22.5" customHeight="1"/>
    <row r="1090" ht="22.5" customHeight="1"/>
    <row r="1091" ht="22.5" customHeight="1"/>
    <row r="1092" ht="22.5" customHeight="1"/>
    <row r="1093" ht="22.5" customHeight="1"/>
    <row r="1094" ht="22.5" customHeight="1"/>
    <row r="1095" ht="22.5" customHeight="1"/>
    <row r="1096" ht="22.5" customHeight="1"/>
    <row r="1097" ht="22.5" customHeight="1"/>
    <row r="1098" ht="22.5" customHeight="1"/>
    <row r="1099" ht="22.5" customHeight="1"/>
    <row r="1100" ht="22.5" customHeight="1"/>
    <row r="1101" ht="22.5" customHeight="1"/>
    <row r="1102" ht="22.5" customHeight="1"/>
    <row r="1103" ht="22.5" customHeight="1"/>
    <row r="1104" ht="22.5" customHeight="1"/>
    <row r="1105" ht="22.5" customHeight="1"/>
    <row r="1106" ht="22.5" customHeight="1"/>
    <row r="1107" ht="22.5" customHeight="1"/>
    <row r="1108" ht="22.5" customHeight="1"/>
    <row r="1109" ht="22.5" customHeight="1"/>
    <row r="1110" ht="22.5" customHeight="1"/>
    <row r="1111" ht="22.5" customHeight="1"/>
    <row r="1112" ht="22.5" customHeight="1"/>
    <row r="1113" ht="22.5" customHeight="1"/>
    <row r="1114" ht="22.5" customHeight="1"/>
    <row r="1115" ht="22.5" customHeight="1"/>
    <row r="1116" ht="22.5" customHeight="1"/>
    <row r="1117" ht="22.5" customHeight="1"/>
    <row r="1118" ht="22.5" customHeight="1"/>
    <row r="1119" ht="22.5" customHeight="1"/>
    <row r="1120" ht="22.5" customHeight="1"/>
    <row r="1121" ht="22.5" customHeight="1"/>
    <row r="1122" ht="22.5" customHeight="1"/>
    <row r="1123" ht="22.5" customHeight="1"/>
    <row r="1124" ht="22.5" customHeight="1"/>
    <row r="1125" ht="22.5" customHeight="1"/>
    <row r="1126" ht="22.5" customHeight="1"/>
    <row r="1127" ht="22.5" customHeight="1"/>
    <row r="1128" ht="22.5" customHeight="1"/>
    <row r="1129" ht="22.5" customHeight="1"/>
    <row r="1130" ht="22.5" customHeight="1"/>
    <row r="1131" ht="22.5" customHeight="1"/>
    <row r="1132" ht="22.5" customHeight="1"/>
    <row r="1133" ht="22.5" customHeight="1"/>
    <row r="1134" ht="22.5" customHeight="1"/>
    <row r="1135" ht="22.5" customHeight="1"/>
    <row r="1136" ht="22.5" customHeight="1"/>
    <row r="1137" ht="22.5" customHeight="1"/>
    <row r="1138" ht="22.5" customHeight="1"/>
    <row r="1139" ht="22.5" customHeight="1"/>
    <row r="1140" ht="22.5" customHeight="1"/>
    <row r="1141" ht="22.5" customHeight="1"/>
    <row r="1142" ht="22.5" customHeight="1"/>
    <row r="1143" ht="22.5" customHeight="1"/>
    <row r="1144" ht="22.5" customHeight="1"/>
    <row r="1145" ht="22.5" customHeight="1"/>
    <row r="1146" ht="22.5" customHeight="1"/>
    <row r="1147" ht="22.5" customHeight="1"/>
    <row r="1148" ht="22.5" customHeight="1"/>
    <row r="1149" ht="22.5" customHeight="1"/>
    <row r="1150" ht="22.5" customHeight="1"/>
    <row r="1151" ht="22.5" customHeight="1"/>
    <row r="1152" ht="22.5" customHeight="1"/>
    <row r="1153" ht="22.5" customHeight="1"/>
    <row r="1154" ht="22.5" customHeight="1"/>
    <row r="1155" ht="22.5" customHeight="1"/>
    <row r="1156" ht="22.5" customHeight="1"/>
    <row r="1157" ht="22.5" customHeight="1"/>
    <row r="1158" ht="22.5" customHeight="1"/>
    <row r="1159" ht="22.5" customHeight="1"/>
    <row r="1160" ht="22.5" customHeight="1"/>
    <row r="1161" ht="22.5" customHeight="1"/>
    <row r="1162" ht="22.5" customHeight="1"/>
    <row r="1163" ht="22.5" customHeight="1"/>
    <row r="1164" ht="22.5" customHeight="1"/>
    <row r="1165" ht="22.5" customHeight="1"/>
    <row r="1166" ht="22.5" customHeight="1"/>
    <row r="1167" ht="22.5" customHeight="1"/>
    <row r="1168" ht="22.5" customHeight="1"/>
    <row r="1169" ht="22.5" customHeight="1"/>
    <row r="1170" ht="22.5" customHeight="1"/>
    <row r="1171" ht="22.5" customHeight="1"/>
    <row r="1172" ht="22.5" customHeight="1"/>
    <row r="1173" ht="22.5" customHeight="1"/>
    <row r="1174" ht="22.5" customHeight="1"/>
    <row r="1175" ht="22.5" customHeight="1"/>
    <row r="1176" ht="22.5" customHeight="1"/>
    <row r="1177" ht="22.5" customHeight="1"/>
    <row r="1178" ht="22.5" customHeight="1"/>
    <row r="1179" ht="22.5" customHeight="1"/>
    <row r="1180" ht="22.5" customHeight="1"/>
    <row r="1181" ht="22.5" customHeight="1"/>
    <row r="1182" ht="22.5" customHeight="1"/>
    <row r="1183" ht="22.5" customHeight="1"/>
    <row r="1184" ht="22.5" customHeight="1"/>
    <row r="1185" ht="22.5" customHeight="1"/>
    <row r="1186" ht="22.5" customHeight="1"/>
    <row r="1187" ht="22.5" customHeight="1"/>
    <row r="1188" ht="22.5" customHeight="1"/>
    <row r="1189" ht="22.5" customHeight="1"/>
    <row r="1190" ht="22.5" customHeight="1"/>
    <row r="1191" ht="22.5" customHeight="1"/>
    <row r="1192" ht="22.5" customHeight="1"/>
    <row r="1193" ht="22.5" customHeight="1"/>
    <row r="1194" ht="22.5" customHeight="1"/>
    <row r="1195" ht="22.5" customHeight="1"/>
    <row r="1196" ht="22.5" customHeight="1"/>
    <row r="1197" ht="22.5" customHeight="1"/>
    <row r="1198" ht="22.5" customHeight="1"/>
    <row r="1199" ht="22.5" customHeight="1"/>
    <row r="1200" ht="22.5" customHeight="1"/>
    <row r="1201" ht="22.5" customHeight="1"/>
    <row r="1202" ht="22.5" customHeight="1"/>
    <row r="1203" ht="22.5" customHeight="1"/>
    <row r="1204" ht="22.5" customHeight="1"/>
    <row r="1205" ht="22.5" customHeight="1"/>
    <row r="1206" ht="22.5" customHeight="1"/>
    <row r="1207" ht="22.5" customHeight="1"/>
    <row r="1208" ht="22.5" customHeight="1"/>
    <row r="1209" ht="22.5" customHeight="1"/>
    <row r="1210" ht="22.5" customHeight="1"/>
    <row r="1211" ht="22.5" customHeight="1"/>
    <row r="1212" ht="22.5" customHeight="1"/>
    <row r="1213" ht="22.5" customHeight="1"/>
    <row r="1214" ht="22.5" customHeight="1"/>
    <row r="1215" ht="22.5" customHeight="1"/>
    <row r="1216" ht="22.5" customHeight="1"/>
    <row r="1217" ht="22.5" customHeight="1"/>
    <row r="1218" ht="22.5" customHeight="1"/>
    <row r="1219" ht="22.5" customHeight="1"/>
    <row r="1220" ht="22.5" customHeight="1"/>
    <row r="1221" ht="22.5" customHeight="1"/>
    <row r="1222" ht="22.5" customHeight="1"/>
    <row r="1223" ht="22.5" customHeight="1"/>
    <row r="1224" ht="22.5" customHeight="1"/>
    <row r="1225" ht="22.5" customHeight="1"/>
    <row r="1226" ht="22.5" customHeight="1"/>
    <row r="1227" ht="22.5" customHeight="1"/>
    <row r="1228" ht="22.5" customHeight="1"/>
    <row r="1229" ht="22.5" customHeight="1"/>
    <row r="1230" ht="22.5" customHeight="1"/>
    <row r="1231" ht="22.5" customHeight="1"/>
    <row r="1232" ht="22.5" customHeight="1"/>
    <row r="1233" ht="22.5" customHeight="1"/>
    <row r="1234" ht="22.5" customHeight="1"/>
    <row r="1235" ht="22.5" customHeight="1"/>
    <row r="1236" ht="22.5" customHeight="1"/>
    <row r="1237" ht="22.5" customHeight="1"/>
    <row r="1238" ht="22.5" customHeight="1"/>
    <row r="1239" ht="22.5" customHeight="1"/>
    <row r="1240" ht="22.5" customHeight="1"/>
    <row r="1241" ht="22.5" customHeight="1"/>
    <row r="1242" ht="22.5" customHeight="1"/>
    <row r="1243" ht="22.5" customHeight="1"/>
    <row r="1244" ht="22.5" customHeight="1"/>
    <row r="1245" ht="22.5" customHeight="1"/>
    <row r="1246" ht="22.5" customHeight="1"/>
    <row r="1247" ht="22.5" customHeight="1"/>
    <row r="1248" ht="22.5" customHeight="1"/>
    <row r="1249" ht="22.5" customHeight="1"/>
    <row r="1250" ht="22.5" customHeight="1"/>
    <row r="1251" ht="22.5" customHeight="1"/>
    <row r="1252" ht="22.5" customHeight="1"/>
    <row r="1253" ht="22.5" customHeight="1"/>
    <row r="1254" ht="22.5" customHeight="1"/>
    <row r="1255" ht="22.5" customHeight="1"/>
    <row r="1256" ht="22.5" customHeight="1"/>
    <row r="1257" ht="22.5" customHeight="1"/>
    <row r="1258" ht="22.5" customHeight="1"/>
    <row r="1259" ht="22.5" customHeight="1"/>
    <row r="1260" ht="22.5" customHeight="1"/>
    <row r="1261" ht="22.5" customHeight="1"/>
    <row r="1262" ht="22.5" customHeight="1"/>
    <row r="1263" ht="22.5" customHeight="1"/>
    <row r="1264" ht="22.5" customHeight="1"/>
    <row r="1265" ht="22.5" customHeight="1"/>
    <row r="1266" ht="22.5" customHeight="1"/>
    <row r="1267" ht="22.5" customHeight="1"/>
    <row r="1268" ht="22.5" customHeight="1"/>
    <row r="1269" ht="22.5" customHeight="1"/>
    <row r="1270" ht="22.5" customHeight="1"/>
    <row r="1271" ht="22.5" customHeight="1"/>
    <row r="1272" ht="22.5" customHeight="1"/>
    <row r="1273" ht="22.5" customHeight="1"/>
    <row r="1274" ht="22.5" customHeight="1"/>
    <row r="1275" ht="22.5" customHeight="1"/>
    <row r="1276" ht="22.5" customHeight="1"/>
    <row r="1277" ht="22.5" customHeight="1"/>
    <row r="1278" ht="22.5" customHeight="1"/>
    <row r="1279" ht="22.5" customHeight="1"/>
    <row r="1280" ht="22.5" customHeight="1"/>
    <row r="1281" ht="22.5" customHeight="1"/>
    <row r="1282" ht="22.5" customHeight="1"/>
    <row r="1283" ht="22.5" customHeight="1"/>
    <row r="1284" ht="22.5" customHeight="1"/>
    <row r="1285" ht="22.5" customHeight="1"/>
    <row r="1286" ht="22.5" customHeight="1"/>
    <row r="1287" ht="22.5" customHeight="1"/>
    <row r="1288" ht="22.5" customHeight="1"/>
    <row r="1289" ht="22.5" customHeight="1"/>
    <row r="1290" ht="22.5" customHeight="1"/>
    <row r="1291" ht="22.5" customHeight="1"/>
    <row r="1292" ht="22.5" customHeight="1"/>
    <row r="1293" ht="22.5" customHeight="1"/>
    <row r="1294" ht="22.5" customHeight="1"/>
    <row r="1295" ht="22.5" customHeight="1"/>
    <row r="1296" ht="22.5" customHeight="1"/>
    <row r="1297" ht="22.5" customHeight="1"/>
    <row r="1298" ht="22.5" customHeight="1"/>
    <row r="1299" ht="22.5" customHeight="1"/>
    <row r="1300" ht="22.5" customHeight="1"/>
    <row r="1301" ht="22.5" customHeight="1"/>
    <row r="1302" ht="22.5" customHeight="1"/>
    <row r="1303" ht="22.5" customHeight="1"/>
    <row r="1304" ht="22.5" customHeight="1"/>
    <row r="1305" ht="22.5" customHeight="1"/>
    <row r="1306" ht="22.5" customHeight="1"/>
    <row r="1307" ht="22.5" customHeight="1"/>
    <row r="1308" ht="22.5" customHeight="1"/>
    <row r="1309" ht="22.5" customHeight="1"/>
    <row r="1310" ht="22.5" customHeight="1"/>
    <row r="1311" ht="22.5" customHeight="1"/>
    <row r="1312" ht="22.5" customHeight="1"/>
    <row r="1313" ht="22.5" customHeight="1"/>
    <row r="1314" ht="22.5" customHeight="1"/>
    <row r="1315" ht="22.5" customHeight="1"/>
    <row r="1316" ht="22.5" customHeight="1"/>
    <row r="1317" ht="22.5" customHeight="1"/>
    <row r="1318" ht="22.5" customHeight="1"/>
    <row r="1319" ht="22.5" customHeight="1"/>
    <row r="1320" ht="22.5" customHeight="1"/>
    <row r="1321" ht="22.5" customHeight="1"/>
    <row r="1322" ht="22.5" customHeight="1"/>
    <row r="1323" ht="22.5" customHeight="1"/>
    <row r="1324" ht="22.5" customHeight="1"/>
    <row r="1325" ht="22.5" customHeight="1"/>
    <row r="1326" ht="22.5" customHeight="1"/>
    <row r="1327" ht="22.5" customHeight="1"/>
    <row r="1328" ht="22.5" customHeight="1"/>
    <row r="1329" ht="22.5" customHeight="1"/>
    <row r="1330" ht="22.5" customHeight="1"/>
    <row r="1331" ht="22.5" customHeight="1"/>
    <row r="1332" ht="22.5" customHeight="1"/>
    <row r="1333" ht="22.5" customHeight="1"/>
    <row r="1334" ht="22.5" customHeight="1"/>
    <row r="1335" ht="22.5" customHeight="1"/>
    <row r="1336" ht="22.5" customHeight="1"/>
    <row r="1337" ht="22.5" customHeight="1"/>
    <row r="1338" ht="22.5" customHeight="1"/>
    <row r="1339" ht="22.5" customHeight="1"/>
    <row r="1340" ht="22.5" customHeight="1"/>
    <row r="1341" ht="22.5" customHeight="1"/>
    <row r="1342" ht="22.5" customHeight="1"/>
    <row r="1343" ht="22.5" customHeight="1"/>
    <row r="1344" ht="22.5" customHeight="1"/>
    <row r="1345" ht="22.5" customHeight="1"/>
    <row r="1346" ht="22.5" customHeight="1"/>
    <row r="1347" ht="22.5" customHeight="1"/>
    <row r="1348" ht="22.5" customHeight="1"/>
    <row r="1349" ht="22.5" customHeight="1"/>
    <row r="1350" ht="22.5" customHeight="1"/>
    <row r="1351" ht="22.5" customHeight="1"/>
    <row r="1352" ht="22.5" customHeight="1"/>
    <row r="1353" ht="22.5" customHeight="1"/>
    <row r="1354" ht="22.5" customHeight="1"/>
    <row r="1355" ht="22.5" customHeight="1"/>
    <row r="1356" ht="22.5" customHeight="1"/>
    <row r="1357" ht="22.5" customHeight="1"/>
    <row r="1358" ht="22.5" customHeight="1"/>
    <row r="1359" ht="22.5" customHeight="1"/>
    <row r="1360" ht="22.5" customHeight="1"/>
    <row r="1361" ht="22.5" customHeight="1"/>
    <row r="1362" ht="22.5" customHeight="1"/>
    <row r="1363" ht="22.5" customHeight="1"/>
    <row r="1364" ht="22.5" customHeight="1"/>
    <row r="1365" ht="22.5" customHeight="1"/>
    <row r="1366" ht="22.5" customHeight="1"/>
    <row r="1367" ht="22.5" customHeight="1"/>
    <row r="1368" ht="22.5" customHeight="1"/>
    <row r="1369" ht="22.5" customHeight="1"/>
    <row r="1370" ht="22.5" customHeight="1"/>
    <row r="1371" ht="22.5" customHeight="1"/>
    <row r="1372" ht="22.5" customHeight="1"/>
    <row r="1373" ht="22.5" customHeight="1"/>
    <row r="1374" ht="22.5" customHeight="1"/>
    <row r="1375" ht="22.5" customHeight="1"/>
    <row r="1376" ht="22.5" customHeight="1"/>
    <row r="1377" ht="22.5" customHeight="1"/>
    <row r="1378" ht="22.5" customHeight="1"/>
    <row r="1379" ht="22.5" customHeight="1"/>
    <row r="1380" ht="22.5" customHeight="1"/>
    <row r="1381" ht="22.5" customHeight="1"/>
    <row r="1382" ht="22.5" customHeight="1"/>
    <row r="1383" ht="22.5" customHeight="1"/>
    <row r="1384" ht="22.5" customHeight="1"/>
    <row r="1385" ht="22.5" customHeight="1"/>
    <row r="1386" ht="22.5" customHeight="1"/>
    <row r="1387" ht="22.5" customHeight="1"/>
    <row r="1388" ht="22.5" customHeight="1"/>
    <row r="1389" ht="22.5" customHeight="1"/>
    <row r="1390" ht="22.5" customHeight="1"/>
    <row r="1391" ht="22.5" customHeight="1"/>
    <row r="1392" ht="22.5" customHeight="1"/>
    <row r="1393" ht="22.5" customHeight="1"/>
    <row r="1394" ht="22.5" customHeight="1"/>
    <row r="1395" ht="22.5" customHeight="1"/>
    <row r="1396" ht="22.5" customHeight="1"/>
    <row r="1397" ht="22.5" customHeight="1"/>
    <row r="1398" ht="22.5" customHeight="1"/>
    <row r="1399" ht="22.5" customHeight="1"/>
    <row r="1400" ht="22.5" customHeight="1"/>
    <row r="1401" ht="22.5" customHeight="1"/>
    <row r="1402" ht="22.5" customHeight="1"/>
    <row r="1403" ht="22.5" customHeight="1"/>
    <row r="1404" ht="22.5" customHeight="1"/>
    <row r="1405" ht="22.5" customHeight="1"/>
    <row r="1406" ht="22.5" customHeight="1"/>
    <row r="1407" ht="22.5" customHeight="1"/>
    <row r="1408" ht="22.5" customHeight="1"/>
    <row r="1409" ht="22.5" customHeight="1"/>
    <row r="1410" ht="22.5" customHeight="1"/>
    <row r="1411" ht="22.5" customHeight="1"/>
    <row r="1412" ht="22.5" customHeight="1"/>
    <row r="1413" ht="22.5" customHeight="1"/>
    <row r="1414" ht="22.5" customHeight="1"/>
    <row r="1415" ht="22.5" customHeight="1"/>
    <row r="1416" ht="22.5" customHeight="1"/>
    <row r="1417" ht="22.5" customHeight="1"/>
    <row r="1418" ht="22.5" customHeight="1"/>
    <row r="1419" ht="22.5" customHeight="1"/>
    <row r="1420" ht="22.5" customHeight="1"/>
    <row r="1421" ht="22.5" customHeight="1"/>
    <row r="1422" ht="22.5" customHeight="1"/>
    <row r="1423" ht="22.5" customHeight="1"/>
    <row r="1424" ht="22.5" customHeight="1"/>
    <row r="1425" ht="22.5" customHeight="1"/>
    <row r="1426" ht="22.5" customHeight="1"/>
    <row r="1427" ht="22.5" customHeight="1"/>
    <row r="1428" ht="22.5" customHeight="1"/>
    <row r="1429" ht="22.5" customHeight="1"/>
    <row r="1430" ht="22.5" customHeight="1"/>
    <row r="1431" ht="22.5" customHeight="1"/>
    <row r="1432" ht="22.5" customHeight="1"/>
    <row r="1433" ht="22.5" customHeight="1"/>
    <row r="1434" ht="22.5" customHeight="1"/>
    <row r="1435" ht="22.5" customHeight="1"/>
    <row r="1436" ht="22.5" customHeight="1"/>
    <row r="1437" ht="22.5" customHeight="1"/>
    <row r="1438" ht="22.5" customHeight="1"/>
    <row r="1439" ht="22.5" customHeight="1"/>
    <row r="1440" ht="22.5" customHeight="1"/>
    <row r="1441" ht="22.5" customHeight="1"/>
    <row r="1442" ht="22.5" customHeight="1"/>
    <row r="1443" ht="22.5" customHeight="1"/>
    <row r="1444" ht="22.5" customHeight="1"/>
    <row r="1445" ht="22.5" customHeight="1"/>
    <row r="1446" ht="22.5" customHeight="1"/>
    <row r="1447" ht="22.5" customHeight="1"/>
    <row r="1448" ht="22.5" customHeight="1"/>
    <row r="1449" ht="22.5" customHeight="1"/>
    <row r="1450" ht="22.5" customHeight="1"/>
    <row r="1451" ht="22.5" customHeight="1"/>
    <row r="1452" ht="22.5" customHeight="1"/>
    <row r="1453" ht="22.5" customHeight="1"/>
    <row r="1454" ht="22.5" customHeight="1"/>
    <row r="1455" ht="22.5" customHeight="1"/>
    <row r="1456" ht="22.5" customHeight="1"/>
    <row r="1457" ht="22.5" customHeight="1"/>
    <row r="1458" ht="22.5" customHeight="1"/>
    <row r="1459" ht="22.5" customHeight="1"/>
    <row r="1460" ht="22.5" customHeight="1"/>
    <row r="1461" ht="22.5" customHeight="1"/>
    <row r="1462" ht="22.5" customHeight="1"/>
    <row r="1463" ht="22.5" customHeight="1"/>
    <row r="1464" ht="22.5" customHeight="1"/>
    <row r="1465" ht="22.5" customHeight="1"/>
    <row r="1466" ht="22.5" customHeight="1"/>
    <row r="1467" ht="22.5" customHeight="1"/>
    <row r="1468" ht="22.5" customHeight="1"/>
    <row r="1469" ht="22.5" customHeight="1"/>
    <row r="1470" ht="22.5" customHeight="1"/>
    <row r="1471" ht="22.5" customHeight="1"/>
    <row r="1472" ht="22.5" customHeight="1"/>
    <row r="1473" ht="22.5" customHeight="1"/>
    <row r="1474" ht="22.5" customHeight="1"/>
    <row r="1475" ht="22.5" customHeight="1"/>
    <row r="1476" ht="22.5" customHeight="1"/>
    <row r="1477" ht="22.5" customHeight="1"/>
    <row r="1478" ht="22.5" customHeight="1"/>
    <row r="1479" ht="22.5" customHeight="1"/>
    <row r="1480" ht="22.5" customHeight="1"/>
    <row r="1481" ht="22.5" customHeight="1"/>
    <row r="1482" ht="22.5" customHeight="1"/>
    <row r="1483" ht="22.5" customHeight="1"/>
    <row r="1484" ht="22.5" customHeight="1"/>
    <row r="1485" ht="22.5" customHeight="1"/>
    <row r="1486" ht="22.5" customHeight="1"/>
    <row r="1487" ht="22.5" customHeight="1"/>
    <row r="1488" ht="22.5" customHeight="1"/>
    <row r="1489" ht="22.5" customHeight="1"/>
    <row r="1490" ht="22.5" customHeight="1"/>
    <row r="1491" ht="22.5" customHeight="1"/>
    <row r="1492" ht="22.5" customHeight="1"/>
    <row r="1493" ht="22.5" customHeight="1"/>
    <row r="1494" ht="22.5" customHeight="1"/>
    <row r="1495" ht="22.5" customHeight="1"/>
    <row r="1496" ht="22.5" customHeight="1"/>
    <row r="1497" ht="22.5" customHeight="1"/>
    <row r="1498" ht="22.5" customHeight="1"/>
    <row r="1499" ht="22.5" customHeight="1"/>
    <row r="1500" ht="22.5" customHeight="1"/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  <row r="1517" ht="22.5" customHeight="1"/>
    <row r="1518" ht="22.5" customHeight="1"/>
    <row r="1519" ht="22.5" customHeight="1"/>
    <row r="1520" ht="22.5" customHeight="1"/>
    <row r="1521" ht="22.5" customHeight="1"/>
    <row r="1522" ht="22.5" customHeight="1"/>
    <row r="1523" ht="22.5" customHeight="1"/>
    <row r="1524" ht="22.5" customHeight="1"/>
    <row r="1525" ht="22.5" customHeight="1"/>
    <row r="1526" ht="22.5" customHeight="1"/>
    <row r="1527" ht="22.5" customHeight="1"/>
    <row r="1528" ht="22.5" customHeight="1"/>
    <row r="1529" ht="22.5" customHeight="1"/>
    <row r="1530" ht="22.5" customHeight="1"/>
    <row r="1531" ht="22.5" customHeight="1"/>
    <row r="1532" ht="22.5" customHeight="1"/>
    <row r="1533" ht="22.5" customHeight="1"/>
    <row r="1534" ht="22.5" customHeight="1"/>
    <row r="1535" ht="22.5" customHeight="1"/>
    <row r="1536" ht="22.5" customHeight="1"/>
    <row r="1537" ht="22.5" customHeight="1"/>
    <row r="1538" ht="22.5" customHeight="1"/>
    <row r="1539" ht="22.5" customHeight="1"/>
    <row r="1540" ht="22.5" customHeight="1"/>
    <row r="1541" ht="22.5" customHeight="1"/>
    <row r="1542" ht="22.5" customHeight="1"/>
    <row r="1543" ht="22.5" customHeight="1"/>
    <row r="1544" ht="22.5" customHeight="1"/>
    <row r="1545" ht="22.5" customHeight="1"/>
    <row r="1546" ht="22.5" customHeight="1"/>
    <row r="1547" ht="22.5" customHeight="1"/>
    <row r="1548" ht="22.5" customHeight="1"/>
    <row r="1549" ht="22.5" customHeight="1"/>
    <row r="1550" ht="22.5" customHeight="1"/>
    <row r="1551" ht="22.5" customHeight="1"/>
    <row r="1552" ht="22.5" customHeight="1"/>
    <row r="1553" ht="22.5" customHeight="1"/>
    <row r="1554" ht="22.5" customHeight="1"/>
    <row r="1555" ht="22.5" customHeight="1"/>
    <row r="1556" ht="22.5" customHeight="1"/>
    <row r="1557" ht="22.5" customHeight="1"/>
    <row r="1558" ht="22.5" customHeight="1"/>
    <row r="1559" ht="22.5" customHeight="1"/>
    <row r="1560" ht="22.5" customHeight="1"/>
    <row r="1561" ht="22.5" customHeight="1"/>
    <row r="1562" ht="22.5" customHeight="1"/>
    <row r="1563" ht="22.5" customHeight="1"/>
    <row r="1564" ht="22.5" customHeight="1"/>
    <row r="1565" ht="22.5" customHeight="1"/>
    <row r="1566" ht="22.5" customHeight="1"/>
    <row r="1567" ht="22.5" customHeight="1"/>
    <row r="1568" ht="22.5" customHeight="1"/>
    <row r="1569" ht="22.5" customHeight="1"/>
    <row r="1570" ht="22.5" customHeight="1"/>
    <row r="1571" ht="22.5" customHeight="1"/>
    <row r="1572" ht="22.5" customHeight="1"/>
    <row r="1573" ht="22.5" customHeight="1"/>
    <row r="1574" ht="22.5" customHeight="1"/>
    <row r="1575" ht="22.5" customHeight="1"/>
    <row r="1576" ht="22.5" customHeight="1"/>
    <row r="1577" ht="22.5" customHeight="1"/>
    <row r="1578" ht="22.5" customHeight="1"/>
    <row r="1579" ht="22.5" customHeight="1"/>
    <row r="1580" ht="22.5" customHeight="1"/>
    <row r="1581" ht="22.5" customHeight="1"/>
    <row r="1582" ht="22.5" customHeight="1"/>
    <row r="1583" ht="22.5" customHeight="1"/>
    <row r="1584" ht="22.5" customHeight="1"/>
    <row r="1585" ht="22.5" customHeight="1"/>
    <row r="1586" ht="22.5" customHeight="1"/>
    <row r="1587" ht="22.5" customHeight="1"/>
    <row r="1588" ht="22.5" customHeight="1"/>
    <row r="1589" ht="22.5" customHeight="1"/>
    <row r="1590" ht="22.5" customHeight="1"/>
    <row r="1591" ht="22.5" customHeight="1"/>
    <row r="1592" ht="22.5" customHeight="1"/>
    <row r="1593" ht="22.5" customHeight="1"/>
    <row r="1594" ht="22.5" customHeight="1"/>
    <row r="1595" ht="22.5" customHeight="1"/>
    <row r="1596" ht="22.5" customHeight="1"/>
    <row r="1597" ht="22.5" customHeight="1"/>
    <row r="1598" ht="22.5" customHeight="1"/>
    <row r="1599" ht="22.5" customHeight="1"/>
    <row r="1600" ht="22.5" customHeight="1"/>
    <row r="1601" ht="22.5" customHeight="1"/>
    <row r="1602" ht="22.5" customHeight="1"/>
    <row r="1603" ht="22.5" customHeight="1"/>
    <row r="1604" ht="22.5" customHeight="1"/>
    <row r="1605" ht="22.5" customHeight="1"/>
    <row r="1606" ht="22.5" customHeight="1"/>
    <row r="1607" ht="22.5" customHeight="1"/>
    <row r="1608" ht="22.5" customHeight="1"/>
    <row r="1609" ht="22.5" customHeight="1"/>
    <row r="1610" ht="22.5" customHeight="1"/>
    <row r="1611" ht="22.5" customHeight="1"/>
    <row r="1612" ht="22.5" customHeight="1"/>
    <row r="1613" ht="22.5" customHeight="1"/>
    <row r="1614" ht="22.5" customHeight="1"/>
    <row r="1615" ht="22.5" customHeight="1"/>
    <row r="1616" ht="22.5" customHeight="1"/>
    <row r="1617" ht="22.5" customHeight="1"/>
    <row r="1618" ht="22.5" customHeight="1"/>
    <row r="1619" ht="22.5" customHeight="1"/>
    <row r="1620" ht="22.5" customHeight="1"/>
    <row r="1621" ht="22.5" customHeight="1"/>
    <row r="1622" ht="22.5" customHeight="1"/>
    <row r="1623" ht="22.5" customHeight="1"/>
    <row r="1624" ht="22.5" customHeight="1"/>
    <row r="1625" ht="22.5" customHeight="1"/>
    <row r="1626" ht="22.5" customHeight="1"/>
    <row r="1627" ht="22.5" customHeight="1"/>
    <row r="1628" ht="22.5" customHeight="1"/>
    <row r="1629" ht="22.5" customHeight="1"/>
    <row r="1630" ht="22.5" customHeight="1"/>
    <row r="1631" ht="22.5" customHeight="1"/>
    <row r="1632" ht="22.5" customHeight="1"/>
    <row r="1633" ht="22.5" customHeight="1"/>
    <row r="1634" ht="22.5" customHeight="1"/>
    <row r="1635" ht="22.5" customHeight="1"/>
    <row r="1636" ht="22.5" customHeight="1"/>
    <row r="1637" ht="22.5" customHeight="1"/>
    <row r="1638" ht="22.5" customHeight="1"/>
    <row r="1639" ht="22.5" customHeight="1"/>
    <row r="1640" ht="22.5" customHeight="1"/>
    <row r="1641" ht="22.5" customHeight="1"/>
    <row r="1642" ht="22.5" customHeight="1"/>
    <row r="1643" ht="22.5" customHeight="1"/>
    <row r="1644" ht="22.5" customHeight="1"/>
    <row r="1645" ht="22.5" customHeight="1"/>
    <row r="1646" ht="22.5" customHeight="1"/>
    <row r="1647" ht="22.5" customHeight="1"/>
    <row r="1648" ht="22.5" customHeight="1"/>
    <row r="1649" ht="22.5" customHeight="1"/>
    <row r="1650" ht="22.5" customHeight="1"/>
    <row r="1651" ht="22.5" customHeight="1"/>
    <row r="1652" ht="22.5" customHeight="1"/>
    <row r="1653" ht="22.5" customHeight="1"/>
    <row r="1654" ht="22.5" customHeight="1"/>
    <row r="1655" ht="22.5" customHeight="1"/>
    <row r="1656" ht="22.5" customHeight="1"/>
    <row r="1657" ht="22.5" customHeight="1"/>
    <row r="1658" ht="22.5" customHeight="1"/>
    <row r="1659" ht="22.5" customHeight="1"/>
    <row r="1660" ht="22.5" customHeight="1"/>
    <row r="1661" ht="22.5" customHeight="1"/>
    <row r="1662" ht="22.5" customHeight="1"/>
    <row r="1663" ht="22.5" customHeight="1"/>
    <row r="1664" ht="22.5" customHeight="1"/>
    <row r="1665" ht="22.5" customHeight="1"/>
    <row r="1666" ht="22.5" customHeight="1"/>
    <row r="1667" ht="22.5" customHeight="1"/>
    <row r="1668" ht="22.5" customHeight="1"/>
    <row r="1669" ht="22.5" customHeight="1"/>
    <row r="1670" ht="22.5" customHeight="1"/>
    <row r="1671" ht="22.5" customHeight="1"/>
    <row r="1672" ht="22.5" customHeight="1"/>
    <row r="1673" ht="22.5" customHeight="1"/>
    <row r="1674" ht="22.5" customHeight="1"/>
    <row r="1675" ht="22.5" customHeight="1"/>
    <row r="1676" ht="22.5" customHeight="1"/>
    <row r="1677" ht="22.5" customHeight="1"/>
    <row r="1678" ht="22.5" customHeight="1"/>
    <row r="1679" ht="22.5" customHeight="1"/>
    <row r="1680" ht="22.5" customHeight="1"/>
    <row r="1681" ht="22.5" customHeight="1"/>
    <row r="1682" ht="22.5" customHeight="1"/>
    <row r="1683" ht="22.5" customHeight="1"/>
    <row r="1684" ht="22.5" customHeight="1"/>
    <row r="1685" ht="22.5" customHeight="1"/>
    <row r="1686" ht="22.5" customHeight="1"/>
    <row r="1687" ht="22.5" customHeight="1"/>
    <row r="1688" ht="22.5" customHeight="1"/>
    <row r="1689" ht="22.5" customHeight="1"/>
    <row r="1690" ht="22.5" customHeight="1"/>
    <row r="1691" ht="22.5" customHeight="1"/>
    <row r="1692" ht="22.5" customHeight="1"/>
    <row r="1693" ht="22.5" customHeight="1"/>
    <row r="1694" ht="22.5" customHeight="1"/>
    <row r="1695" ht="22.5" customHeight="1"/>
    <row r="1696" ht="22.5" customHeight="1"/>
    <row r="1697" ht="22.5" customHeight="1"/>
    <row r="1698" ht="22.5" customHeight="1"/>
    <row r="1699" ht="22.5" customHeight="1"/>
    <row r="1700" ht="22.5" customHeight="1"/>
    <row r="1701" ht="22.5" customHeight="1"/>
    <row r="1702" ht="22.5" customHeight="1"/>
    <row r="1703" ht="22.5" customHeight="1"/>
    <row r="1704" ht="22.5" customHeight="1"/>
    <row r="1705" ht="22.5" customHeight="1"/>
    <row r="1706" ht="22.5" customHeight="1"/>
    <row r="1707" ht="22.5" customHeight="1"/>
    <row r="1708" ht="22.5" customHeight="1"/>
    <row r="1709" ht="22.5" customHeight="1"/>
    <row r="1710" ht="22.5" customHeight="1"/>
    <row r="1711" ht="22.5" customHeight="1"/>
    <row r="1712" ht="22.5" customHeight="1"/>
    <row r="1713" ht="22.5" customHeight="1"/>
    <row r="1714" ht="22.5" customHeight="1"/>
    <row r="1715" ht="22.5" customHeight="1"/>
    <row r="1716" ht="22.5" customHeight="1"/>
    <row r="1717" ht="22.5" customHeight="1"/>
    <row r="1718" ht="22.5" customHeight="1"/>
    <row r="1719" ht="22.5" customHeight="1"/>
    <row r="1720" ht="22.5" customHeight="1"/>
    <row r="1721" ht="22.5" customHeight="1"/>
    <row r="1722" ht="22.5" customHeight="1"/>
    <row r="1723" ht="22.5" customHeight="1"/>
    <row r="1724" ht="22.5" customHeight="1"/>
    <row r="1725" ht="22.5" customHeight="1"/>
    <row r="1726" ht="22.5" customHeight="1"/>
    <row r="1727" ht="22.5" customHeight="1"/>
    <row r="1728" ht="22.5" customHeight="1"/>
    <row r="1729" ht="22.5" customHeight="1"/>
    <row r="1730" ht="22.5" customHeight="1"/>
    <row r="1731" ht="22.5" customHeight="1"/>
    <row r="1732" ht="22.5" customHeight="1"/>
    <row r="1733" ht="22.5" customHeight="1"/>
    <row r="1734" ht="22.5" customHeight="1"/>
    <row r="1735" ht="22.5" customHeight="1"/>
    <row r="1736" ht="22.5" customHeight="1"/>
    <row r="1737" ht="22.5" customHeight="1"/>
    <row r="1738" ht="22.5" customHeight="1"/>
    <row r="1739" ht="22.5" customHeight="1"/>
    <row r="1740" ht="22.5" customHeight="1"/>
    <row r="1741" ht="22.5" customHeight="1"/>
    <row r="1742" ht="22.5" customHeight="1"/>
    <row r="1743" ht="22.5" customHeight="1"/>
    <row r="1744" ht="22.5" customHeight="1"/>
    <row r="1745" ht="22.5" customHeight="1"/>
    <row r="1746" ht="22.5" customHeight="1"/>
    <row r="1747" ht="22.5" customHeight="1"/>
    <row r="1748" ht="22.5" customHeight="1"/>
    <row r="1749" ht="22.5" customHeight="1"/>
    <row r="1750" ht="22.5" customHeight="1"/>
    <row r="1751" ht="22.5" customHeight="1"/>
    <row r="1752" ht="22.5" customHeight="1"/>
    <row r="1753" ht="22.5" customHeight="1"/>
    <row r="1754" ht="22.5" customHeight="1"/>
    <row r="1755" ht="22.5" customHeight="1"/>
    <row r="1756" ht="22.5" customHeight="1"/>
    <row r="1757" ht="22.5" customHeight="1"/>
    <row r="1758" ht="22.5" customHeight="1"/>
    <row r="1759" ht="22.5" customHeight="1"/>
    <row r="1760" ht="22.5" customHeight="1"/>
    <row r="1761" ht="22.5" customHeight="1"/>
    <row r="1762" ht="22.5" customHeight="1"/>
    <row r="1763" ht="22.5" customHeight="1"/>
    <row r="1764" ht="22.5" customHeight="1"/>
    <row r="1765" ht="22.5" customHeight="1"/>
    <row r="1766" ht="22.5" customHeight="1"/>
    <row r="1767" ht="22.5" customHeight="1"/>
    <row r="1768" ht="22.5" customHeight="1"/>
    <row r="1769" ht="22.5" customHeight="1"/>
    <row r="1770" ht="22.5" customHeight="1"/>
    <row r="1771" ht="22.5" customHeight="1"/>
    <row r="1772" ht="22.5" customHeight="1"/>
    <row r="1773" ht="22.5" customHeight="1"/>
    <row r="1774" ht="22.5" customHeight="1"/>
    <row r="1775" ht="22.5" customHeight="1"/>
    <row r="1776" ht="22.5" customHeight="1"/>
    <row r="1777" ht="22.5" customHeight="1"/>
    <row r="1778" ht="22.5" customHeight="1"/>
    <row r="1779" ht="22.5" customHeight="1"/>
    <row r="1780" ht="22.5" customHeight="1"/>
    <row r="1781" ht="22.5" customHeight="1"/>
    <row r="1782" ht="22.5" customHeight="1"/>
    <row r="1783" ht="22.5" customHeight="1"/>
    <row r="1784" ht="22.5" customHeight="1"/>
    <row r="1785" ht="22.5" customHeight="1"/>
    <row r="1786" ht="22.5" customHeight="1"/>
    <row r="1787" ht="22.5" customHeight="1"/>
    <row r="1788" ht="22.5" customHeight="1"/>
    <row r="1789" ht="22.5" customHeight="1"/>
    <row r="1790" ht="22.5" customHeight="1"/>
    <row r="1791" ht="22.5" customHeight="1"/>
    <row r="1792" ht="22.5" customHeight="1"/>
    <row r="1793" ht="22.5" customHeight="1"/>
    <row r="1794" ht="22.5" customHeight="1"/>
    <row r="1795" ht="22.5" customHeight="1"/>
    <row r="1796" ht="22.5" customHeight="1"/>
    <row r="1797" ht="22.5" customHeight="1"/>
    <row r="1798" ht="22.5" customHeight="1"/>
    <row r="1799" ht="22.5" customHeight="1"/>
    <row r="1800" ht="22.5" customHeight="1"/>
    <row r="1801" ht="22.5" customHeight="1"/>
    <row r="1802" ht="22.5" customHeight="1"/>
    <row r="1803" ht="22.5" customHeight="1"/>
    <row r="1804" ht="22.5" customHeight="1"/>
    <row r="1805" ht="22.5" customHeight="1"/>
    <row r="1806" ht="22.5" customHeight="1"/>
    <row r="1807" ht="22.5" customHeight="1"/>
    <row r="1808" ht="22.5" customHeight="1"/>
    <row r="1809" ht="22.5" customHeight="1"/>
    <row r="1810" ht="22.5" customHeight="1"/>
    <row r="1811" ht="22.5" customHeight="1"/>
    <row r="1812" ht="22.5" customHeight="1"/>
    <row r="1813" ht="22.5" customHeight="1"/>
    <row r="1814" ht="22.5" customHeight="1"/>
    <row r="1815" ht="22.5" customHeight="1"/>
    <row r="1816" ht="22.5" customHeight="1"/>
    <row r="1817" ht="22.5" customHeight="1"/>
    <row r="1818" ht="22.5" customHeight="1"/>
    <row r="1819" ht="22.5" customHeight="1"/>
    <row r="1820" ht="22.5" customHeight="1"/>
    <row r="1821" ht="22.5" customHeight="1"/>
    <row r="1822" ht="22.5" customHeight="1"/>
    <row r="1823" ht="22.5" customHeight="1"/>
    <row r="1824" ht="22.5" customHeight="1"/>
    <row r="1825" ht="22.5" customHeight="1"/>
    <row r="1826" ht="22.5" customHeight="1"/>
    <row r="1827" ht="22.5" customHeight="1"/>
    <row r="1828" ht="22.5" customHeight="1"/>
    <row r="1829" ht="22.5" customHeight="1"/>
    <row r="1830" ht="22.5" customHeight="1"/>
    <row r="1831" ht="22.5" customHeight="1"/>
    <row r="1832" ht="22.5" customHeight="1"/>
    <row r="1833" ht="22.5" customHeight="1"/>
    <row r="1834" ht="22.5" customHeight="1"/>
    <row r="1835" ht="22.5" customHeight="1"/>
    <row r="1836" ht="22.5" customHeight="1"/>
    <row r="1837" ht="22.5" customHeight="1"/>
    <row r="1838" ht="22.5" customHeight="1"/>
    <row r="1839" ht="22.5" customHeight="1"/>
    <row r="1840" ht="22.5" customHeight="1"/>
    <row r="1841" ht="22.5" customHeight="1"/>
    <row r="1842" ht="22.5" customHeight="1"/>
    <row r="1843" ht="22.5" customHeight="1"/>
    <row r="1844" ht="22.5" customHeight="1"/>
    <row r="1845" ht="22.5" customHeight="1"/>
    <row r="1846" ht="22.5" customHeight="1"/>
    <row r="1847" ht="22.5" customHeight="1"/>
    <row r="1848" ht="22.5" customHeight="1"/>
    <row r="1849" ht="22.5" customHeight="1"/>
    <row r="1850" ht="22.5" customHeight="1"/>
    <row r="1851" ht="22.5" customHeight="1"/>
    <row r="1852" ht="22.5" customHeight="1"/>
    <row r="1853" ht="22.5" customHeight="1"/>
    <row r="1854" ht="22.5" customHeight="1"/>
    <row r="1855" ht="22.5" customHeight="1"/>
    <row r="1856" ht="22.5" customHeight="1"/>
    <row r="1857" ht="22.5" customHeight="1"/>
    <row r="1858" ht="22.5" customHeight="1"/>
    <row r="1859" ht="22.5" customHeight="1"/>
    <row r="1860" ht="22.5" customHeight="1"/>
    <row r="1861" ht="22.5" customHeight="1"/>
    <row r="1862" ht="22.5" customHeight="1"/>
    <row r="1863" ht="22.5" customHeight="1"/>
    <row r="1864" ht="22.5" customHeight="1"/>
    <row r="1865" ht="22.5" customHeight="1"/>
    <row r="1866" ht="22.5" customHeight="1"/>
    <row r="1867" ht="22.5" customHeight="1"/>
    <row r="1868" ht="22.5" customHeight="1"/>
    <row r="1869" ht="22.5" customHeight="1"/>
    <row r="1870" ht="22.5" customHeight="1"/>
    <row r="1871" ht="22.5" customHeight="1"/>
    <row r="1872" ht="22.5" customHeight="1"/>
    <row r="1873" ht="22.5" customHeight="1"/>
    <row r="1874" ht="22.5" customHeight="1"/>
    <row r="1875" ht="22.5" customHeight="1"/>
    <row r="1876" ht="22.5" customHeight="1"/>
    <row r="1877" ht="22.5" customHeight="1"/>
    <row r="1878" ht="22.5" customHeight="1"/>
    <row r="1879" ht="22.5" customHeight="1"/>
    <row r="1880" ht="22.5" customHeight="1"/>
    <row r="1881" ht="22.5" customHeight="1"/>
    <row r="1882" ht="22.5" customHeight="1"/>
    <row r="1883" ht="22.5" customHeight="1"/>
    <row r="1884" ht="22.5" customHeight="1"/>
    <row r="1885" ht="22.5" customHeight="1"/>
    <row r="1886" ht="22.5" customHeight="1"/>
    <row r="1887" ht="22.5" customHeight="1"/>
    <row r="1888" ht="22.5" customHeight="1"/>
    <row r="1889" ht="22.5" customHeight="1"/>
    <row r="1890" ht="22.5" customHeight="1"/>
    <row r="1891" ht="22.5" customHeight="1"/>
    <row r="1892" ht="22.5" customHeight="1"/>
    <row r="1893" ht="22.5" customHeight="1"/>
    <row r="1894" ht="22.5" customHeight="1"/>
    <row r="1895" ht="22.5" customHeight="1"/>
    <row r="1896" ht="22.5" customHeight="1"/>
    <row r="1897" ht="22.5" customHeight="1"/>
    <row r="1898" ht="22.5" customHeight="1"/>
    <row r="1899" ht="22.5" customHeight="1"/>
    <row r="1900" ht="22.5" customHeight="1"/>
    <row r="1901" ht="22.5" customHeight="1"/>
    <row r="1902" ht="22.5" customHeight="1"/>
    <row r="1903" ht="22.5" customHeight="1"/>
    <row r="1904" ht="22.5" customHeight="1"/>
    <row r="1905" ht="22.5" customHeight="1"/>
    <row r="1906" ht="22.5" customHeight="1"/>
    <row r="1907" ht="22.5" customHeight="1"/>
    <row r="1908" ht="22.5" customHeight="1"/>
    <row r="1909" ht="22.5" customHeight="1"/>
    <row r="1910" ht="22.5" customHeight="1"/>
    <row r="1911" ht="22.5" customHeight="1"/>
    <row r="1912" ht="22.5" customHeight="1"/>
    <row r="1913" ht="22.5" customHeight="1"/>
    <row r="1914" ht="22.5" customHeight="1"/>
    <row r="1915" ht="22.5" customHeight="1"/>
    <row r="1916" ht="22.5" customHeight="1"/>
    <row r="1917" ht="22.5" customHeight="1"/>
    <row r="1918" ht="22.5" customHeight="1"/>
    <row r="1919" ht="22.5" customHeight="1"/>
    <row r="1920" ht="22.5" customHeight="1"/>
    <row r="1921" ht="22.5" customHeight="1"/>
    <row r="1922" ht="22.5" customHeight="1"/>
    <row r="1923" ht="22.5" customHeight="1"/>
    <row r="1924" ht="22.5" customHeight="1"/>
    <row r="1925" ht="22.5" customHeight="1"/>
    <row r="1926" ht="22.5" customHeight="1"/>
    <row r="1927" ht="22.5" customHeight="1"/>
    <row r="1928" ht="22.5" customHeight="1"/>
    <row r="1929" ht="22.5" customHeight="1"/>
    <row r="1930" ht="22.5" customHeight="1"/>
    <row r="1931" ht="22.5" customHeight="1"/>
    <row r="1932" ht="22.5" customHeight="1"/>
    <row r="1933" ht="22.5" customHeight="1"/>
    <row r="1934" ht="22.5" customHeight="1"/>
    <row r="1935" ht="22.5" customHeight="1"/>
    <row r="1936" ht="22.5" customHeight="1"/>
    <row r="1937" ht="22.5" customHeight="1"/>
    <row r="1938" ht="22.5" customHeight="1"/>
    <row r="1939" ht="22.5" customHeight="1"/>
    <row r="1940" ht="22.5" customHeight="1"/>
    <row r="1941" ht="22.5" customHeight="1"/>
    <row r="1942" ht="22.5" customHeight="1"/>
    <row r="1943" ht="22.5" customHeight="1"/>
    <row r="1944" ht="22.5" customHeight="1"/>
    <row r="1945" ht="22.5" customHeight="1"/>
    <row r="1946" ht="22.5" customHeight="1"/>
    <row r="1947" ht="22.5" customHeight="1"/>
    <row r="1948" ht="22.5" customHeight="1"/>
    <row r="1949" ht="22.5" customHeight="1"/>
    <row r="1950" ht="22.5" customHeight="1"/>
    <row r="1951" ht="22.5" customHeight="1"/>
    <row r="1952" ht="22.5" customHeight="1"/>
    <row r="1953" ht="22.5" customHeight="1"/>
    <row r="1954" ht="22.5" customHeight="1"/>
    <row r="1955" ht="22.5" customHeight="1"/>
    <row r="1956" ht="22.5" customHeight="1"/>
    <row r="1957" ht="22.5" customHeight="1"/>
    <row r="1958" ht="22.5" customHeight="1"/>
    <row r="1959" ht="22.5" customHeight="1"/>
    <row r="1960" ht="22.5" customHeight="1"/>
    <row r="1961" ht="22.5" customHeight="1"/>
    <row r="1962" ht="22.5" customHeight="1"/>
    <row r="1963" ht="22.5" customHeight="1"/>
    <row r="1964" ht="22.5" customHeight="1"/>
    <row r="1965" ht="22.5" customHeight="1"/>
    <row r="1966" ht="22.5" customHeight="1"/>
    <row r="1967" ht="22.5" customHeight="1"/>
    <row r="1968" ht="22.5" customHeight="1"/>
    <row r="1969" ht="22.5" customHeight="1"/>
    <row r="1970" ht="22.5" customHeight="1"/>
    <row r="1971" ht="22.5" customHeight="1"/>
    <row r="1972" ht="22.5" customHeight="1"/>
    <row r="1973" ht="22.5" customHeight="1"/>
    <row r="1974" ht="22.5" customHeight="1"/>
    <row r="1975" ht="22.5" customHeight="1"/>
    <row r="1976" ht="22.5" customHeight="1"/>
    <row r="1977" ht="22.5" customHeight="1"/>
    <row r="1978" ht="22.5" customHeight="1"/>
    <row r="1979" ht="22.5" customHeight="1"/>
    <row r="1980" ht="22.5" customHeight="1"/>
    <row r="1981" ht="22.5" customHeight="1"/>
    <row r="1982" ht="22.5" customHeight="1"/>
    <row r="1983" ht="22.5" customHeight="1"/>
    <row r="1984" ht="22.5" customHeight="1"/>
    <row r="1985" ht="22.5" customHeight="1"/>
    <row r="1986" ht="22.5" customHeight="1"/>
    <row r="1987" ht="22.5" customHeight="1"/>
    <row r="1988" ht="22.5" customHeight="1"/>
    <row r="1989" ht="22.5" customHeight="1"/>
    <row r="1990" ht="22.5" customHeight="1"/>
    <row r="1991" ht="22.5" customHeight="1"/>
    <row r="1992" ht="22.5" customHeight="1"/>
    <row r="1993" ht="22.5" customHeight="1"/>
    <row r="1994" ht="22.5" customHeight="1"/>
    <row r="1995" ht="22.5" customHeight="1"/>
    <row r="1996" ht="22.5" customHeight="1"/>
    <row r="1997" ht="22.5" customHeight="1"/>
    <row r="1998" ht="22.5" customHeight="1"/>
    <row r="1999" ht="22.5" customHeight="1"/>
    <row r="2000" ht="22.5" customHeight="1"/>
  </sheetData>
  <autoFilter ref="A1:J200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zoomScale="102" workbookViewId="0">
      <selection activeCell="C6" sqref="C6"/>
    </sheetView>
  </sheetViews>
  <sheetFormatPr baseColWidth="8" defaultColWidth="22.140625" defaultRowHeight="15"/>
  <sheetData>
    <row r="1" ht="24.95" customFormat="1" customHeight="1" s="2">
      <c r="A1" s="1" t="inlineStr">
        <is>
          <t>Account Name</t>
        </is>
      </c>
      <c r="B1" s="1" t="inlineStr">
        <is>
          <t>Total IN</t>
        </is>
      </c>
      <c r="C1" s="1" t="inlineStr">
        <is>
          <t>Total OUT</t>
        </is>
      </c>
      <c r="D1" s="1" t="inlineStr">
        <is>
          <t>Balance</t>
        </is>
      </c>
      <c r="E1" s="9" t="n"/>
    </row>
    <row r="2">
      <c r="A2" s="10" t="inlineStr">
        <is>
          <t>Cash</t>
        </is>
      </c>
      <c r="B2" s="10">
        <f>SUMIFS(Transactions!$P:$P,Transactions!$C:$C,"IN",Transactions!$E:$E,$A2)</f>
        <v/>
      </c>
      <c r="C2" s="10">
        <f>SUMIFS(Transactions!$P:$P,Transactions!$C:$C,"OUT",Transactions!$E:$E,$A2)</f>
        <v/>
      </c>
      <c r="D2" s="10">
        <f>B2-C2</f>
        <v/>
      </c>
      <c r="E2" s="10" t="inlineStr">
        <is>
          <t>With VAT</t>
        </is>
      </c>
    </row>
  </sheetData>
  <autoFilter ref="A1:D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E7" sqref="E7"/>
    </sheetView>
  </sheetViews>
  <sheetFormatPr baseColWidth="8" defaultColWidth="20.7109375" defaultRowHeight="22.5" customHeight="1"/>
  <cols>
    <col width="20.7109375" customWidth="1" style="10" min="1" max="4"/>
    <col width="25.7109375" customWidth="1" style="10" min="5" max="5"/>
    <col width="20.7109375" customWidth="1" style="10" min="6" max="16384"/>
  </cols>
  <sheetData>
    <row r="1" ht="24.95" customFormat="1" customHeight="1" s="9">
      <c r="A1" s="1" t="inlineStr">
        <is>
          <t>Month</t>
        </is>
      </c>
      <c r="B1" s="1" t="inlineStr">
        <is>
          <t>Year</t>
        </is>
      </c>
      <c r="C1" s="1" t="inlineStr">
        <is>
          <t>Total Sales (Excl. VAT)</t>
        </is>
      </c>
      <c r="D1" s="1" t="inlineStr">
        <is>
          <t>Output VAT 15%</t>
        </is>
      </c>
      <c r="E1" s="1" t="inlineStr">
        <is>
          <t>Total Purchases (Excl. VAT)</t>
        </is>
      </c>
      <c r="F1" s="1" t="inlineStr">
        <is>
          <t>Input VAT 15%</t>
        </is>
      </c>
      <c r="G1" s="1" t="inlineStr">
        <is>
          <t>Net VAT Payable</t>
        </is>
      </c>
    </row>
    <row r="2" ht="22.5" customHeight="1">
      <c r="A2" s="10" t="n">
        <v>11</v>
      </c>
      <c r="B2" s="10" t="n">
        <v>2025</v>
      </c>
      <c r="C2" s="10">
        <f>IF(OR($A2="",$B2=""),"",
   SUMIFS(Transactions!$D:$D,
          Transactions!$C:$C,"IN",
          Transactions!$L:$L,"Client",
          Transactions!$Q:$Q,"*Paid*",
          Transactions!$A:$A,"&gt;="&amp;DATE($B2,$A2,1),
          Transactions!$A:$A,"&lt;"&amp;EDATE(DATE($B2,$A2,1),1)
   )
)</f>
        <v/>
      </c>
      <c r="D2" s="10">
        <f>IF(OR($A2="",$B2=""),"",
   SUMIFS(Transactions!$O:$O,
          Transactions!$C:$C,"IN",
          Transactions!$L:$L,"Client",
          Transactions!$Q:$Q,"*Paid*",
          Transactions!$A:$A,"&gt;="&amp;DATE($B2,$A2,1),
          Transactions!$A:$A,"&lt;"&amp;EDATE(DATE($B2,$A2,1),1)
   )
)</f>
        <v/>
      </c>
      <c r="E2" s="10">
        <f>SUMIFS(
  Transactions!$D:$D,
  Transactions!$C:$C,"OUT",
  Transactions!$E:$E,"Cash",
  Transactions!$A:$A,"&gt;=" &amp; DATE($B2,$A2,1),
  Transactions!$A:$A,"&lt;" &amp; DATE($B2,$A2+1,1)
)</f>
        <v/>
      </c>
      <c r="F2" s="10">
        <f>SUMIFS(
  Transactions!$O:$O,
  Transactions!$C:$C,"OUT",
  Transactions!$E:$E,"Cash",
  Transactions!$A:$A,"&gt;=" &amp; DATE($B2,$A2,1),
  Transactions!$A:$A,"&lt;" &amp; DATE($B2,$A2+1,1)
)</f>
        <v/>
      </c>
      <c r="G2" s="10">
        <f>IF(OR(D2="",F2=""),"",D2-F2)</f>
        <v/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92" workbookViewId="0">
      <selection activeCell="H6" sqref="H6"/>
    </sheetView>
  </sheetViews>
  <sheetFormatPr baseColWidth="8" defaultColWidth="18.140625" defaultRowHeight="21.75" customHeight="1"/>
  <cols>
    <col width="11.85546875" customWidth="1" style="10" min="1" max="1"/>
    <col width="11.7109375" customWidth="1" style="10" min="2" max="2"/>
    <col width="24.7109375" customWidth="1" style="10" min="3" max="3"/>
    <col width="25.5703125" customWidth="1" style="10" min="4" max="4"/>
    <col width="20" customWidth="1" style="10" min="5" max="5"/>
    <col width="18.140625" customWidth="1" style="10" min="6" max="16384"/>
  </cols>
  <sheetData>
    <row r="1" ht="21.75" customFormat="1" customHeight="1" s="9">
      <c r="A1" s="1" t="inlineStr">
        <is>
          <t>Month</t>
        </is>
      </c>
      <c r="B1" s="1" t="inlineStr">
        <is>
          <t>Year</t>
        </is>
      </c>
      <c r="C1" s="1" t="inlineStr">
        <is>
          <t>Total Income (Excl. VAT)</t>
        </is>
      </c>
      <c r="D1" s="1" t="inlineStr">
        <is>
          <t>Total Expense (Excl. VAT)</t>
        </is>
      </c>
      <c r="E1" s="1" t="inlineStr">
        <is>
          <t>Net Profit / Loss</t>
        </is>
      </c>
      <c r="F1" s="1" t="inlineStr">
        <is>
          <t>Material Expense</t>
        </is>
      </c>
      <c r="G1" s="1" t="inlineStr">
        <is>
          <t>Food Expense</t>
        </is>
      </c>
      <c r="H1" s="1" t="inlineStr">
        <is>
          <t>Fuel Expense</t>
        </is>
      </c>
      <c r="I1" s="1" t="inlineStr">
        <is>
          <t>Labour Expense</t>
        </is>
      </c>
      <c r="J1" s="1" t="inlineStr">
        <is>
          <t>Transport Expense</t>
        </is>
      </c>
      <c r="K1" s="1" t="inlineStr">
        <is>
          <t>Credit Sale</t>
        </is>
      </c>
    </row>
    <row r="2" ht="21.75" customHeight="1">
      <c r="A2" s="10" t="n">
        <v>11</v>
      </c>
      <c r="B2" s="10" t="n">
        <v>2025</v>
      </c>
      <c r="C2" s="10">
        <f>SUMIFS(
  Transactions!$D:$D,
  Transactions!$C:$C,"IN",
  Transactions!$E:$E,"Cash",
  Transactions!$A:$A,"&gt;=" &amp; DATE($B2,$A2,1),
  Transactions!$A:$A,"&lt;"  &amp; EOMONTH(DATE($B2,$A2,1),0)+1
)</f>
        <v/>
      </c>
      <c r="D2" s="10">
        <f>SUMIFS(
  Transactions!$D:$D,
  Transactions!$C:$C,"OUT",
  Transactions!$E:$E,"Cash",
  Transactions!$A:$A,"&gt;="&amp;DATE($B2,$A2,1),
  Transactions!$A:$A,"&lt;"&amp;DATE($B2,$A2+1,1)
)</f>
        <v/>
      </c>
      <c r="E2" s="10">
        <f>C2-D2</f>
        <v/>
      </c>
      <c r="F2" s="10">
        <f>SUMIFS(
  Transactions!$D:$D,
  Transactions!$C:$C,"OUT",
  Transactions!$E:$E,"Cash",
  Transactions!$F:$F,"Material Purchase",
  Transactions!$A:$A,"&gt;="&amp;DATE($B2,$A2,1),
  Transactions!$A:$A,"&lt;"&amp;DATE($B2,$A2+1,1)
)</f>
        <v/>
      </c>
      <c r="G2" s="10">
        <f>SUMIFS(
  Transactions!$D:$D,
  Transactions!$C:$C,"OUT",
  Transactions!$E:$E,"Cash",
  Transactions!$F:$F,"Food Expense",
  Transactions!$A:$A,"&gt;="&amp;DATE($B2,$A2,1),
  Transactions!$A:$A,"&lt;"&amp;DATE($B2,$A2+1,1)
)</f>
        <v/>
      </c>
      <c r="H2" s="10">
        <f>SUMIFS(
  Transactions!$D:$D,
  Transactions!$C:$C,"OUT",
  Transactions!$E:$E,"Cash",
  Transactions!$F:$F,"Fuel Expense",
  Transactions!$A:$A,"&gt;="&amp;DATE($B2,$A2,1),
  Transactions!$A:$A,"&lt;"&amp;DATE($B2,$A2+1,1)
)</f>
        <v/>
      </c>
      <c r="I2" s="10">
        <f>SUMIFS(
  Transactions!$D:$D,
  Transactions!$C:$C,"OUT",
  Transactions!$E:$E,"Cash",
  Transactions!$F:$F,"Labour Expense",
  Transactions!$A:$A,"&gt;="&amp;DATE($B2,$A2,1),
  Transactions!$A:$A,"&lt;"&amp;DATE($B2,$A2+1,1)
)</f>
        <v/>
      </c>
      <c r="J2" s="10">
        <f>SUMIFS(
  Transactions!$D:$D,
  Transactions!$C:$C,"OUT",
  Transactions!$E:$E,"Cash",
  Transactions!$F:$F,"Transport Expense",
  Transactions!$A:$A,"&gt;="&amp;DATE($B2,$A2,1),
  Transactions!$A:$A,"&lt;"&amp;DATE($B2,$A2+1,1)
)</f>
        <v/>
      </c>
      <c r="K2" s="10">
        <f>SUMIFS(
  Transactions!$D:$D,
  Transactions!$C:$C,"IN",
  Transactions!$E:$E,"Accounts Receivable",
  Transactions!$A:$A,"&gt;=" &amp; DATE($B2,$A2,1),
  Transactions!$A:$A,"&lt;"  &amp; EOMONTH(DATE($B2,$A2,1),0)+1
)</f>
        <v/>
      </c>
    </row>
    <row r="3" ht="21.75" customHeight="1"/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</sheetData>
  <autoFilter ref="A1:J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="74" zoomScaleNormal="81" workbookViewId="0">
      <selection activeCell="G14" sqref="G14"/>
    </sheetView>
  </sheetViews>
  <sheetFormatPr baseColWidth="8" defaultColWidth="21" defaultRowHeight="25.5" customHeight="1"/>
  <cols>
    <col width="17.85546875" customWidth="1" style="4" min="1" max="1"/>
    <col width="21" customWidth="1" style="4" min="2" max="2"/>
    <col width="16.42578125" customWidth="1" style="4" min="3" max="3"/>
    <col width="12.5703125" customWidth="1" style="4" min="4" max="4"/>
    <col width="26.85546875" customWidth="1" style="4" min="5" max="5"/>
    <col width="23.28515625" customWidth="1" style="4" min="6" max="6"/>
    <col width="29.5703125" customWidth="1" style="4" min="7" max="7"/>
    <col width="24.85546875" customWidth="1" style="4" min="8" max="8"/>
    <col width="21.5703125" customWidth="1" style="4" min="9" max="9"/>
    <col width="24.5703125" customWidth="1" style="4" min="10" max="10"/>
    <col width="21" customWidth="1" style="4" min="11" max="12"/>
    <col width="31.42578125" customWidth="1" style="4" min="13" max="13"/>
    <col width="55.7109375" customWidth="1" style="4" min="14" max="14"/>
    <col width="21" customWidth="1" style="4" min="15" max="16384"/>
  </cols>
  <sheetData>
    <row r="1" ht="25.5" customFormat="1" customHeight="1" s="12">
      <c r="A1" s="3" t="inlineStr">
        <is>
          <t>Employee Name</t>
        </is>
      </c>
      <c r="B1" s="3" t="inlineStr">
        <is>
          <t>Type (Monthly/Daily)</t>
        </is>
      </c>
      <c r="C1" s="3" t="inlineStr">
        <is>
          <t>Monthly Salary</t>
        </is>
      </c>
      <c r="D1" s="3" t="inlineStr">
        <is>
          <t>Daily Rate</t>
        </is>
      </c>
      <c r="E1" s="3" t="inlineStr">
        <is>
          <t>Days Worked (This Month)</t>
        </is>
      </c>
      <c r="F1" s="3" t="inlineStr">
        <is>
          <t>Salary Due This Month</t>
        </is>
      </c>
      <c r="G1" s="3" t="inlineStr">
        <is>
          <t>Total Salary Paid This Month</t>
        </is>
      </c>
      <c r="H1" s="3" t="inlineStr">
        <is>
          <t>Pending Salary This Month</t>
        </is>
      </c>
      <c r="I1" s="3" t="inlineStr">
        <is>
          <t>Total Advance Taken</t>
        </is>
      </c>
      <c r="J1" s="3" t="inlineStr">
        <is>
          <t>Total Advance Adjusted</t>
        </is>
      </c>
      <c r="K1" s="3" t="inlineStr">
        <is>
          <t>Advance Balance</t>
        </is>
      </c>
      <c r="L1" s="3" t="inlineStr">
        <is>
          <t>Previous Pending Salary</t>
        </is>
      </c>
      <c r="M1" s="3" t="inlineStr">
        <is>
          <t>Total Pending Salary(All Months)</t>
        </is>
      </c>
      <c r="N1" s="3" t="inlineStr">
        <is>
          <t>Note</t>
        </is>
      </c>
    </row>
    <row r="2" ht="25.5" customHeight="1">
      <c r="A2" s="4" t="inlineStr">
        <is>
          <t>Shoaib Umar</t>
        </is>
      </c>
      <c r="B2" s="4" t="inlineStr">
        <is>
          <t>Monthly</t>
        </is>
      </c>
      <c r="C2" s="4" t="n">
        <v>1800</v>
      </c>
      <c r="E2" s="4" t="n">
        <v>19</v>
      </c>
      <c r="F2" s="4">
        <f>IFERROR(
    IF(B2="Monthly",
        C2,
        IF(B2="Daily",
            D2*E2,
            IF(B2="Weekly",
                C2,
                0
            )
        )
    ),
0)</f>
        <v/>
      </c>
      <c r="G2" s="4" t="n">
        <v>1800</v>
      </c>
      <c r="H2" s="4">
        <f>IFERROR(IF(F2="",0,F2-G2),0)</f>
        <v/>
      </c>
      <c r="K2" s="4">
        <f>IFERROR(IF(I2="",0,I2-J2),0)</f>
        <v/>
      </c>
      <c r="L2" s="4" t="n">
        <v>1800</v>
      </c>
      <c r="M2" s="4">
        <f>IFERROR(H2+L2,0)</f>
        <v/>
      </c>
      <c r="N2" s="4" t="inlineStr">
        <is>
          <t>Running Month 15-11-2025 to 15-12-2025</t>
        </is>
      </c>
    </row>
    <row r="3" ht="25.5" customHeight="1"/>
    <row r="4" ht="25.5" customHeight="1"/>
    <row r="5" ht="25.5" customHeight="1"/>
    <row r="6" ht="25.5" customHeight="1"/>
    <row r="7" ht="25.5" customHeight="1"/>
    <row r="8" ht="25.5" customHeight="1"/>
  </sheetData>
  <autoFilter ref="A1:M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06" workbookViewId="0">
      <selection activeCell="B2" sqref="B2"/>
    </sheetView>
  </sheetViews>
  <sheetFormatPr baseColWidth="8" defaultColWidth="37" defaultRowHeight="15"/>
  <cols>
    <col width="22.28515625" customWidth="1" min="2" max="2"/>
  </cols>
  <sheetData>
    <row r="1" ht="24.95" customFormat="1" customHeight="1" s="2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Total Cash Balance</t>
        </is>
      </c>
      <c r="B2" s="10">
        <f>Accounts_Summary!D2</f>
        <v/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topLeftCell="A14" zoomScale="104" workbookViewId="0">
      <selection activeCell="A33" sqref="A33"/>
    </sheetView>
  </sheetViews>
  <sheetFormatPr baseColWidth="8" defaultColWidth="18.140625" defaultRowHeight="15"/>
  <cols>
    <col width="18.140625" customWidth="1" style="4" min="1" max="1"/>
    <col width="18.140625" customWidth="1" style="51" min="2" max="5"/>
    <col width="36.28515625" customWidth="1" style="4" min="6" max="6"/>
    <col width="18.140625" customWidth="1" style="4" min="7" max="16384"/>
  </cols>
  <sheetData>
    <row r="1" ht="26.25" customFormat="1" customHeight="1" s="52">
      <c r="A1" s="52" t="inlineStr">
        <is>
          <t>Suppliars Names</t>
        </is>
      </c>
      <c r="B1" s="53" t="inlineStr">
        <is>
          <t>Total payable</t>
        </is>
      </c>
      <c r="C1" s="53" t="inlineStr">
        <is>
          <t>Total paid</t>
        </is>
      </c>
      <c r="D1" s="53" t="inlineStr">
        <is>
          <t>Total Remain after Paid</t>
        </is>
      </c>
      <c r="E1" s="53" t="inlineStr">
        <is>
          <t>Date of last paid</t>
        </is>
      </c>
      <c r="F1" s="52" t="inlineStr">
        <is>
          <t>Projects Name</t>
        </is>
      </c>
    </row>
    <row r="2" customFormat="1" s="20">
      <c r="A2" s="20" t="inlineStr">
        <is>
          <t>Arif Bangali</t>
        </is>
      </c>
      <c r="B2" s="56" t="n">
        <v>1200</v>
      </c>
      <c r="C2" s="56" t="n">
        <v>1000</v>
      </c>
      <c r="D2" s="56">
        <f>B2-C2</f>
        <v/>
      </c>
      <c r="E2" s="56" t="n"/>
      <c r="F2" s="20" t="inlineStr">
        <is>
          <t>pillows</t>
        </is>
      </c>
      <c r="G2" s="20" t="inlineStr">
        <is>
          <t>Partically Paid</t>
        </is>
      </c>
    </row>
    <row r="4" customFormat="1" s="54"/>
    <row r="5" customFormat="1" s="54"/>
    <row r="8" customFormat="1" s="54"/>
    <row r="9" customFormat="1" s="20"/>
    <row r="11" customFormat="1" s="54"/>
    <row r="17" customFormat="1" s="20"/>
    <row r="20" customFormat="1" s="20"/>
    <row r="24" customFormat="1" s="20"/>
    <row r="26" customFormat="1" s="54"/>
  </sheetData>
  <autoFilter ref="A1:G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2025-11-27T11:30:08Z</dcterms:created>
  <dcterms:modified xsi:type="dcterms:W3CDTF">2026-05-20T14:48:06Z</dcterms:modified>
  <cp:lastModifiedBy>Younus Umer</cp:lastModifiedBy>
</cp:coreProperties>
</file>